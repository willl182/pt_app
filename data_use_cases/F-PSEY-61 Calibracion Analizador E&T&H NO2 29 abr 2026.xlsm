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EBF996B6-8948-412E-9394-4FB483B7AB1F}" xr6:coauthVersionLast="47" xr6:coauthVersionMax="47" xr10:uidLastSave="{00000000-0000-0000-0000-000000000000}"/>
  <workbookProtection workbookPassword="CC4A" lockStructure="1"/>
  <bookViews>
    <workbookView xWindow="-120" yWindow="-120" windowWidth="20730" windowHeight="11040" xr2:uid="{00000000-000D-0000-FFFF-FFFF00000000}"/>
  </bookViews>
  <sheets>
    <sheet name="FORMATO" sheetId="4" r:id="rId1"/>
    <sheet name="Grafica MP_NO2" sheetId="5" r:id="rId2"/>
    <sheet name="Grafica MP_NO" sheetId="6" r:id="rId3"/>
    <sheet name="Grafica Z-S_NO2" sheetId="7" r:id="rId4"/>
    <sheet name="Grafica Z-S_NO" sheetId="8" r:id="rId5"/>
    <sheet name="Grafica PREC_NO2" sheetId="9" r:id="rId6"/>
    <sheet name="Grafica PREC_NO" sheetId="10" r:id="rId7"/>
  </sheets>
  <definedNames>
    <definedName name="_xlnm.Print_Area" localSheetId="0">FORMATO!$A$1:$J$94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81" i="4" l="1"/>
  <c r="R81" i="4"/>
  <c r="S81" i="4"/>
  <c r="T81" i="4"/>
  <c r="T68" i="4"/>
  <c r="H54" i="4"/>
  <c r="E82" i="4" l="1"/>
  <c r="R83" i="4" l="1"/>
  <c r="F59" i="4" s="1"/>
  <c r="S83" i="4"/>
  <c r="G59" i="4" s="1"/>
  <c r="T83" i="4"/>
  <c r="H59" i="4" s="1"/>
  <c r="Q83" i="4"/>
  <c r="E59" i="4" s="1"/>
  <c r="F57" i="4"/>
  <c r="G57" i="4"/>
  <c r="H57" i="4"/>
  <c r="E57" i="4"/>
  <c r="R75" i="4"/>
  <c r="S75" i="4"/>
  <c r="G56" i="4" s="1"/>
  <c r="T75" i="4"/>
  <c r="Q75" i="4"/>
  <c r="E56" i="4" s="1"/>
  <c r="R82" i="4" l="1"/>
  <c r="F58" i="4" s="1"/>
  <c r="T82" i="4"/>
  <c r="H58" i="4" s="1"/>
  <c r="S82" i="4"/>
  <c r="G58" i="4" s="1"/>
  <c r="H56" i="4"/>
  <c r="F56" i="4"/>
  <c r="Q82" i="4"/>
  <c r="E58" i="4" s="1"/>
  <c r="S68" i="4"/>
  <c r="R68" i="4"/>
  <c r="Q68" i="4"/>
  <c r="T65" i="4"/>
  <c r="H52" i="4"/>
  <c r="S65" i="4"/>
  <c r="R65" i="4"/>
  <c r="Q65" i="4"/>
  <c r="F40" i="4" l="1"/>
  <c r="I40" i="4"/>
  <c r="E52" i="4"/>
  <c r="H40" i="4" l="1"/>
  <c r="G40" i="4"/>
  <c r="D82" i="4" l="1"/>
  <c r="I81" i="4"/>
  <c r="H81" i="4"/>
  <c r="E81" i="4"/>
  <c r="D81" i="4"/>
  <c r="I80" i="4"/>
  <c r="H80" i="4"/>
  <c r="E80" i="4"/>
  <c r="D80" i="4"/>
  <c r="I79" i="4"/>
  <c r="H79" i="4"/>
  <c r="E79" i="4"/>
  <c r="D79" i="4"/>
  <c r="C79" i="4"/>
  <c r="E54" i="4" l="1"/>
  <c r="F54" i="4"/>
  <c r="G54" i="4"/>
  <c r="G52" i="4"/>
  <c r="F52" i="4"/>
  <c r="N58" i="4" l="1"/>
  <c r="D43" i="4" s="1"/>
  <c r="J40" i="4" l="1"/>
  <c r="N48" i="4" l="1"/>
  <c r="O58" i="4"/>
  <c r="E43" i="4" s="1"/>
  <c r="N47" i="4"/>
  <c r="D42" i="4" s="1"/>
  <c r="O47" i="4"/>
  <c r="E42" i="4" s="1"/>
  <c r="T37" i="4" l="1"/>
  <c r="T36" i="4"/>
  <c r="S37" i="4"/>
  <c r="S36" i="4"/>
  <c r="F2" i="10"/>
  <c r="C3" i="10"/>
  <c r="B3" i="10" s="1"/>
  <c r="F2" i="9"/>
  <c r="C3" i="9"/>
  <c r="B3" i="9" s="1"/>
  <c r="G2" i="8"/>
  <c r="C3" i="8"/>
  <c r="B3" i="8" s="1"/>
  <c r="F2" i="7"/>
  <c r="C3" i="7"/>
  <c r="B3" i="7" s="1"/>
  <c r="F3" i="6"/>
  <c r="B4" i="6"/>
  <c r="F3" i="5"/>
  <c r="C4" i="5"/>
  <c r="B4" i="5" s="1"/>
  <c r="O25" i="4"/>
  <c r="U25" i="4" s="1"/>
  <c r="O24" i="4"/>
  <c r="O23" i="4"/>
  <c r="P37" i="4"/>
  <c r="O37" i="4"/>
  <c r="P36" i="4"/>
  <c r="O36" i="4"/>
  <c r="F41" i="4" l="1"/>
  <c r="N35" i="4" s="1"/>
  <c r="P23" i="4"/>
  <c r="G41" i="4"/>
  <c r="Q52" i="4" s="1"/>
  <c r="P24" i="4"/>
  <c r="P25" i="4"/>
  <c r="Q24" i="4"/>
  <c r="R25" i="4"/>
  <c r="H41" i="4"/>
  <c r="T25" i="4"/>
  <c r="Q23" i="4"/>
  <c r="Q25" i="4"/>
  <c r="S25" i="4"/>
  <c r="N59" i="4"/>
  <c r="O59" i="4"/>
  <c r="O48" i="4"/>
  <c r="C4" i="10" l="1"/>
  <c r="B4" i="10" s="1"/>
  <c r="C5" i="6"/>
  <c r="B5" i="6" s="1"/>
  <c r="F49" i="4"/>
  <c r="P35" i="4"/>
  <c r="P52" i="4"/>
  <c r="O35" i="4"/>
  <c r="P41" i="4"/>
  <c r="C6" i="6"/>
  <c r="B6" i="6" s="1"/>
  <c r="Q41" i="4"/>
  <c r="R41" i="4"/>
  <c r="R52" i="4"/>
  <c r="C7" i="6"/>
  <c r="B7" i="6" s="1"/>
  <c r="J41" i="4"/>
  <c r="I41" i="4"/>
  <c r="H53" i="4" s="1"/>
  <c r="D35" i="4"/>
  <c r="I84" i="4"/>
  <c r="H84" i="4"/>
  <c r="E84" i="4"/>
  <c r="D84" i="4"/>
  <c r="I83" i="4"/>
  <c r="H83" i="4"/>
  <c r="E83" i="4"/>
  <c r="D83" i="4"/>
  <c r="I68" i="4"/>
  <c r="H68" i="4"/>
  <c r="G68" i="4"/>
  <c r="D7" i="5"/>
  <c r="D6" i="5"/>
  <c r="D50" i="4"/>
  <c r="T59" i="4"/>
  <c r="J46" i="4" s="1"/>
  <c r="S59" i="4"/>
  <c r="I46" i="4" s="1"/>
  <c r="R59" i="4"/>
  <c r="H46" i="4" s="1"/>
  <c r="Q59" i="4"/>
  <c r="G46" i="4" s="1"/>
  <c r="P59" i="4"/>
  <c r="F46" i="4" s="1"/>
  <c r="E46" i="4"/>
  <c r="D46" i="4"/>
  <c r="T48" i="4"/>
  <c r="J45" i="4" s="1"/>
  <c r="S48" i="4"/>
  <c r="I45" i="4" s="1"/>
  <c r="R48" i="4"/>
  <c r="H45" i="4" s="1"/>
  <c r="Q48" i="4"/>
  <c r="G45" i="4" s="1"/>
  <c r="P48" i="4"/>
  <c r="F45" i="4" s="1"/>
  <c r="E45" i="4"/>
  <c r="D59" i="4" s="1"/>
  <c r="D45" i="4"/>
  <c r="T58" i="4"/>
  <c r="J43" i="4" s="1"/>
  <c r="S58" i="4"/>
  <c r="I43" i="4" s="1"/>
  <c r="R58" i="4"/>
  <c r="H43" i="4" s="1"/>
  <c r="D7" i="6" s="1"/>
  <c r="Q58" i="4"/>
  <c r="G43" i="4" s="1"/>
  <c r="D6" i="6" s="1"/>
  <c r="P58" i="4"/>
  <c r="F43" i="4" s="1"/>
  <c r="T47" i="4"/>
  <c r="J42" i="4" s="1"/>
  <c r="S47" i="4"/>
  <c r="I42" i="4" s="1"/>
  <c r="R47" i="4"/>
  <c r="H42" i="4" s="1"/>
  <c r="Q47" i="4"/>
  <c r="G42" i="4" s="1"/>
  <c r="P47" i="4"/>
  <c r="F42" i="4" s="1"/>
  <c r="F81" i="4" s="1"/>
  <c r="G80" i="4" l="1"/>
  <c r="F80" i="4"/>
  <c r="J68" i="4"/>
  <c r="Q67" i="4"/>
  <c r="E53" i="4"/>
  <c r="G79" i="4"/>
  <c r="F79" i="4"/>
  <c r="F53" i="4"/>
  <c r="G53" i="4"/>
  <c r="T41" i="4"/>
  <c r="T52" i="4"/>
  <c r="N34" i="4"/>
  <c r="P34" i="4"/>
  <c r="O34" i="4"/>
  <c r="S67" i="4"/>
  <c r="R67" i="4"/>
  <c r="T67" i="4"/>
  <c r="S41" i="4"/>
  <c r="S52" i="4"/>
  <c r="C4" i="8"/>
  <c r="B4" i="8" s="1"/>
  <c r="G49" i="4"/>
  <c r="Q69" i="4" s="1"/>
  <c r="C8" i="6"/>
  <c r="B8" i="6" s="1"/>
  <c r="G81" i="4"/>
  <c r="E44" i="4"/>
  <c r="E4" i="8"/>
  <c r="D5" i="6"/>
  <c r="D4" i="10"/>
  <c r="D44" i="4"/>
  <c r="C83" i="4" s="1"/>
  <c r="D8" i="6"/>
  <c r="D4" i="8"/>
  <c r="G83" i="4"/>
  <c r="E3" i="8"/>
  <c r="D4" i="6"/>
  <c r="D3" i="8"/>
  <c r="D3" i="10"/>
  <c r="D4" i="9"/>
  <c r="D5" i="5"/>
  <c r="D8" i="5"/>
  <c r="D4" i="7"/>
  <c r="F84" i="4"/>
  <c r="F83" i="4"/>
  <c r="D57" i="4"/>
  <c r="G84" i="4"/>
  <c r="I64" i="4"/>
  <c r="D56" i="4"/>
  <c r="F44" i="4"/>
  <c r="G44" i="4"/>
  <c r="I44" i="4"/>
  <c r="H44" i="4"/>
  <c r="J44" i="4"/>
  <c r="F72" i="4" l="1"/>
  <c r="F73" i="4" s="1"/>
  <c r="C72" i="4"/>
  <c r="C73" i="4" s="1"/>
  <c r="T69" i="4"/>
  <c r="H55" i="4" s="1"/>
  <c r="C80" i="4" s="1"/>
  <c r="S69" i="4"/>
  <c r="G55" i="4" s="1"/>
  <c r="C7" i="5" s="1"/>
  <c r="B7" i="5" s="1"/>
  <c r="R69" i="4"/>
  <c r="F55" i="4" s="1"/>
  <c r="C6" i="5" s="1"/>
  <c r="B6" i="5" s="1"/>
  <c r="E55" i="4"/>
  <c r="T35" i="4" s="1"/>
  <c r="E72" i="4"/>
  <c r="E73" i="4" s="1"/>
  <c r="D72" i="4"/>
  <c r="D73" i="4" s="1"/>
  <c r="Q40" i="4"/>
  <c r="Q51" i="4"/>
  <c r="R40" i="4"/>
  <c r="R51" i="4"/>
  <c r="S51" i="4"/>
  <c r="S40" i="4"/>
  <c r="F64" i="4"/>
  <c r="P51" i="4"/>
  <c r="P40" i="4"/>
  <c r="T51" i="4"/>
  <c r="T40" i="4"/>
  <c r="D3" i="7"/>
  <c r="G64" i="4"/>
  <c r="H64" i="4"/>
  <c r="C84" i="4"/>
  <c r="D58" i="4"/>
  <c r="D3" i="9" s="1"/>
  <c r="T34" i="4" l="1"/>
  <c r="D68" i="4"/>
  <c r="C82" i="4"/>
  <c r="C81" i="4"/>
  <c r="C4" i="9"/>
  <c r="B4" i="9" s="1"/>
  <c r="C74" i="4"/>
  <c r="C8" i="5"/>
  <c r="B8" i="5" s="1"/>
  <c r="R34" i="4"/>
  <c r="C68" i="4"/>
  <c r="S34" i="4"/>
  <c r="S35" i="4"/>
  <c r="C4" i="7"/>
  <c r="B4" i="7" s="1"/>
  <c r="F68" i="4"/>
  <c r="C5" i="5"/>
  <c r="B5" i="5" s="1"/>
  <c r="R35" i="4"/>
  <c r="E68" i="4"/>
  <c r="E64" i="4"/>
  <c r="D4" i="5"/>
  <c r="I69" i="4"/>
  <c r="G69" i="4"/>
  <c r="G71" i="4" s="1"/>
  <c r="J69" i="4"/>
  <c r="J71" i="4" s="1"/>
  <c r="H69" i="4"/>
  <c r="H71" i="4" s="1"/>
  <c r="B64" i="4"/>
  <c r="C64" i="4"/>
  <c r="D64" i="4"/>
  <c r="D36" i="4"/>
  <c r="G70" i="4" l="1"/>
  <c r="J70" i="4"/>
  <c r="I71" i="4"/>
  <c r="I70" i="4"/>
  <c r="H70" i="4"/>
  <c r="F69" i="4"/>
  <c r="C69" i="4"/>
  <c r="E69" i="4"/>
  <c r="D69" i="4"/>
  <c r="D70" i="4" l="1"/>
  <c r="D71" i="4"/>
  <c r="E71" i="4"/>
  <c r="E70" i="4"/>
  <c r="C71" i="4"/>
  <c r="C70" i="4"/>
  <c r="F70" i="4"/>
  <c r="F71" i="4"/>
</calcChain>
</file>

<file path=xl/sharedStrings.xml><?xml version="1.0" encoding="utf-8"?>
<sst xmlns="http://schemas.openxmlformats.org/spreadsheetml/2006/main" count="297" uniqueCount="214">
  <si>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</si>
  <si>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</si>
  <si>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</si>
  <si>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</si>
  <si>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</si>
  <si>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</si>
  <si>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</si>
  <si>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</si>
  <si>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</si>
  <si>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</si>
  <si>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</si>
  <si>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</si>
  <si>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 xml:space="preserve">                Marca: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</si>
  <si>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</si>
  <si>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</si>
  <si>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</si>
  <si>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</si>
  <si>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</si>
  <si>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</si>
  <si>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</si>
  <si>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</si>
  <si>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</si>
  <si>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</si>
  <si>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</si>
  <si>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</si>
  <si>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</si>
  <si>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</si>
  <si>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</si>
  <si>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</si>
  <si>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</si>
  <si>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</si>
  <si>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</si>
  <si>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</si>
  <si>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</si>
  <si>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</si>
  <si>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</si>
  <si>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</si>
  <si>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</si>
  <si>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</si>
  <si>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</si>
  <si>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</si>
  <si>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</si>
  <si>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</si>
  <si>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</si>
  <si>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</si>
  <si>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</si>
  <si>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(aaaa-mm-dd)</t>
  </si>
  <si>
    <t>Hora de inicio (24h):</t>
  </si>
  <si>
    <t>Hora de finalización (24h):</t>
  </si>
  <si>
    <t>? ? ?</t>
  </si>
  <si>
    <t>Jose David Hurtado - Ingeniero Operativo</t>
  </si>
  <si>
    <t>Sin Vo. Bo.</t>
  </si>
  <si>
    <t>Rango (ppb):</t>
  </si>
  <si>
    <t>6. CRITERIO DE ZERO/SPAN; PRECISIÓN:</t>
  </si>
  <si>
    <t>7. RESULTADOS</t>
  </si>
  <si>
    <t>Zero Encontrado:</t>
  </si>
  <si>
    <t>Zero Dejado:</t>
  </si>
  <si>
    <r>
      <t>LECTURA ANALIZADOR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(ppb)</t>
    </r>
  </si>
  <si>
    <t>MEDELLÍN</t>
  </si>
  <si>
    <t>ECOTECH</t>
  </si>
  <si>
    <t>Cilindro de Gas</t>
  </si>
  <si>
    <t>NOx/NO/NO2</t>
  </si>
  <si>
    <t>Offset inicial NO:</t>
  </si>
  <si>
    <t>Offset Final NO:</t>
  </si>
  <si>
    <t xml:space="preserve">PATRÓN
NO (ppb) </t>
  </si>
  <si>
    <t>Lectura NOx</t>
  </si>
  <si>
    <t>Lectura NO</t>
  </si>
  <si>
    <t>Lectura NO2</t>
  </si>
  <si>
    <t>Estabilidad  NO</t>
  </si>
  <si>
    <t>Estabilidad  NOx</t>
  </si>
  <si>
    <t>8. CRITERIO DE ACEPTACIÓN MULTIPUNTO NO2:</t>
  </si>
  <si>
    <t>Punto de Calibración (NO2)</t>
  </si>
  <si>
    <t>Concentración de Salida (NO)</t>
  </si>
  <si>
    <t>Conc. Solicitada de O3 (aprox)</t>
  </si>
  <si>
    <t>Valor Esperado de NO2</t>
  </si>
  <si>
    <r>
      <t xml:space="preserve">LECTURA ANALIZADOR </t>
    </r>
    <r>
      <rPr>
        <sz val="10"/>
        <rFont val="Arial"/>
        <family val="2"/>
      </rPr>
      <t xml:space="preserve">(Final)
</t>
    </r>
    <r>
      <rPr>
        <b/>
        <sz val="10"/>
        <rFont val="Arial"/>
        <family val="2"/>
      </rPr>
      <t>ppb</t>
    </r>
    <r>
      <rPr>
        <sz val="10"/>
        <rFont val="Arial"/>
        <family val="2"/>
      </rPr>
      <t xml:space="preserve"> </t>
    </r>
  </si>
  <si>
    <t>NOx</t>
  </si>
  <si>
    <t>NO</t>
  </si>
  <si>
    <t>NO2</t>
  </si>
  <si>
    <t>9. CÁLCULOS PARA NO2</t>
  </si>
  <si>
    <t>CÁLCULOS PARA NO2</t>
  </si>
  <si>
    <t>CÁLCULOS PARA NO</t>
  </si>
  <si>
    <t>Aceptación
NO2</t>
  </si>
  <si>
    <t>Lectura
Mínima</t>
  </si>
  <si>
    <t>Lectura
Máxima</t>
  </si>
  <si>
    <t>Aceptación
NOx</t>
  </si>
  <si>
    <t>Aceptación
NO</t>
  </si>
  <si>
    <t>Mínima</t>
  </si>
  <si>
    <t>MULTIPUNTO</t>
  </si>
  <si>
    <t>Cada 15 días</t>
  </si>
  <si>
    <t>Cada 3 meses</t>
  </si>
  <si>
    <t>SPAN</t>
  </si>
  <si>
    <t>Tipo Gas</t>
  </si>
  <si>
    <t>RANGO</t>
  </si>
  <si>
    <t>Realizar Span de NO a 400 ppb para verificar el Span de NO2 (GPT @ 400ppb NO y 240ppb de O3).</t>
  </si>
  <si>
    <t>Realizar Precisión de NO a 100 ppb para verificar Precisión de NO2  (GPT @ 100ppb NO y 60ppb de O3).</t>
  </si>
  <si>
    <t>Realizar Span de NO a 450 ppb para verificar Multipunto de NO2 (GPT @ 450ppb NO y 270ppb de O3;</t>
  </si>
  <si>
    <t xml:space="preserve">                     @ 450ppb NO y 210ppb de O3; @ 450ppb NO y 120ppb de O3; @ 450ppb NO y 60ppb de O3).</t>
  </si>
  <si>
    <t>VALORE ESPERADOS NOx y NO</t>
  </si>
  <si>
    <t>VALOR
GAS</t>
  </si>
  <si>
    <t>MIN.</t>
  </si>
  <si>
    <t>MAX.</t>
  </si>
  <si>
    <t>Zero Enc</t>
  </si>
  <si>
    <t>Zero Dej</t>
  </si>
  <si>
    <t>Zero &lt;24H (ppb):</t>
  </si>
  <si>
    <t>Zero &gt;24H (ppb):</t>
  </si>
  <si>
    <t>Impureza del NO2:</t>
  </si>
  <si>
    <t>Precisión</t>
  </si>
  <si>
    <t>Multi/Span</t>
  </si>
  <si>
    <t xml:space="preserve">Vencimiento: </t>
  </si>
  <si>
    <t>Concentr. NO:</t>
  </si>
  <si>
    <t xml:space="preserve">Impureza NO2: </t>
  </si>
  <si>
    <t>ppm</t>
  </si>
  <si>
    <t>VALOR 
GAS</t>
  </si>
  <si>
    <t>NO2out</t>
  </si>
  <si>
    <t>NO2conv</t>
  </si>
  <si>
    <t>Eficiencia del Convertidor</t>
  </si>
  <si>
    <t>Eficiencia Convert.</t>
  </si>
  <si>
    <t>---</t>
  </si>
  <si>
    <t>x</t>
  </si>
  <si>
    <t>y</t>
  </si>
  <si>
    <t>Patrón</t>
  </si>
  <si>
    <t>Analizador</t>
  </si>
  <si>
    <t>Fecha:</t>
  </si>
  <si>
    <t>Analizador Dejado</t>
  </si>
  <si>
    <t>Analizador Encontrado</t>
  </si>
  <si>
    <t>VALORE ESPERADOS NO2</t>
  </si>
  <si>
    <t>MED-UDEM</t>
  </si>
  <si>
    <t>BAR-PDLA</t>
  </si>
  <si>
    <t>GIRARDOTA</t>
  </si>
  <si>
    <t>ZERO/SPAN</t>
  </si>
  <si>
    <t>GIR-IECO</t>
  </si>
  <si>
    <t>BELLO</t>
  </si>
  <si>
    <t>PRECISIÓN</t>
  </si>
  <si>
    <t>GIR-SOSN</t>
  </si>
  <si>
    <t>BEL-USBV</t>
  </si>
  <si>
    <t>AJUSTE PREC</t>
  </si>
  <si>
    <t>MED-UNNV</t>
  </si>
  <si>
    <t>CALDAS</t>
  </si>
  <si>
    <t>MED-MIRA</t>
  </si>
  <si>
    <t>SABANETA</t>
  </si>
  <si>
    <t>MED-MANT</t>
  </si>
  <si>
    <t>ESTRELLA</t>
  </si>
  <si>
    <t>MED-EXSA</t>
  </si>
  <si>
    <t>BARBOSA</t>
  </si>
  <si>
    <t>MED-UNFM</t>
  </si>
  <si>
    <t>COPACABANA</t>
  </si>
  <si>
    <t>***Editar***</t>
  </si>
  <si>
    <t>MED-PJIC</t>
  </si>
  <si>
    <t>MED-LAYE</t>
  </si>
  <si>
    <t>ITA-CJUS</t>
  </si>
  <si>
    <t>ITA-CRSV</t>
  </si>
  <si>
    <t>ITA-CONC</t>
  </si>
  <si>
    <t>CAL-PMER</t>
  </si>
  <si>
    <t>CAL-LASA</t>
  </si>
  <si>
    <t>EST-METR</t>
  </si>
  <si>
    <t>2. y 3.</t>
  </si>
  <si>
    <t>THERMO</t>
  </si>
  <si>
    <t>TAPI</t>
  </si>
  <si>
    <t>700E</t>
  </si>
  <si>
    <t>T700</t>
  </si>
  <si>
    <t>8301L</t>
  </si>
  <si>
    <t>Nombre del Responsable</t>
  </si>
  <si>
    <t>=Calibrador</t>
  </si>
  <si>
    <t>=Lectura Analizador</t>
  </si>
  <si>
    <t>=Promedio</t>
  </si>
  <si>
    <t>=Estabilidad</t>
  </si>
  <si>
    <r>
      <t>Zero "</t>
    </r>
    <r>
      <rPr>
        <b/>
        <sz val="10"/>
        <rFont val="Arial"/>
        <family val="2"/>
      </rPr>
      <t>NO"</t>
    </r>
    <r>
      <rPr>
        <sz val="10"/>
        <rFont val="Arial"/>
        <family val="2"/>
      </rPr>
      <t xml:space="preserve"> Encontrado</t>
    </r>
  </si>
  <si>
    <r>
      <t>Zero "</t>
    </r>
    <r>
      <rPr>
        <b/>
        <sz val="10"/>
        <rFont val="Arial"/>
        <family val="2"/>
      </rPr>
      <t>NOX"</t>
    </r>
    <r>
      <rPr>
        <sz val="10"/>
        <rFont val="Arial"/>
        <family val="2"/>
      </rPr>
      <t xml:space="preserve"> Encontrado</t>
    </r>
  </si>
  <si>
    <t>*Tomar datos cada 5 segundos una vez el analizador estabilice las lecturas</t>
  </si>
  <si>
    <t>APNA-370</t>
  </si>
  <si>
    <t>HORIBA</t>
  </si>
  <si>
    <t>AADCO</t>
  </si>
  <si>
    <t>Offset inicial NOX:</t>
  </si>
  <si>
    <t>Offset Final NOX:</t>
  </si>
  <si>
    <t>Slope inicial NOX:</t>
  </si>
  <si>
    <t>Slope inicial NO:</t>
  </si>
  <si>
    <t>Slope Final NOX:</t>
  </si>
  <si>
    <t>Slope Final NO:</t>
  </si>
  <si>
    <t>ZERO
Dejado</t>
  </si>
  <si>
    <t xml:space="preserve">LECTURA ANALIZADOR (Final)
ppb </t>
  </si>
  <si>
    <t>Promedio NO</t>
  </si>
  <si>
    <t>MED-UNNP</t>
  </si>
  <si>
    <t>Hugo Santana - Ingeniero Infraestructura</t>
  </si>
  <si>
    <t>Tiberio Benavides H. - Coordinador Servicios Metrología</t>
  </si>
  <si>
    <t xml:space="preserve">&lt; ± </t>
  </si>
  <si>
    <t>Promedio NOX</t>
  </si>
  <si>
    <t>Lecturas NO</t>
  </si>
  <si>
    <t>Lecturas NOX</t>
  </si>
  <si>
    <t>Código: F-PSEY-61</t>
  </si>
  <si>
    <t>Versión: 04</t>
  </si>
  <si>
    <t xml:space="preserve">Nombre del Responsable; Rol: </t>
  </si>
  <si>
    <t xml:space="preserve">Vo. Bo.; Rol: </t>
  </si>
  <si>
    <t>4. TIPO DE CALIBRACIÓN</t>
  </si>
  <si>
    <t>ITAGÜÍ</t>
  </si>
  <si>
    <t>Fabián Moreno C. - Coordinador Servicios de Ensayo</t>
  </si>
  <si>
    <t>Fabián Moreno C. - Ingeniero de Aseguramiento de Calidad en Campo</t>
  </si>
  <si>
    <t>CALIBRACIÓN Y/O VERIFICACIÓN DE ANALIZADOR DE GAS AUTOMÁTICO ÓXIDOS DE NITRÓGENO (NOX) E&amp;T</t>
  </si>
  <si>
    <t>Puntos de Calibración</t>
  </si>
  <si>
    <t>Nota: Para la Calibración del NO2 se requiere:</t>
  </si>
  <si>
    <t>Rango Calibración NO2 (ppb):</t>
  </si>
  <si>
    <t xml:space="preserve">PATRÓN - GPT
(NO2)
ppb </t>
  </si>
  <si>
    <t>10. ACEPTACIÓN MULTIPUNTO</t>
  </si>
  <si>
    <t>ACEPTACIÓN MULTIPUNTO PARA NO2</t>
  </si>
  <si>
    <t>ACEPTACIÓN MULTIPUNTO PARA NO</t>
  </si>
  <si>
    <t>11. ACEPTACIÓN ZERO/SPAN - PRECISIÓN</t>
  </si>
  <si>
    <t>CALAIRE</t>
  </si>
  <si>
    <t>N/A</t>
  </si>
  <si>
    <t>80.83</t>
  </si>
  <si>
    <t>179.88</t>
  </si>
  <si>
    <t>Tech Liquid</t>
  </si>
  <si>
    <t>EI0099706</t>
  </si>
  <si>
    <t>T700U</t>
  </si>
  <si>
    <t>751H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</si>
</sst>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yyyy\-mm\-dd;@"/>
    <numFmt numFmtId="166" formatCode="0.000"/>
    <numFmt numFmtId="167" formatCode="0.0000"/>
    <numFmt numFmtId="168" formatCode="0.0%"/>
    <numFmt numFmtId="169" formatCode="h:mm:ss;@"/>
  </numFmts>
  <fonts count="35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/>
      <name val="Arial"/>
      <family val="2"/>
    </font>
    <font>
      <sz val="10"/>
      <color rgb="FF0070C0"/>
      <name val="Arial"/>
      <family val="2"/>
    </font>
    <font>
      <b/>
      <sz val="10"/>
      <color rgb="FF0066FF"/>
      <name val="Arial"/>
      <family val="2"/>
    </font>
    <font>
      <b/>
      <sz val="10"/>
      <color rgb="FF006600"/>
      <name val="Arial"/>
      <family val="2"/>
    </font>
    <font>
      <b/>
      <sz val="10"/>
      <color rgb="FF00206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u/>
      <sz val="10"/>
      <color rgb="FF006600"/>
      <name val="Arial"/>
      <family val="2"/>
    </font>
    <font>
      <b/>
      <sz val="10"/>
      <color rgb="FF00B05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61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8" fillId="2" borderId="0" xfId="1" applyNumberFormat="1" applyFont="1" applyFill="1" applyBorder="1" applyAlignment="1" applyProtection="1">
      <alignment vertical="center" wrapText="1"/>
    </xf>
    <xf numFmtId="0" fontId="9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4" borderId="5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1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66" fontId="4" fillId="4" borderId="0" xfId="0" applyNumberFormat="1" applyFont="1" applyFill="1" applyBorder="1" applyAlignment="1" applyProtection="1">
      <alignment horizontal="left"/>
      <protection locked="0"/>
    </xf>
    <xf numFmtId="166" fontId="4" fillId="4" borderId="1" xfId="0" applyNumberFormat="1" applyFont="1" applyFill="1" applyBorder="1" applyAlignment="1" applyProtection="1">
      <alignment horizontal="left"/>
      <protection locked="0"/>
    </xf>
    <xf numFmtId="0" fontId="4" fillId="4" borderId="13" xfId="0" applyFont="1" applyFill="1" applyBorder="1" applyAlignment="1" applyProtection="1">
      <alignment horizontal="left"/>
      <protection locked="0"/>
    </xf>
    <xf numFmtId="164" fontId="15" fillId="4" borderId="7" xfId="0" applyNumberFormat="1" applyFont="1" applyFill="1" applyBorder="1" applyAlignment="1" applyProtection="1">
      <protection locked="0"/>
    </xf>
    <xf numFmtId="164" fontId="4" fillId="2" borderId="11" xfId="0" applyNumberFormat="1" applyFont="1" applyFill="1" applyBorder="1" applyAlignment="1" applyProtection="1">
      <alignment horizontal="center" vertical="center"/>
    </xf>
    <xf numFmtId="169" fontId="4" fillId="4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" fillId="3" borderId="0" xfId="0" applyFont="1" applyFill="1" applyAlignment="1" applyProtection="1"/>
    <xf numFmtId="0" fontId="10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1" fillId="2" borderId="0" xfId="0" applyFont="1" applyFill="1" applyBorder="1" applyAlignment="1" applyProtection="1">
      <alignment horizontal="left"/>
    </xf>
    <xf numFmtId="0" fontId="11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1" fillId="3" borderId="0" xfId="0" applyFont="1" applyFill="1" applyBorder="1" applyAlignment="1" applyProtection="1"/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0" fontId="1" fillId="2" borderId="1" xfId="0" applyFont="1" applyFill="1" applyBorder="1" applyAlignment="1" applyProtection="1">
      <alignment horizontal="right"/>
    </xf>
    <xf numFmtId="0" fontId="19" fillId="2" borderId="0" xfId="0" applyFont="1" applyFill="1" applyAlignment="1" applyProtection="1"/>
    <xf numFmtId="164" fontId="16" fillId="2" borderId="0" xfId="0" applyNumberFormat="1" applyFont="1" applyFill="1" applyBorder="1" applyAlignment="1" applyProtection="1">
      <alignment horizontal="left"/>
    </xf>
    <xf numFmtId="0" fontId="22" fillId="2" borderId="12" xfId="0" applyFont="1" applyFill="1" applyBorder="1" applyAlignment="1" applyProtection="1">
      <alignment horizontal="right"/>
    </xf>
    <xf numFmtId="0" fontId="23" fillId="2" borderId="12" xfId="0" applyFont="1" applyFill="1" applyBorder="1" applyAlignment="1" applyProtection="1">
      <alignment horizontal="right"/>
    </xf>
    <xf numFmtId="0" fontId="23" fillId="2" borderId="10" xfId="0" applyFont="1" applyFill="1" applyBorder="1" applyAlignment="1" applyProtection="1">
      <alignment horizontal="right"/>
    </xf>
    <xf numFmtId="0" fontId="4" fillId="5" borderId="6" xfId="0" applyFont="1" applyFill="1" applyBorder="1" applyAlignment="1" applyProtection="1">
      <alignment horizontal="center" vertical="center" wrapText="1"/>
    </xf>
    <xf numFmtId="0" fontId="4" fillId="5" borderId="3" xfId="0" applyFont="1" applyFill="1" applyBorder="1" applyAlignment="1" applyProtection="1">
      <alignment horizontal="center" vertical="center" wrapText="1"/>
    </xf>
    <xf numFmtId="164" fontId="18" fillId="5" borderId="3" xfId="0" applyNumberFormat="1" applyFont="1" applyFill="1" applyBorder="1" applyAlignment="1" applyProtection="1">
      <alignment horizontal="center" vertical="center"/>
    </xf>
    <xf numFmtId="164" fontId="18" fillId="5" borderId="7" xfId="0" applyNumberFormat="1" applyFont="1" applyFill="1" applyBorder="1" applyAlignment="1" applyProtection="1">
      <alignment horizontal="center" vertical="center"/>
    </xf>
    <xf numFmtId="167" fontId="4" fillId="2" borderId="6" xfId="0" applyNumberFormat="1" applyFont="1" applyFill="1" applyBorder="1" applyAlignment="1" applyProtection="1">
      <alignment vertical="center" wrapText="1"/>
    </xf>
    <xf numFmtId="0" fontId="4" fillId="2" borderId="6" xfId="0" applyFont="1" applyFill="1" applyBorder="1" applyAlignment="1" applyProtection="1">
      <alignment vertical="center"/>
    </xf>
    <xf numFmtId="164" fontId="17" fillId="2" borderId="0" xfId="0" applyNumberFormat="1" applyFont="1" applyFill="1" applyBorder="1" applyAlignment="1" applyProtection="1">
      <alignment horizontal="center" vertical="center"/>
    </xf>
    <xf numFmtId="9" fontId="24" fillId="2" borderId="0" xfId="1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 wrapText="1"/>
    </xf>
    <xf numFmtId="0" fontId="12" fillId="6" borderId="3" xfId="0" applyFont="1" applyFill="1" applyBorder="1" applyAlignment="1" applyProtection="1">
      <alignment horizontal="center" vertical="center" wrapText="1"/>
    </xf>
    <xf numFmtId="164" fontId="15" fillId="6" borderId="3" xfId="0" applyNumberFormat="1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wrapText="1"/>
    </xf>
    <xf numFmtId="164" fontId="4" fillId="6" borderId="3" xfId="0" applyNumberFormat="1" applyFont="1" applyFill="1" applyBorder="1" applyAlignment="1" applyProtection="1">
      <alignment horizontal="center" vertical="center"/>
    </xf>
    <xf numFmtId="1" fontId="4" fillId="6" borderId="3" xfId="0" applyNumberFormat="1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/>
    </xf>
    <xf numFmtId="164" fontId="22" fillId="6" borderId="3" xfId="0" applyNumberFormat="1" applyFont="1" applyFill="1" applyBorder="1" applyAlignment="1" applyProtection="1">
      <alignment horizontal="center" vertical="center"/>
    </xf>
    <xf numFmtId="2" fontId="22" fillId="6" borderId="3" xfId="0" applyNumberFormat="1" applyFont="1" applyFill="1" applyBorder="1" applyAlignment="1" applyProtection="1">
      <alignment horizontal="center" vertical="center"/>
    </xf>
    <xf numFmtId="0" fontId="4" fillId="6" borderId="7" xfId="0" applyFont="1" applyFill="1" applyBorder="1" applyAlignment="1" applyProtection="1">
      <alignment horizontal="center" vertical="center" wrapText="1"/>
    </xf>
    <xf numFmtId="164" fontId="18" fillId="6" borderId="3" xfId="0" applyNumberFormat="1" applyFont="1" applyFill="1" applyBorder="1" applyAlignment="1" applyProtection="1">
      <alignment horizontal="center" vertical="center"/>
    </xf>
    <xf numFmtId="164" fontId="17" fillId="6" borderId="3" xfId="0" applyNumberFormat="1" applyFont="1" applyFill="1" applyBorder="1" applyAlignment="1" applyProtection="1">
      <alignment horizontal="center" vertical="center"/>
    </xf>
    <xf numFmtId="0" fontId="4" fillId="6" borderId="19" xfId="0" applyFont="1" applyFill="1" applyBorder="1" applyAlignment="1" applyProtection="1">
      <alignment horizontal="center" vertical="center" wrapText="1"/>
    </xf>
    <xf numFmtId="0" fontId="4" fillId="6" borderId="20" xfId="0" applyFont="1" applyFill="1" applyBorder="1" applyAlignment="1" applyProtection="1">
      <alignment horizontal="center" vertical="center" wrapText="1"/>
    </xf>
    <xf numFmtId="0" fontId="4" fillId="5" borderId="19" xfId="0" applyFont="1" applyFill="1" applyBorder="1" applyAlignment="1" applyProtection="1">
      <alignment horizontal="center" vertical="center" wrapText="1"/>
    </xf>
    <xf numFmtId="0" fontId="4" fillId="5" borderId="20" xfId="0" applyFont="1" applyFill="1" applyBorder="1" applyAlignment="1" applyProtection="1">
      <alignment horizontal="center" vertical="center" wrapText="1"/>
    </xf>
    <xf numFmtId="167" fontId="4" fillId="6" borderId="21" xfId="0" applyNumberFormat="1" applyFont="1" applyFill="1" applyBorder="1" applyAlignment="1" applyProtection="1">
      <alignment horizontal="center" vertical="center" wrapText="1"/>
    </xf>
    <xf numFmtId="167" fontId="4" fillId="6" borderId="22" xfId="0" applyNumberFormat="1" applyFont="1" applyFill="1" applyBorder="1" applyAlignment="1" applyProtection="1">
      <alignment horizontal="center" vertical="center" wrapText="1"/>
    </xf>
    <xf numFmtId="167" fontId="4" fillId="6" borderId="23" xfId="0" applyNumberFormat="1" applyFont="1" applyFill="1" applyBorder="1" applyAlignment="1" applyProtection="1">
      <alignment horizontal="center" vertical="center" wrapText="1"/>
    </xf>
    <xf numFmtId="167" fontId="4" fillId="5" borderId="21" xfId="0" applyNumberFormat="1" applyFont="1" applyFill="1" applyBorder="1" applyAlignment="1" applyProtection="1">
      <alignment horizontal="center" vertical="center" wrapText="1"/>
    </xf>
    <xf numFmtId="167" fontId="4" fillId="5" borderId="24" xfId="0" applyNumberFormat="1" applyFont="1" applyFill="1" applyBorder="1" applyAlignment="1" applyProtection="1">
      <alignment horizontal="center" vertical="center" wrapText="1"/>
    </xf>
    <xf numFmtId="167" fontId="4" fillId="5" borderId="23" xfId="0" applyNumberFormat="1" applyFont="1" applyFill="1" applyBorder="1" applyAlignment="1" applyProtection="1">
      <alignment horizontal="center" vertical="center" wrapText="1"/>
    </xf>
    <xf numFmtId="164" fontId="5" fillId="6" borderId="19" xfId="1" applyNumberFormat="1" applyFont="1" applyFill="1" applyBorder="1" applyAlignment="1" applyProtection="1">
      <alignment horizontal="center" vertical="center" wrapText="1"/>
    </xf>
    <xf numFmtId="164" fontId="5" fillId="6" borderId="3" xfId="1" applyNumberFormat="1" applyFont="1" applyFill="1" applyBorder="1" applyAlignment="1" applyProtection="1">
      <alignment horizontal="center" vertical="center" wrapText="1"/>
    </xf>
    <xf numFmtId="164" fontId="5" fillId="6" borderId="20" xfId="1" applyNumberFormat="1" applyFont="1" applyFill="1" applyBorder="1" applyAlignment="1" applyProtection="1">
      <alignment horizontal="center" vertical="center" wrapText="1"/>
    </xf>
    <xf numFmtId="164" fontId="5" fillId="5" borderId="19" xfId="1" applyNumberFormat="1" applyFont="1" applyFill="1" applyBorder="1" applyAlignment="1" applyProtection="1">
      <alignment horizontal="center" vertical="center" wrapText="1"/>
    </xf>
    <xf numFmtId="164" fontId="5" fillId="5" borderId="3" xfId="1" applyNumberFormat="1" applyFont="1" applyFill="1" applyBorder="1" applyAlignment="1" applyProtection="1">
      <alignment horizontal="center" vertical="center" wrapText="1"/>
    </xf>
    <xf numFmtId="164" fontId="5" fillId="5" borderId="20" xfId="1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vertical="center" wrapText="1"/>
    </xf>
    <xf numFmtId="164" fontId="18" fillId="6" borderId="19" xfId="0" applyNumberFormat="1" applyFont="1" applyFill="1" applyBorder="1" applyAlignment="1" applyProtection="1">
      <alignment horizontal="center" vertical="center"/>
    </xf>
    <xf numFmtId="164" fontId="18" fillId="6" borderId="20" xfId="0" applyNumberFormat="1" applyFont="1" applyFill="1" applyBorder="1" applyAlignment="1" applyProtection="1">
      <alignment horizontal="center" vertical="center"/>
    </xf>
    <xf numFmtId="164" fontId="18" fillId="5" borderId="19" xfId="0" applyNumberFormat="1" applyFont="1" applyFill="1" applyBorder="1" applyAlignment="1" applyProtection="1">
      <alignment horizontal="center" vertical="center"/>
    </xf>
    <xf numFmtId="164" fontId="18" fillId="5" borderId="20" xfId="0" applyNumberFormat="1" applyFont="1" applyFill="1" applyBorder="1" applyAlignment="1" applyProtection="1">
      <alignment horizontal="center" vertical="center"/>
    </xf>
    <xf numFmtId="164" fontId="17" fillId="6" borderId="19" xfId="0" applyNumberFormat="1" applyFont="1" applyFill="1" applyBorder="1" applyAlignment="1" applyProtection="1">
      <alignment horizontal="center" vertical="center"/>
    </xf>
    <xf numFmtId="164" fontId="17" fillId="6" borderId="20" xfId="0" applyNumberFormat="1" applyFont="1" applyFill="1" applyBorder="1" applyAlignment="1" applyProtection="1">
      <alignment horizontal="center" vertical="center"/>
    </xf>
    <xf numFmtId="164" fontId="17" fillId="5" borderId="19" xfId="0" applyNumberFormat="1" applyFont="1" applyFill="1" applyBorder="1" applyAlignment="1" applyProtection="1">
      <alignment horizontal="center" vertical="center"/>
    </xf>
    <xf numFmtId="164" fontId="17" fillId="5" borderId="3" xfId="0" applyNumberFormat="1" applyFont="1" applyFill="1" applyBorder="1" applyAlignment="1" applyProtection="1">
      <alignment horizontal="center" vertical="center"/>
    </xf>
    <xf numFmtId="164" fontId="17" fillId="5" borderId="20" xfId="0" applyNumberFormat="1" applyFont="1" applyFill="1" applyBorder="1" applyAlignment="1" applyProtection="1">
      <alignment horizontal="center" vertical="center"/>
    </xf>
    <xf numFmtId="10" fontId="4" fillId="5" borderId="21" xfId="1" applyNumberFormat="1" applyFont="1" applyFill="1" applyBorder="1" applyAlignment="1" applyProtection="1">
      <alignment horizontal="center" vertical="center" wrapText="1"/>
    </xf>
    <xf numFmtId="10" fontId="4" fillId="5" borderId="25" xfId="1" applyNumberFormat="1" applyFont="1" applyFill="1" applyBorder="1" applyAlignment="1" applyProtection="1">
      <alignment horizontal="center" vertical="center" wrapText="1"/>
    </xf>
    <xf numFmtId="10" fontId="4" fillId="5" borderId="26" xfId="1" applyNumberFormat="1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vertical="center"/>
    </xf>
    <xf numFmtId="164" fontId="4" fillId="5" borderId="29" xfId="0" applyNumberFormat="1" applyFont="1" applyFill="1" applyBorder="1" applyAlignment="1" applyProtection="1">
      <alignment horizontal="center" vertical="center" wrapText="1"/>
    </xf>
    <xf numFmtId="164" fontId="4" fillId="5" borderId="14" xfId="0" applyNumberFormat="1" applyFont="1" applyFill="1" applyBorder="1" applyAlignment="1" applyProtection="1">
      <alignment horizontal="center" vertical="center" wrapText="1"/>
    </xf>
    <xf numFmtId="168" fontId="4" fillId="6" borderId="19" xfId="1" applyNumberFormat="1" applyFont="1" applyFill="1" applyBorder="1" applyAlignment="1" applyProtection="1">
      <alignment horizontal="center" vertical="center"/>
    </xf>
    <xf numFmtId="164" fontId="4" fillId="6" borderId="20" xfId="0" applyNumberFormat="1" applyFont="1" applyFill="1" applyBorder="1" applyAlignment="1" applyProtection="1">
      <alignment horizontal="center" vertical="center"/>
    </xf>
    <xf numFmtId="164" fontId="4" fillId="5" borderId="3" xfId="0" applyNumberFormat="1" applyFont="1" applyFill="1" applyBorder="1" applyAlignment="1" applyProtection="1">
      <alignment horizontal="center" vertical="center"/>
    </xf>
    <xf numFmtId="164" fontId="4" fillId="5" borderId="20" xfId="0" applyNumberFormat="1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/>
    <xf numFmtId="2" fontId="4" fillId="6" borderId="19" xfId="1" applyNumberFormat="1" applyFont="1" applyFill="1" applyBorder="1" applyAlignment="1" applyProtection="1">
      <alignment horizontal="center" vertical="center"/>
    </xf>
    <xf numFmtId="2" fontId="4" fillId="5" borderId="19" xfId="1" applyNumberFormat="1" applyFont="1" applyFill="1" applyBorder="1" applyAlignment="1" applyProtection="1">
      <alignment horizontal="center" vertical="center"/>
    </xf>
    <xf numFmtId="2" fontId="4" fillId="5" borderId="3" xfId="1" applyNumberFormat="1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left" vertical="center"/>
    </xf>
    <xf numFmtId="164" fontId="18" fillId="6" borderId="21" xfId="0" applyNumberFormat="1" applyFont="1" applyFill="1" applyBorder="1" applyAlignment="1" applyProtection="1">
      <alignment horizontal="center" vertical="center"/>
    </xf>
    <xf numFmtId="164" fontId="4" fillId="6" borderId="22" xfId="0" applyNumberFormat="1" applyFont="1" applyFill="1" applyBorder="1" applyAlignment="1" applyProtection="1">
      <alignment horizontal="center"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8" fillId="5" borderId="21" xfId="0" applyNumberFormat="1" applyFont="1" applyFill="1" applyBorder="1" applyAlignment="1" applyProtection="1">
      <alignment horizontal="center" vertical="center"/>
    </xf>
    <xf numFmtId="164" fontId="18" fillId="5" borderId="22" xfId="0" applyNumberFormat="1" applyFont="1" applyFill="1" applyBorder="1" applyAlignment="1" applyProtection="1">
      <alignment horizontal="center" vertical="center"/>
    </xf>
    <xf numFmtId="164" fontId="4" fillId="5" borderId="22" xfId="0" applyNumberFormat="1" applyFont="1" applyFill="1" applyBorder="1" applyAlignment="1" applyProtection="1">
      <alignment horizontal="center" vertical="center"/>
    </xf>
    <xf numFmtId="164" fontId="4" fillId="5" borderId="23" xfId="0" applyNumberFormat="1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/>
    </xf>
    <xf numFmtId="0" fontId="1" fillId="8" borderId="3" xfId="0" applyFont="1" applyFill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9" fontId="1" fillId="9" borderId="3" xfId="0" applyNumberFormat="1" applyFont="1" applyFill="1" applyBorder="1" applyAlignment="1" applyProtection="1">
      <alignment horizontal="center" vertical="center"/>
    </xf>
    <xf numFmtId="0" fontId="27" fillId="0" borderId="3" xfId="0" applyFont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1" fillId="9" borderId="3" xfId="0" applyFont="1" applyFill="1" applyBorder="1" applyAlignment="1" applyProtection="1">
      <alignment horizontal="center" vertical="center"/>
    </xf>
    <xf numFmtId="0" fontId="28" fillId="0" borderId="3" xfId="0" applyFont="1" applyBorder="1" applyAlignment="1" applyProtection="1">
      <alignment horizontal="center" vertical="center"/>
    </xf>
    <xf numFmtId="0" fontId="25" fillId="2" borderId="0" xfId="0" applyFont="1" applyFill="1" applyBorder="1" applyProtection="1"/>
    <xf numFmtId="0" fontId="0" fillId="2" borderId="0" xfId="0" applyFill="1" applyBorder="1" applyProtection="1"/>
    <xf numFmtId="49" fontId="11" fillId="2" borderId="0" xfId="0" applyNumberFormat="1" applyFont="1" applyFill="1" applyBorder="1" applyAlignment="1" applyProtection="1">
      <alignment vertical="top"/>
    </xf>
    <xf numFmtId="49" fontId="0" fillId="2" borderId="0" xfId="0" applyNumberFormat="1" applyFill="1" applyBorder="1" applyAlignment="1" applyProtection="1">
      <alignment vertical="top"/>
    </xf>
    <xf numFmtId="0" fontId="26" fillId="2" borderId="0" xfId="0" applyFont="1" applyFill="1" applyAlignment="1" applyProtection="1"/>
    <xf numFmtId="0" fontId="4" fillId="2" borderId="3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/>
    </xf>
    <xf numFmtId="1" fontId="4" fillId="2" borderId="3" xfId="0" applyNumberFormat="1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164" fontId="4" fillId="2" borderId="0" xfId="0" applyNumberFormat="1" applyFont="1" applyFill="1" applyBorder="1" applyAlignment="1" applyProtection="1">
      <alignment horizontal="center" vertical="center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1" fontId="29" fillId="2" borderId="13" xfId="0" applyNumberFormat="1" applyFont="1" applyFill="1" applyBorder="1" applyAlignment="1" applyProtection="1">
      <alignment horizontal="center" vertical="center"/>
    </xf>
    <xf numFmtId="1" fontId="29" fillId="4" borderId="13" xfId="0" applyNumberFormat="1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/>
    <xf numFmtId="0" fontId="4" fillId="2" borderId="13" xfId="0" applyFont="1" applyFill="1" applyBorder="1" applyAlignment="1" applyProtection="1">
      <alignment wrapText="1"/>
    </xf>
    <xf numFmtId="165" fontId="4" fillId="4" borderId="0" xfId="0" applyNumberFormat="1" applyFont="1" applyFill="1" applyBorder="1" applyAlignment="1" applyProtection="1">
      <alignment horizontal="left"/>
      <protection locked="0"/>
    </xf>
    <xf numFmtId="0" fontId="19" fillId="2" borderId="13" xfId="0" applyFont="1" applyFill="1" applyBorder="1" applyAlignment="1" applyProtection="1">
      <alignment horizontal="left" vertical="top"/>
    </xf>
    <xf numFmtId="0" fontId="23" fillId="2" borderId="1" xfId="0" applyFont="1" applyFill="1" applyBorder="1" applyAlignment="1" applyProtection="1">
      <alignment horizontal="right"/>
    </xf>
    <xf numFmtId="0" fontId="1" fillId="2" borderId="11" xfId="0" applyFont="1" applyFill="1" applyBorder="1" applyAlignment="1" applyProtection="1">
      <protection locked="0"/>
    </xf>
    <xf numFmtId="165" fontId="1" fillId="2" borderId="13" xfId="0" applyNumberFormat="1" applyFont="1" applyFill="1" applyBorder="1" applyAlignment="1" applyProtection="1">
      <alignment horizontal="left"/>
    </xf>
    <xf numFmtId="164" fontId="5" fillId="5" borderId="3" xfId="0" applyNumberFormat="1" applyFont="1" applyFill="1" applyBorder="1" applyAlignment="1" applyProtection="1">
      <alignment horizontal="center" vertical="center"/>
    </xf>
    <xf numFmtId="164" fontId="4" fillId="6" borderId="19" xfId="1" applyNumberFormat="1" applyFont="1" applyFill="1" applyBorder="1" applyAlignment="1" applyProtection="1">
      <alignment horizontal="center" vertical="center" wrapText="1"/>
    </xf>
    <xf numFmtId="164" fontId="4" fillId="6" borderId="22" xfId="1" applyNumberFormat="1" applyFont="1" applyFill="1" applyBorder="1" applyAlignment="1" applyProtection="1">
      <alignment horizontal="center" vertical="center" wrapText="1"/>
    </xf>
    <xf numFmtId="164" fontId="4" fillId="6" borderId="23" xfId="1" applyNumberFormat="1" applyFont="1" applyFill="1" applyBorder="1" applyAlignment="1" applyProtection="1">
      <alignment horizontal="center" vertical="center" wrapText="1"/>
    </xf>
    <xf numFmtId="2" fontId="4" fillId="6" borderId="36" xfId="0" applyNumberFormat="1" applyFont="1" applyFill="1" applyBorder="1" applyAlignment="1" applyProtection="1">
      <alignment horizontal="center" vertical="center"/>
    </xf>
    <xf numFmtId="164" fontId="4" fillId="2" borderId="0" xfId="1" applyNumberFormat="1" applyFont="1" applyFill="1" applyBorder="1" applyAlignment="1" applyProtection="1">
      <alignment horizontal="center" vertical="center" wrapText="1"/>
    </xf>
    <xf numFmtId="164" fontId="4" fillId="6" borderId="31" xfId="1" applyNumberFormat="1" applyFont="1" applyFill="1" applyBorder="1" applyAlignment="1" applyProtection="1">
      <alignment horizontal="center" vertical="center" wrapText="1"/>
    </xf>
    <xf numFmtId="164" fontId="4" fillId="6" borderId="14" xfId="1" applyNumberFormat="1" applyFont="1" applyFill="1" applyBorder="1" applyAlignment="1" applyProtection="1">
      <alignment horizontal="center" vertical="center" wrapText="1"/>
    </xf>
    <xf numFmtId="164" fontId="4" fillId="6" borderId="32" xfId="1" applyNumberFormat="1" applyFont="1" applyFill="1" applyBorder="1" applyAlignment="1" applyProtection="1">
      <alignment horizontal="center" vertical="center" wrapText="1"/>
    </xf>
    <xf numFmtId="10" fontId="4" fillId="6" borderId="19" xfId="1" applyNumberFormat="1" applyFont="1" applyFill="1" applyBorder="1" applyAlignment="1" applyProtection="1">
      <alignment horizontal="center" vertical="center" wrapText="1"/>
    </xf>
    <xf numFmtId="10" fontId="4" fillId="6" borderId="7" xfId="1" applyNumberFormat="1" applyFont="1" applyFill="1" applyBorder="1" applyAlignment="1" applyProtection="1">
      <alignment horizontal="center" vertical="center" wrapText="1"/>
    </xf>
    <xf numFmtId="10" fontId="4" fillId="6" borderId="37" xfId="1" applyNumberFormat="1" applyFont="1" applyFill="1" applyBorder="1" applyAlignment="1" applyProtection="1">
      <alignment horizontal="center" vertical="center" wrapText="1"/>
    </xf>
    <xf numFmtId="49" fontId="4" fillId="5" borderId="19" xfId="1" applyNumberFormat="1" applyFont="1" applyFill="1" applyBorder="1" applyAlignment="1" applyProtection="1">
      <alignment horizontal="center" vertical="center"/>
    </xf>
    <xf numFmtId="49" fontId="4" fillId="5" borderId="3" xfId="1" applyNumberFormat="1" applyFont="1" applyFill="1" applyBorder="1" applyAlignment="1" applyProtection="1">
      <alignment horizontal="center" vertical="center"/>
    </xf>
    <xf numFmtId="49" fontId="4" fillId="5" borderId="3" xfId="0" applyNumberFormat="1" applyFont="1" applyFill="1" applyBorder="1" applyAlignment="1" applyProtection="1">
      <alignment horizontal="center" vertical="center"/>
    </xf>
    <xf numFmtId="49" fontId="4" fillId="5" borderId="20" xfId="0" applyNumberFormat="1" applyFont="1" applyFill="1" applyBorder="1" applyAlignment="1" applyProtection="1">
      <alignment horizontal="center" vertical="center"/>
    </xf>
    <xf numFmtId="0" fontId="30" fillId="2" borderId="0" xfId="0" applyFont="1" applyFill="1" applyAlignment="1">
      <alignment horizontal="center"/>
    </xf>
    <xf numFmtId="0" fontId="30" fillId="2" borderId="0" xfId="0" applyFont="1" applyFill="1"/>
    <xf numFmtId="0" fontId="30" fillId="2" borderId="0" xfId="0" applyFont="1" applyFill="1" applyAlignment="1" applyProtection="1">
      <alignment horizontal="center"/>
    </xf>
    <xf numFmtId="165" fontId="30" fillId="2" borderId="0" xfId="0" applyNumberFormat="1" applyFont="1" applyFill="1" applyBorder="1" applyAlignment="1" applyProtection="1"/>
    <xf numFmtId="1" fontId="30" fillId="2" borderId="0" xfId="0" applyNumberFormat="1" applyFont="1" applyFill="1" applyAlignment="1">
      <alignment horizontal="center"/>
    </xf>
    <xf numFmtId="164" fontId="30" fillId="2" borderId="0" xfId="0" applyNumberFormat="1" applyFont="1" applyFill="1" applyAlignment="1">
      <alignment horizontal="center"/>
    </xf>
    <xf numFmtId="0" fontId="30" fillId="2" borderId="0" xfId="0" applyFont="1" applyFill="1" applyAlignment="1" applyProtection="1">
      <alignment horizontal="center" wrapText="1"/>
    </xf>
    <xf numFmtId="164" fontId="30" fillId="2" borderId="0" xfId="0" applyNumberFormat="1" applyFont="1" applyFill="1"/>
    <xf numFmtId="1" fontId="30" fillId="2" borderId="0" xfId="0" applyNumberFormat="1" applyFont="1" applyFill="1"/>
    <xf numFmtId="164" fontId="4" fillId="2" borderId="3" xfId="0" applyNumberFormat="1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/>
    </xf>
    <xf numFmtId="2" fontId="4" fillId="4" borderId="0" xfId="0" applyNumberFormat="1" applyFont="1" applyFill="1" applyBorder="1" applyAlignment="1" applyProtection="1">
      <alignment horizontal="left"/>
      <protection locked="0"/>
    </xf>
    <xf numFmtId="2" fontId="4" fillId="4" borderId="1" xfId="0" applyNumberFormat="1" applyFont="1" applyFill="1" applyBorder="1" applyAlignment="1" applyProtection="1">
      <alignment horizontal="left"/>
      <protection locked="0"/>
    </xf>
    <xf numFmtId="9" fontId="1" fillId="2" borderId="0" xfId="0" applyNumberFormat="1" applyFont="1" applyFill="1" applyBorder="1" applyAlignment="1" applyProtection="1"/>
    <xf numFmtId="0" fontId="31" fillId="2" borderId="38" xfId="0" applyFont="1" applyFill="1" applyBorder="1" applyAlignment="1" applyProtection="1">
      <alignment vertical="center"/>
    </xf>
    <xf numFmtId="0" fontId="32" fillId="2" borderId="39" xfId="0" applyFont="1" applyFill="1" applyBorder="1" applyAlignment="1" applyProtection="1"/>
    <xf numFmtId="0" fontId="31" fillId="2" borderId="40" xfId="0" applyFont="1" applyFill="1" applyBorder="1" applyAlignment="1" applyProtection="1">
      <alignment vertical="center"/>
    </xf>
    <xf numFmtId="0" fontId="31" fillId="2" borderId="41" xfId="0" applyFont="1" applyFill="1" applyBorder="1" applyAlignment="1" applyProtection="1"/>
    <xf numFmtId="0" fontId="31" fillId="2" borderId="41" xfId="0" applyFont="1" applyFill="1" applyBorder="1" applyAlignment="1" applyProtection="1">
      <alignment horizontal="left"/>
    </xf>
    <xf numFmtId="0" fontId="32" fillId="2" borderId="0" xfId="0" applyFont="1" applyFill="1" applyAlignment="1" applyProtection="1"/>
    <xf numFmtId="0" fontId="32" fillId="2" borderId="42" xfId="0" applyFont="1" applyFill="1" applyBorder="1" applyAlignment="1" applyProtection="1"/>
    <xf numFmtId="0" fontId="32" fillId="2" borderId="42" xfId="0" applyFont="1" applyFill="1" applyBorder="1" applyAlignment="1" applyProtection="1">
      <alignment horizontal="left"/>
    </xf>
    <xf numFmtId="0" fontId="32" fillId="10" borderId="43" xfId="0" applyFont="1" applyFill="1" applyBorder="1" applyAlignment="1" applyProtection="1">
      <protection locked="0"/>
    </xf>
    <xf numFmtId="0" fontId="32" fillId="2" borderId="44" xfId="0" applyFont="1" applyFill="1" applyBorder="1" applyAlignment="1" applyProtection="1"/>
    <xf numFmtId="0" fontId="31" fillId="2" borderId="44" xfId="0" applyFont="1" applyFill="1" applyBorder="1" applyAlignment="1" applyProtection="1"/>
    <xf numFmtId="0" fontId="31" fillId="2" borderId="45" xfId="0" applyFont="1" applyFill="1" applyBorder="1" applyAlignment="1" applyProtection="1"/>
    <xf numFmtId="0" fontId="32" fillId="2" borderId="45" xfId="0" applyFont="1" applyFill="1" applyBorder="1" applyAlignment="1" applyProtection="1"/>
    <xf numFmtId="0" fontId="32" fillId="10" borderId="46" xfId="0" applyFont="1" applyFill="1" applyBorder="1" applyAlignment="1" applyProtection="1">
      <protection locked="0"/>
    </xf>
    <xf numFmtId="0" fontId="32" fillId="2" borderId="42" xfId="0" applyFont="1" applyFill="1" applyBorder="1" applyAlignment="1" applyProtection="1">
      <alignment horizontal="right"/>
    </xf>
    <xf numFmtId="0" fontId="1" fillId="2" borderId="47" xfId="0" applyFont="1" applyFill="1" applyBorder="1" applyAlignment="1" applyProtection="1"/>
    <xf numFmtId="0" fontId="32" fillId="2" borderId="47" xfId="0" applyFont="1" applyFill="1" applyBorder="1" applyAlignment="1" applyProtection="1"/>
    <xf numFmtId="0" fontId="32" fillId="2" borderId="48" xfId="0" applyFont="1" applyFill="1" applyBorder="1" applyAlignment="1" applyProtection="1"/>
    <xf numFmtId="0" fontId="32" fillId="2" borderId="0" xfId="0" applyFont="1" applyFill="1" applyBorder="1" applyAlignment="1" applyProtection="1">
      <alignment horizontal="center"/>
    </xf>
    <xf numFmtId="0" fontId="32" fillId="2" borderId="0" xfId="0" applyFont="1" applyFill="1" applyBorder="1" applyAlignment="1" applyProtection="1"/>
    <xf numFmtId="0" fontId="32" fillId="2" borderId="49" xfId="0" applyFont="1" applyFill="1" applyBorder="1" applyAlignment="1" applyProtection="1"/>
    <xf numFmtId="0" fontId="32" fillId="2" borderId="50" xfId="0" applyFont="1" applyFill="1" applyBorder="1" applyAlignment="1" applyProtection="1"/>
    <xf numFmtId="0" fontId="32" fillId="2" borderId="51" xfId="0" applyFont="1" applyFill="1" applyBorder="1" applyAlignment="1" applyProtection="1"/>
    <xf numFmtId="0" fontId="28" fillId="2" borderId="9" xfId="0" applyFont="1" applyFill="1" applyBorder="1" applyAlignment="1" applyProtection="1"/>
    <xf numFmtId="1" fontId="27" fillId="0" borderId="3" xfId="0" applyNumberFormat="1" applyFont="1" applyBorder="1" applyAlignment="1" applyProtection="1">
      <alignment horizontal="center" vertical="center"/>
    </xf>
    <xf numFmtId="49" fontId="1" fillId="2" borderId="3" xfId="0" applyNumberFormat="1" applyFont="1" applyFill="1" applyBorder="1" applyAlignment="1" applyProtection="1"/>
    <xf numFmtId="49" fontId="1" fillId="2" borderId="3" xfId="0" applyNumberFormat="1" applyFont="1" applyFill="1" applyBorder="1" applyAlignment="1" applyProtection="1">
      <protection locked="0"/>
    </xf>
    <xf numFmtId="164" fontId="20" fillId="0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Alignment="1" applyProtection="1"/>
    <xf numFmtId="0" fontId="4" fillId="4" borderId="5" xfId="0" applyFont="1" applyFill="1" applyBorder="1" applyAlignment="1" applyProtection="1">
      <alignment horizontal="left"/>
      <protection locked="0"/>
    </xf>
    <xf numFmtId="0" fontId="1" fillId="2" borderId="5" xfId="0" applyFont="1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center"/>
    </xf>
    <xf numFmtId="0" fontId="29" fillId="4" borderId="13" xfId="0" applyFont="1" applyFill="1" applyBorder="1" applyAlignment="1" applyProtection="1">
      <alignment horizontal="left"/>
      <protection locked="0"/>
    </xf>
    <xf numFmtId="164" fontId="21" fillId="2" borderId="3" xfId="0" applyNumberFormat="1" applyFont="1" applyFill="1" applyBorder="1" applyAlignment="1" applyProtection="1">
      <alignment horizontal="center" vertical="center"/>
      <protection locked="0"/>
    </xf>
    <xf numFmtId="164" fontId="17" fillId="11" borderId="3" xfId="0" applyNumberFormat="1" applyFont="1" applyFill="1" applyBorder="1" applyAlignment="1" applyProtection="1">
      <alignment horizontal="center" vertical="center"/>
    </xf>
    <xf numFmtId="164" fontId="20" fillId="11" borderId="3" xfId="0" applyNumberFormat="1" applyFont="1" applyFill="1" applyBorder="1" applyAlignment="1" applyProtection="1">
      <alignment horizontal="center" vertical="center"/>
    </xf>
    <xf numFmtId="2" fontId="17" fillId="11" borderId="3" xfId="0" applyNumberFormat="1" applyFont="1" applyFill="1" applyBorder="1" applyAlignment="1" applyProtection="1">
      <alignment horizontal="center" vertical="center"/>
    </xf>
    <xf numFmtId="0" fontId="1" fillId="11" borderId="3" xfId="0" applyFont="1" applyFill="1" applyBorder="1" applyAlignment="1" applyProtection="1">
      <alignment horizontal="center" vertical="center" wrapText="1"/>
      <protection locked="0"/>
    </xf>
    <xf numFmtId="164" fontId="15" fillId="11" borderId="3" xfId="0" applyNumberFormat="1" applyFont="1" applyFill="1" applyBorder="1" applyAlignment="1" applyProtection="1">
      <alignment horizontal="center" vertical="center" wrapText="1"/>
    </xf>
    <xf numFmtId="164" fontId="5" fillId="11" borderId="3" xfId="0" applyNumberFormat="1" applyFont="1" applyFill="1" applyBorder="1" applyAlignment="1" applyProtection="1">
      <alignment horizontal="center" vertical="center"/>
    </xf>
    <xf numFmtId="164" fontId="21" fillId="11" borderId="3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left"/>
      <protection locked="0"/>
    </xf>
    <xf numFmtId="0" fontId="34" fillId="2" borderId="3" xfId="0" applyFont="1" applyFill="1" applyBorder="1" applyAlignment="1" applyProtection="1">
      <alignment horizontal="center" vertical="center"/>
      <protection locked="0"/>
    </xf>
    <xf numFmtId="168" fontId="4" fillId="2" borderId="9" xfId="1" applyNumberFormat="1" applyFont="1" applyFill="1" applyBorder="1" applyAlignment="1" applyProtection="1">
      <alignment horizontal="center" vertical="center"/>
    </xf>
    <xf numFmtId="164" fontId="18" fillId="4" borderId="3" xfId="0" applyNumberFormat="1" applyFont="1" applyFill="1" applyBorder="1" applyAlignment="1" applyProtection="1">
      <alignment horizontal="center" vertical="center"/>
      <protection locked="0"/>
    </xf>
    <xf numFmtId="164" fontId="20" fillId="4" borderId="3" xfId="0" applyNumberFormat="1" applyFont="1" applyFill="1" applyBorder="1" applyAlignment="1" applyProtection="1">
      <alignment horizontal="center" vertical="center"/>
    </xf>
    <xf numFmtId="2" fontId="17" fillId="4" borderId="3" xfId="0" applyNumberFormat="1" applyFont="1" applyFill="1" applyBorder="1" applyAlignment="1" applyProtection="1">
      <alignment horizontal="center" vertical="center"/>
    </xf>
    <xf numFmtId="164" fontId="21" fillId="6" borderId="3" xfId="0" applyNumberFormat="1" applyFont="1" applyFill="1" applyBorder="1" applyAlignment="1" applyProtection="1">
      <alignment horizontal="center" vertical="center"/>
    </xf>
    <xf numFmtId="164" fontId="21" fillId="4" borderId="3" xfId="0" applyNumberFormat="1" applyFont="1" applyFill="1" applyBorder="1" applyAlignment="1" applyProtection="1">
      <alignment horizontal="center" vertical="center"/>
    </xf>
    <xf numFmtId="164" fontId="17" fillId="4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18" fillId="11" borderId="3" xfId="0" applyNumberFormat="1" applyFont="1" applyFill="1" applyBorder="1" applyAlignment="1" applyProtection="1">
      <alignment horizontal="center" vertical="center"/>
    </xf>
    <xf numFmtId="0" fontId="4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left"/>
      <protection locked="0"/>
    </xf>
    <xf numFmtId="164" fontId="33" fillId="11" borderId="3" xfId="0" applyNumberFormat="1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 wrapText="1"/>
    </xf>
    <xf numFmtId="0" fontId="4" fillId="6" borderId="15" xfId="0" applyFont="1" applyFill="1" applyBorder="1" applyAlignment="1" applyProtection="1">
      <alignment horizontal="center" vertical="center" wrapText="1"/>
    </xf>
    <xf numFmtId="0" fontId="4" fillId="6" borderId="14" xfId="0" applyFont="1" applyFill="1" applyBorder="1" applyAlignment="1" applyProtection="1">
      <alignment horizontal="center" vertical="center" wrapText="1"/>
    </xf>
    <xf numFmtId="0" fontId="4" fillId="6" borderId="6" xfId="0" applyFont="1" applyFill="1" applyBorder="1" applyAlignment="1" applyProtection="1">
      <alignment horizontal="center" vertical="center" wrapText="1"/>
    </xf>
    <xf numFmtId="0" fontId="4" fillId="6" borderId="2" xfId="0" applyFont="1" applyFill="1" applyBorder="1" applyAlignment="1" applyProtection="1">
      <alignment horizontal="center" vertical="center" wrapText="1"/>
    </xf>
    <xf numFmtId="0" fontId="4" fillId="6" borderId="7" xfId="0" applyFont="1" applyFill="1" applyBorder="1" applyAlignment="1" applyProtection="1">
      <alignment horizontal="center" vertical="center" wrapText="1"/>
    </xf>
    <xf numFmtId="0" fontId="4" fillId="6" borderId="4" xfId="0" applyFont="1" applyFill="1" applyBorder="1" applyAlignment="1" applyProtection="1">
      <alignment horizontal="center" vertical="center" wrapText="1"/>
    </xf>
    <xf numFmtId="0" fontId="4" fillId="6" borderId="9" xfId="0" applyFont="1" applyFill="1" applyBorder="1" applyAlignment="1" applyProtection="1">
      <alignment horizontal="center" vertical="center" wrapText="1"/>
    </xf>
    <xf numFmtId="0" fontId="4" fillId="6" borderId="12" xfId="0" applyFont="1" applyFill="1" applyBorder="1" applyAlignment="1" applyProtection="1">
      <alignment horizontal="center" vertical="center" wrapText="1"/>
    </xf>
    <xf numFmtId="0" fontId="4" fillId="6" borderId="13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5" borderId="8" xfId="0" applyFont="1" applyFill="1" applyBorder="1" applyAlignment="1" applyProtection="1">
      <alignment horizontal="center" vertical="center" wrapText="1"/>
    </xf>
    <xf numFmtId="0" fontId="4" fillId="5" borderId="15" xfId="0" applyFont="1" applyFill="1" applyBorder="1" applyAlignment="1" applyProtection="1">
      <alignment horizontal="center" vertical="center" wrapText="1"/>
    </xf>
    <xf numFmtId="167" fontId="4" fillId="6" borderId="33" xfId="0" applyNumberFormat="1" applyFont="1" applyFill="1" applyBorder="1" applyAlignment="1" applyProtection="1">
      <alignment horizontal="center" vertical="center" wrapText="1"/>
    </xf>
    <xf numFmtId="167" fontId="4" fillId="6" borderId="34" xfId="0" applyNumberFormat="1" applyFont="1" applyFill="1" applyBorder="1" applyAlignment="1" applyProtection="1">
      <alignment horizontal="center" vertical="center" wrapText="1"/>
    </xf>
    <xf numFmtId="167" fontId="4" fillId="6" borderId="35" xfId="0" applyNumberFormat="1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/>
    </xf>
    <xf numFmtId="0" fontId="4" fillId="6" borderId="16" xfId="0" applyFont="1" applyFill="1" applyBorder="1" applyAlignment="1" applyProtection="1">
      <alignment horizontal="center" vertical="center"/>
    </xf>
    <xf numFmtId="0" fontId="4" fillId="6" borderId="17" xfId="0" applyFont="1" applyFill="1" applyBorder="1" applyAlignment="1" applyProtection="1">
      <alignment horizontal="center" vertical="center"/>
    </xf>
    <xf numFmtId="0" fontId="4" fillId="6" borderId="18" xfId="0" applyFont="1" applyFill="1" applyBorder="1" applyAlignment="1" applyProtection="1">
      <alignment horizontal="center" vertical="center"/>
    </xf>
    <xf numFmtId="0" fontId="4" fillId="5" borderId="33" xfId="0" applyFont="1" applyFill="1" applyBorder="1" applyAlignment="1" applyProtection="1">
      <alignment horizontal="center" vertical="center"/>
    </xf>
    <xf numFmtId="0" fontId="4" fillId="5" borderId="34" xfId="0" applyFont="1" applyFill="1" applyBorder="1" applyAlignment="1" applyProtection="1">
      <alignment horizontal="center" vertical="center"/>
    </xf>
    <xf numFmtId="0" fontId="4" fillId="5" borderId="35" xfId="0" applyFont="1" applyFill="1" applyBorder="1" applyAlignment="1" applyProtection="1">
      <alignment horizontal="center" vertical="center"/>
    </xf>
    <xf numFmtId="0" fontId="4" fillId="5" borderId="14" xfId="0" applyFont="1" applyFill="1" applyBorder="1" applyAlignment="1" applyProtection="1">
      <alignment horizontal="center" vertical="center" wrapText="1"/>
    </xf>
    <xf numFmtId="0" fontId="10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164" fontId="15" fillId="4" borderId="1" xfId="0" applyNumberFormat="1" applyFont="1" applyFill="1" applyBorder="1" applyAlignment="1" applyProtection="1">
      <alignment horizontal="left"/>
    </xf>
    <xf numFmtId="167" fontId="4" fillId="5" borderId="33" xfId="0" applyNumberFormat="1" applyFont="1" applyFill="1" applyBorder="1" applyAlignment="1" applyProtection="1">
      <alignment horizontal="center" vertical="center" wrapText="1"/>
    </xf>
    <xf numFmtId="167" fontId="4" fillId="5" borderId="34" xfId="0" applyNumberFormat="1" applyFont="1" applyFill="1" applyBorder="1" applyAlignment="1" applyProtection="1">
      <alignment horizontal="center" vertical="center" wrapText="1"/>
    </xf>
    <xf numFmtId="167" fontId="4" fillId="5" borderId="35" xfId="0" applyNumberFormat="1" applyFont="1" applyFill="1" applyBorder="1" applyAlignment="1" applyProtection="1">
      <alignment horizontal="center" vertical="center" wrapText="1"/>
    </xf>
    <xf numFmtId="164" fontId="4" fillId="6" borderId="29" xfId="0" applyNumberFormat="1" applyFont="1" applyFill="1" applyBorder="1" applyAlignment="1" applyProtection="1">
      <alignment horizontal="center" vertical="center" wrapText="1"/>
    </xf>
    <xf numFmtId="164" fontId="4" fillId="6" borderId="14" xfId="0" applyNumberFormat="1" applyFont="1" applyFill="1" applyBorder="1" applyAlignment="1" applyProtection="1">
      <alignment horizontal="center" vertical="center" wrapText="1"/>
    </xf>
    <xf numFmtId="0" fontId="4" fillId="6" borderId="30" xfId="0" applyFont="1" applyFill="1" applyBorder="1" applyAlignment="1" applyProtection="1">
      <alignment horizontal="center" vertical="center" wrapText="1"/>
    </xf>
    <xf numFmtId="0" fontId="4" fillId="6" borderId="32" xfId="0" applyFont="1" applyFill="1" applyBorder="1" applyAlignment="1" applyProtection="1">
      <alignment horizontal="center" vertical="center"/>
    </xf>
    <xf numFmtId="0" fontId="4" fillId="5" borderId="28" xfId="0" applyFont="1" applyFill="1" applyBorder="1" applyAlignment="1" applyProtection="1">
      <alignment horizontal="center" vertical="center" wrapText="1"/>
    </xf>
    <xf numFmtId="0" fontId="4" fillId="5" borderId="31" xfId="0" applyFont="1" applyFill="1" applyBorder="1" applyAlignment="1" applyProtection="1">
      <alignment horizontal="center" vertical="center"/>
    </xf>
    <xf numFmtId="0" fontId="4" fillId="5" borderId="29" xfId="0" applyFont="1" applyFill="1" applyBorder="1" applyAlignment="1" applyProtection="1">
      <alignment horizontal="center" vertical="center" wrapText="1"/>
    </xf>
    <xf numFmtId="0" fontId="4" fillId="5" borderId="14" xfId="0" applyFont="1" applyFill="1" applyBorder="1" applyAlignment="1" applyProtection="1">
      <alignment horizontal="center" vertical="center"/>
    </xf>
    <xf numFmtId="0" fontId="4" fillId="5" borderId="30" xfId="0" applyFont="1" applyFill="1" applyBorder="1" applyAlignment="1" applyProtection="1">
      <alignment horizontal="center" vertical="center" wrapText="1"/>
    </xf>
    <xf numFmtId="0" fontId="4" fillId="5" borderId="32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  <xf numFmtId="0" fontId="1" fillId="4" borderId="12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3" xfId="0" applyFont="1" applyFill="1" applyBorder="1" applyAlignment="1" applyProtection="1">
      <alignment horizontal="left" vertical="top" wrapText="1"/>
      <protection locked="0"/>
    </xf>
    <xf numFmtId="0" fontId="1" fillId="4" borderId="10" xfId="0" applyFont="1" applyFill="1" applyBorder="1" applyAlignment="1" applyProtection="1">
      <alignment horizontal="left" vertical="top" wrapText="1"/>
      <protection locked="0"/>
    </xf>
    <xf numFmtId="0" fontId="1" fillId="4" borderId="1" xfId="0" applyFont="1" applyFill="1" applyBorder="1" applyAlignment="1" applyProtection="1">
      <alignment horizontal="left" vertical="top" wrapText="1"/>
      <protection locked="0"/>
    </xf>
    <xf numFmtId="0" fontId="1" fillId="4" borderId="11" xfId="0" applyFont="1" applyFill="1" applyBorder="1" applyAlignment="1" applyProtection="1">
      <alignment horizontal="left" vertical="top" wrapText="1"/>
      <protection locked="0"/>
    </xf>
    <xf numFmtId="0" fontId="4" fillId="6" borderId="28" xfId="0" applyFont="1" applyFill="1" applyBorder="1" applyAlignment="1" applyProtection="1">
      <alignment horizontal="center" vertical="center" wrapText="1"/>
    </xf>
    <xf numFmtId="0" fontId="4" fillId="6" borderId="31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1" fillId="9" borderId="3" xfId="0" applyFont="1" applyFill="1" applyBorder="1" applyAlignment="1" applyProtection="1">
      <alignment horizontal="center"/>
    </xf>
    <xf numFmtId="164" fontId="15" fillId="4" borderId="1" xfId="0" applyNumberFormat="1" applyFont="1" applyFill="1" applyBorder="1" applyAlignment="1" applyProtection="1">
      <alignment horizontal="left"/>
      <protection locked="0"/>
    </xf>
    <xf numFmtId="164" fontId="4" fillId="2" borderId="4" xfId="0" applyNumberFormat="1" applyFont="1" applyFill="1" applyBorder="1" applyAlignment="1" applyProtection="1">
      <alignment horizontal="center" vertical="center" wrapText="1"/>
    </xf>
    <xf numFmtId="164" fontId="4" fillId="2" borderId="12" xfId="0" applyNumberFormat="1" applyFont="1" applyFill="1" applyBorder="1" applyAlignment="1" applyProtection="1">
      <alignment horizontal="center" vertical="center" wrapText="1"/>
    </xf>
    <xf numFmtId="164" fontId="4" fillId="2" borderId="10" xfId="0" applyNumberFormat="1" applyFont="1" applyFill="1" applyBorder="1" applyAlignment="1" applyProtection="1">
      <alignment horizontal="center" vertical="center" wrapText="1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167" fontId="4" fillId="2" borderId="1" xfId="0" applyNumberFormat="1" applyFont="1" applyFill="1" applyBorder="1" applyAlignment="1" applyProtection="1">
      <alignment horizontal="center" vertical="center" wrapText="1"/>
    </xf>
    <xf numFmtId="167" fontId="4" fillId="2" borderId="13" xfId="0" applyNumberFormat="1" applyFont="1" applyFill="1" applyBorder="1" applyAlignment="1" applyProtection="1">
      <alignment horizontal="center" vertical="center" wrapText="1"/>
    </xf>
    <xf numFmtId="167" fontId="4" fillId="2" borderId="11" xfId="0" applyNumberFormat="1" applyFont="1" applyFill="1" applyBorder="1" applyAlignment="1" applyProtection="1">
      <alignment horizontal="center" vertical="center" wrapText="1"/>
    </xf>
    <xf numFmtId="0" fontId="26" fillId="2" borderId="4" xfId="0" applyFont="1" applyFill="1" applyBorder="1" applyAlignment="1" applyProtection="1">
      <alignment horizontal="center" vertical="center" wrapText="1"/>
    </xf>
    <xf numFmtId="0" fontId="26" fillId="2" borderId="9" xfId="0" applyFont="1" applyFill="1" applyBorder="1" applyAlignment="1" applyProtection="1">
      <alignment horizontal="center" vertical="center" wrapText="1"/>
    </xf>
    <xf numFmtId="0" fontId="26" fillId="2" borderId="10" xfId="0" applyFont="1" applyFill="1" applyBorder="1" applyAlignment="1" applyProtection="1">
      <alignment horizontal="center" vertical="center" wrapText="1"/>
    </xf>
    <xf numFmtId="0" fontId="26" fillId="2" borderId="11" xfId="0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15" xfId="0" applyNumberFormat="1" applyFont="1" applyFill="1" applyBorder="1" applyAlignment="1" applyProtection="1">
      <alignment horizontal="left" vertical="center" wrapText="1"/>
    </xf>
    <xf numFmtId="164" fontId="15" fillId="6" borderId="3" xfId="0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006600"/>
      <color rgb="FF663300"/>
      <color rgb="FF0099FF"/>
      <color rgb="FF3399FF"/>
      <color rgb="FF0066FF"/>
      <color rgb="FF00CC66"/>
      <color rgb="FF009900"/>
      <color rgb="FF339933"/>
      <color rgb="FF00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3106790123456791"/>
          <c:y val="2.56565656565656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67901234562E-2"/>
          <c:y val="0.12467424242424244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MP_NO2'!$C$2:$C$3</c:f>
              <c:strCache>
                <c:ptCount val="2"/>
                <c:pt idx="0">
                  <c:v>x</c:v>
                </c:pt>
                <c:pt idx="1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3C-48D6-B9F5-EA283A828D8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29.777999999999992</c:v>
                </c:pt>
                <c:pt idx="2">
                  <c:v>61.416000000000011</c:v>
                </c:pt>
                <c:pt idx="3">
                  <c:v>100.994</c:v>
                </c:pt>
                <c:pt idx="4">
                  <c:v>148.58799999999999</c:v>
                </c:pt>
              </c:numCache>
            </c:numRef>
          </c:xVal>
          <c:yVal>
            <c:numRef>
              <c:f>'Grafica MP_NO2'!$C$4:$C$8</c:f>
              <c:numCache>
                <c:formatCode>0.0</c:formatCode>
                <c:ptCount val="5"/>
                <c:pt idx="0">
                  <c:v>0</c:v>
                </c:pt>
                <c:pt idx="1">
                  <c:v>29.777999999999992</c:v>
                </c:pt>
                <c:pt idx="2">
                  <c:v>61.416000000000011</c:v>
                </c:pt>
                <c:pt idx="3">
                  <c:v>100.994</c:v>
                </c:pt>
                <c:pt idx="4">
                  <c:v>148.58799999999999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3C-48D6-B9F5-EA283A828D87}"/>
            </c:ext>
          </c:extLst>
        </c:ser>
        <c:ser>
          <c:idx val="1"/>
          <c:order val="1"/>
          <c:tx>
            <c:strRef>
              <c:f>'Grafica MP_NO2'!$D$2:$D$3</c:f>
              <c:strCache>
                <c:ptCount val="2"/>
                <c:pt idx="0">
                  <c:v>y</c:v>
                </c:pt>
                <c:pt idx="1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3C-48D6-B9F5-EA283A828D87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3C-48D6-B9F5-EA283A828D87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3C-48D6-B9F5-EA283A828D87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83C-48D6-B9F5-EA283A828D87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3C-48D6-B9F5-EA283A828D8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9371450617283952"/>
                  <c:y val="9.6613636363636388E-2"/>
                </c:manualLayout>
              </c:layout>
              <c:numFmt formatCode="General" sourceLinked="0"/>
            </c:trendlineLbl>
          </c:trendline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29.777999999999992</c:v>
                </c:pt>
                <c:pt idx="2">
                  <c:v>61.416000000000011</c:v>
                </c:pt>
                <c:pt idx="3">
                  <c:v>100.994</c:v>
                </c:pt>
                <c:pt idx="4">
                  <c:v>148.58799999999999</c:v>
                </c:pt>
              </c:numCache>
            </c:numRef>
          </c:xVal>
          <c:yVal>
            <c:numRef>
              <c:f>'Grafica MP_NO2'!$D$4:$D$8</c:f>
              <c:numCache>
                <c:formatCode>0.0</c:formatCode>
                <c:ptCount val="5"/>
                <c:pt idx="0">
                  <c:v>0.19</c:v>
                </c:pt>
                <c:pt idx="1">
                  <c:v>31.376000000000005</c:v>
                </c:pt>
                <c:pt idx="2">
                  <c:v>62.076000000000036</c:v>
                </c:pt>
                <c:pt idx="3">
                  <c:v>101.30999999999997</c:v>
                </c:pt>
                <c:pt idx="4">
                  <c:v>148.87199999999999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3C-48D6-B9F5-EA283A828D87}"/>
            </c:ext>
          </c:extLst>
        </c:ser>
        <c:ser>
          <c:idx val="2"/>
          <c:order val="2"/>
          <c:tx>
            <c:strRef>
              <c:f>'Grafica MP_NO2'!$E$2:$E$3</c:f>
              <c:strCache>
                <c:ptCount val="2"/>
                <c:pt idx="0">
                  <c:v>y</c:v>
                </c:pt>
                <c:pt idx="1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29.777999999999992</c:v>
                </c:pt>
                <c:pt idx="2">
                  <c:v>61.416000000000011</c:v>
                </c:pt>
                <c:pt idx="3">
                  <c:v>100.994</c:v>
                </c:pt>
                <c:pt idx="4">
                  <c:v>148.58799999999999</c:v>
                </c:pt>
              </c:numCache>
            </c:numRef>
          </c:xVal>
          <c:yVal>
            <c:numRef>
              <c:f>'Grafica MP_NO2'!$E$4:$E$8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3C-48D6-B9F5-EA283A828D87}"/>
            </c:ext>
          </c:extLst>
        </c:ser>
        <c:ser>
          <c:idx val="3"/>
          <c:order val="3"/>
          <c:tx>
            <c:strRef>
              <c:f>'Grafica MP_NO2'!$F$2:$F$3</c:f>
              <c:strCache>
                <c:ptCount val="2"/>
                <c:pt idx="0">
                  <c:v>y</c:v>
                </c:pt>
                <c:pt idx="1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29.777999999999992</c:v>
                </c:pt>
                <c:pt idx="2">
                  <c:v>61.416000000000011</c:v>
                </c:pt>
                <c:pt idx="3">
                  <c:v>100.994</c:v>
                </c:pt>
                <c:pt idx="4">
                  <c:v>148.58799999999999</c:v>
                </c:pt>
              </c:numCache>
            </c:numRef>
          </c:xVal>
          <c:yVal>
            <c:numRef>
              <c:f>'Grafica MP_NO2'!$F$4:$F$8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3C-48D6-B9F5-EA283A828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2176"/>
        <c:axId val="-979022720"/>
      </c:scatterChart>
      <c:valAx>
        <c:axId val="-979022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2720"/>
        <c:crosses val="autoZero"/>
        <c:crossBetween val="midCat"/>
      </c:valAx>
      <c:valAx>
        <c:axId val="-97902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9022176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4168657407407412"/>
          <c:y val="0.57180530303030308"/>
          <c:w val="0.18038750000000001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6352839506172839"/>
          <c:y val="2.56565656565656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MP_NO'!$C$2:$C$3</c:f>
              <c:strCache>
                <c:ptCount val="2"/>
                <c:pt idx="0">
                  <c:v>x</c:v>
                </c:pt>
                <c:pt idx="1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55-496F-8161-0F1B4BC2101E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80.599999999999994</c:v>
                </c:pt>
                <c:pt idx="3">
                  <c:v>140.4</c:v>
                </c:pt>
                <c:pt idx="4">
                  <c:v>180</c:v>
                </c:pt>
              </c:numCache>
            </c:numRef>
          </c:xVal>
          <c:yVal>
            <c:numRef>
              <c:f>'Grafica MP_NO'!$C$4:$C$8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80.599999999999994</c:v>
                </c:pt>
                <c:pt idx="3">
                  <c:v>140.4</c:v>
                </c:pt>
                <c:pt idx="4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55-496F-8161-0F1B4BC2101E}"/>
            </c:ext>
          </c:extLst>
        </c:ser>
        <c:ser>
          <c:idx val="1"/>
          <c:order val="1"/>
          <c:tx>
            <c:strRef>
              <c:f>'Grafica MP_NO'!$D$2:$D$3</c:f>
              <c:strCache>
                <c:ptCount val="2"/>
                <c:pt idx="0">
                  <c:v>y</c:v>
                </c:pt>
                <c:pt idx="1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55-496F-8161-0F1B4BC2101E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55-496F-8161-0F1B4BC2101E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55-496F-8161-0F1B4BC2101E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55-496F-8161-0F1B4BC2101E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55-496F-8161-0F1B4BC2101E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6292206790123458"/>
                  <c:y val="3.2899494949494949E-2"/>
                </c:manualLayout>
              </c:layout>
              <c:numFmt formatCode="General" sourceLinked="0"/>
            </c:trendlineLbl>
          </c:trendline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80.599999999999994</c:v>
                </c:pt>
                <c:pt idx="3">
                  <c:v>140.4</c:v>
                </c:pt>
                <c:pt idx="4">
                  <c:v>180</c:v>
                </c:pt>
              </c:numCache>
            </c:numRef>
          </c:xVal>
          <c:yVal>
            <c:numRef>
              <c:f>'Grafica MP_NO'!$D$4:$D$8</c:f>
              <c:numCache>
                <c:formatCode>0.0</c:formatCode>
                <c:ptCount val="5"/>
                <c:pt idx="0">
                  <c:v>-0.16</c:v>
                </c:pt>
                <c:pt idx="1">
                  <c:v>39.061999999999998</c:v>
                </c:pt>
                <c:pt idx="2">
                  <c:v>80.092500000000001</c:v>
                </c:pt>
                <c:pt idx="3">
                  <c:v>140.51599999999999</c:v>
                </c:pt>
                <c:pt idx="4">
                  <c:v>180.12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355-496F-8161-0F1B4BC2101E}"/>
            </c:ext>
          </c:extLst>
        </c:ser>
        <c:ser>
          <c:idx val="2"/>
          <c:order val="2"/>
          <c:tx>
            <c:strRef>
              <c:f>'Grafica MP_NO'!$E$2:$E$3</c:f>
              <c:strCache>
                <c:ptCount val="2"/>
                <c:pt idx="0">
                  <c:v>y</c:v>
                </c:pt>
                <c:pt idx="1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80.599999999999994</c:v>
                </c:pt>
                <c:pt idx="3">
                  <c:v>140.4</c:v>
                </c:pt>
                <c:pt idx="4">
                  <c:v>180</c:v>
                </c:pt>
              </c:numCache>
            </c:numRef>
          </c:xVal>
          <c:yVal>
            <c:numRef>
              <c:f>'Grafica MP_NO'!$E$4:$E$8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355-496F-8161-0F1B4BC2101E}"/>
            </c:ext>
          </c:extLst>
        </c:ser>
        <c:ser>
          <c:idx val="3"/>
          <c:order val="3"/>
          <c:tx>
            <c:strRef>
              <c:f>'Grafica MP_NO'!$F$2:$F$3</c:f>
              <c:strCache>
                <c:ptCount val="2"/>
                <c:pt idx="0">
                  <c:v>y</c:v>
                </c:pt>
                <c:pt idx="1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80.599999999999994</c:v>
                </c:pt>
                <c:pt idx="3">
                  <c:v>140.4</c:v>
                </c:pt>
                <c:pt idx="4">
                  <c:v>180</c:v>
                </c:pt>
              </c:numCache>
            </c:numRef>
          </c:xVal>
          <c:yVal>
            <c:numRef>
              <c:f>'Grafica MP_NO'!$F$4:$F$8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355-496F-8161-0F1B4BC21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3264"/>
        <c:axId val="-979021632"/>
      </c:scatterChart>
      <c:valAx>
        <c:axId val="-97902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1632"/>
        <c:crosses val="autoZero"/>
        <c:crossBetween val="midCat"/>
      </c:valAx>
      <c:valAx>
        <c:axId val="-979021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3264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8284398148148149"/>
          <c:y val="0.61349722222222225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u="none" baseline="0">
                <a:effectLst/>
              </a:rPr>
              <a:t>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Z-S_NO2'!$C$2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75-4931-9205-507DF1A84BC7}"/>
                </c:ext>
              </c:extLst>
            </c:dLbl>
            <c:dLbl>
              <c:idx val="1"/>
              <c:layout>
                <c:manualLayout>
                  <c:x val="-1.4876801487680148E-2"/>
                  <c:y val="6.7307692307692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75-4931-9205-507DF1A84BC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148.58799999999999</c:v>
                </c:pt>
              </c:numCache>
            </c:numRef>
          </c:xVal>
          <c:yVal>
            <c:numRef>
              <c:f>'Grafica Z-S_NO2'!$C$3:$C$4</c:f>
              <c:numCache>
                <c:formatCode>0.0</c:formatCode>
                <c:ptCount val="2"/>
                <c:pt idx="0">
                  <c:v>0</c:v>
                </c:pt>
                <c:pt idx="1">
                  <c:v>148.58799999999999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75-4931-9205-507DF1A84BC7}"/>
            </c:ext>
          </c:extLst>
        </c:ser>
        <c:ser>
          <c:idx val="2"/>
          <c:order val="1"/>
          <c:tx>
            <c:strRef>
              <c:f>'Grafica Z-S_NO2'!$D$2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75-4931-9205-507DF1A84BC7}"/>
                </c:ext>
              </c:extLst>
            </c:dLbl>
            <c:dLbl>
              <c:idx val="1"/>
              <c:layout>
                <c:manualLayout>
                  <c:x val="-0.11901455832665268"/>
                  <c:y val="-9.6153846153846159E-3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75-4931-9205-507DF1A84B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148.58799999999999</c:v>
                </c:pt>
              </c:numCache>
            </c:numRef>
          </c:xVal>
          <c:yVal>
            <c:numRef>
              <c:f>'Grafica Z-S_NO2'!$D$3:$D$4</c:f>
              <c:numCache>
                <c:formatCode>0.0</c:formatCode>
                <c:ptCount val="2"/>
                <c:pt idx="0">
                  <c:v>-0.16</c:v>
                </c:pt>
                <c:pt idx="1">
                  <c:v>148.87199999999999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75-4931-9205-507DF1A84BC7}"/>
            </c:ext>
          </c:extLst>
        </c:ser>
        <c:ser>
          <c:idx val="3"/>
          <c:order val="2"/>
          <c:tx>
            <c:strRef>
              <c:f>'Grafica Z-S_NO2'!$E$2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148.58799999999999</c:v>
                </c:pt>
              </c:numCache>
            </c:numRef>
          </c:xVal>
          <c:yVal>
            <c:numRef>
              <c:f>'Grafica Z-S_NO2'!$E$3:$E$4</c:f>
              <c:numCache>
                <c:formatCode>0.0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B75-4931-9205-507DF1A84BC7}"/>
            </c:ext>
          </c:extLst>
        </c:ser>
        <c:ser>
          <c:idx val="4"/>
          <c:order val="3"/>
          <c:tx>
            <c:strRef>
              <c:f>'Grafica Z-S_NO2'!$F$2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148.58799999999999</c:v>
                </c:pt>
              </c:numCache>
            </c:numRef>
          </c:xVal>
          <c:yVal>
            <c:numRef>
              <c:f>'Grafica Z-S_NO2'!$F$3:$F$4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B75-4931-9205-507DF1A84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1088"/>
        <c:axId val="-973465424"/>
      </c:scatterChart>
      <c:valAx>
        <c:axId val="-97902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5424"/>
        <c:crosses val="autoZero"/>
        <c:crossBetween val="midCat"/>
      </c:valAx>
      <c:valAx>
        <c:axId val="-973465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902108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681003086419756"/>
          <c:y val="0.53462651515151516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u="none" baseline="0">
                <a:effectLst/>
              </a:rPr>
              <a:t>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0228487654320987"/>
          <c:y val="2.24494949494949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Z-S_NO'!$C$2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B4-4BDF-93F9-03115CEDB94B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Z-S_NO'!$C$3:$C$4</c:f>
              <c:numCache>
                <c:formatCode>0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B4-4BDF-93F9-03115CEDB94B}"/>
            </c:ext>
          </c:extLst>
        </c:ser>
        <c:ser>
          <c:idx val="2"/>
          <c:order val="1"/>
          <c:tx>
            <c:strRef>
              <c:f>'Grafica Z-S_NO'!$D$2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B4-4BDF-93F9-03115CEDB94B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B4-4BDF-93F9-03115CEDB9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Z-S_NO'!$D$3:$D$4</c:f>
              <c:numCache>
                <c:formatCode>0.0</c:formatCode>
                <c:ptCount val="2"/>
                <c:pt idx="0">
                  <c:v>-0.16</c:v>
                </c:pt>
                <c:pt idx="1">
                  <c:v>180.12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B4-4BDF-93F9-03115CEDB94B}"/>
            </c:ext>
          </c:extLst>
        </c:ser>
        <c:ser>
          <c:idx val="1"/>
          <c:order val="2"/>
          <c:tx>
            <c:strRef>
              <c:f>'Grafica Z-S_NO'!$E$2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B4-4BDF-93F9-03115CEDB94B}"/>
                </c:ext>
              </c:extLst>
            </c:dLbl>
            <c:dLbl>
              <c:idx val="1"/>
              <c:layout>
                <c:manualLayout>
                  <c:x val="-0.10467909084586184"/>
                  <c:y val="-5.92620633959216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B4-4BDF-93F9-03115CEDB94B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B4-4BDF-93F9-03115CEDB94B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B4-4BDF-93F9-03115CEDB94B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B4-4BDF-93F9-03115CEDB94B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Z-S_NO'!$E$3:$E$4</c:f>
              <c:numCache>
                <c:formatCode>0.0</c:formatCode>
                <c:ptCount val="2"/>
                <c:pt idx="0">
                  <c:v>-1.212</c:v>
                </c:pt>
                <c:pt idx="1">
                  <c:v>179.8725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FB4-4BDF-93F9-03115CEDB94B}"/>
            </c:ext>
          </c:extLst>
        </c:ser>
        <c:ser>
          <c:idx val="3"/>
          <c:order val="3"/>
          <c:tx>
            <c:strRef>
              <c:f>'Grafica Z-S_NO'!$F$2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FB4-4BDF-93F9-03115CEDB94B}"/>
            </c:ext>
          </c:extLst>
        </c:ser>
        <c:ser>
          <c:idx val="4"/>
          <c:order val="4"/>
          <c:tx>
            <c:strRef>
              <c:f>'Grafica Z-S_NO'!$G$2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Z-S_NO'!$G$3:$G$4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FB4-4BDF-93F9-03115CED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1072"/>
        <c:axId val="-973467600"/>
      </c:scatterChart>
      <c:valAx>
        <c:axId val="-97346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7600"/>
        <c:crosses val="autoZero"/>
        <c:crossBetween val="midCat"/>
      </c:valAx>
      <c:valAx>
        <c:axId val="-973467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346107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093040123456794"/>
          <c:y val="0.53141944444444444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PREC_NO2'!$C$2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B9-44EE-BD3D-21184AF3FC63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29.777999999999992</c:v>
                </c:pt>
              </c:numCache>
            </c:numRef>
          </c:xVal>
          <c:yVal>
            <c:numRef>
              <c:f>'Grafica PREC_NO2'!$C$3:$C$4</c:f>
              <c:numCache>
                <c:formatCode>0.0</c:formatCode>
                <c:ptCount val="2"/>
                <c:pt idx="0">
                  <c:v>0</c:v>
                </c:pt>
                <c:pt idx="1">
                  <c:v>29.777999999999992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B9-44EE-BD3D-21184AF3FC63}"/>
            </c:ext>
          </c:extLst>
        </c:ser>
        <c:ser>
          <c:idx val="1"/>
          <c:order val="1"/>
          <c:tx>
            <c:strRef>
              <c:f>'Grafica PREC_NO2'!$D$2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9-44EE-BD3D-21184AF3FC63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B9-44EE-BD3D-21184AF3FC63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9-44EE-BD3D-21184AF3FC63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9-44EE-BD3D-21184AF3FC63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B9-44EE-BD3D-21184AF3FC63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29.777999999999992</c:v>
                </c:pt>
              </c:numCache>
            </c:numRef>
          </c:xVal>
          <c:yVal>
            <c:numRef>
              <c:f>'Grafica PREC_NO2'!$D$3:$D$4</c:f>
              <c:numCache>
                <c:formatCode>0.0</c:formatCode>
                <c:ptCount val="2"/>
                <c:pt idx="0">
                  <c:v>0.19</c:v>
                </c:pt>
                <c:pt idx="1">
                  <c:v>31.376000000000005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B9-44EE-BD3D-21184AF3FC63}"/>
            </c:ext>
          </c:extLst>
        </c:ser>
        <c:ser>
          <c:idx val="3"/>
          <c:order val="2"/>
          <c:tx>
            <c:strRef>
              <c:f>'Grafica PREC_NO2'!$E$2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29.777999999999992</c:v>
                </c:pt>
              </c:numCache>
            </c:numRef>
          </c:xVal>
          <c:yVal>
            <c:numRef>
              <c:f>'Grafica PREC_NO2'!$E$3:$E$4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B9-44EE-BD3D-21184AF3FC63}"/>
            </c:ext>
          </c:extLst>
        </c:ser>
        <c:ser>
          <c:idx val="4"/>
          <c:order val="3"/>
          <c:tx>
            <c:strRef>
              <c:f>'Grafica PREC_NO2'!$F$2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29.777999999999992</c:v>
                </c:pt>
              </c:numCache>
            </c:numRef>
          </c:xVal>
          <c:yVal>
            <c:numRef>
              <c:f>'Grafica PREC_NO2'!$F$3:$F$4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B9-44EE-BD3D-21184AF3F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5968"/>
        <c:axId val="-973467056"/>
      </c:scatterChart>
      <c:valAx>
        <c:axId val="-97346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7056"/>
        <c:crosses val="autoZero"/>
        <c:crossBetween val="midCat"/>
      </c:valAx>
      <c:valAx>
        <c:axId val="-97346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346596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681003086419756"/>
          <c:y val="0.55386893939393944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PREC_NO'!$C$2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25-42C9-9BE8-D27D761588FD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PREC_NO'!$C$3:$C$4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25-42C9-9BE8-D27D761588FD}"/>
            </c:ext>
          </c:extLst>
        </c:ser>
        <c:ser>
          <c:idx val="1"/>
          <c:order val="1"/>
          <c:tx>
            <c:strRef>
              <c:f>'Grafica PREC_NO'!$D$2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25-42C9-9BE8-D27D761588FD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25-42C9-9BE8-D27D761588FD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25-42C9-9BE8-D27D761588FD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25-42C9-9BE8-D27D761588FD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25-42C9-9BE8-D27D761588FD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PREC_NO'!$D$3:$D$4</c:f>
              <c:numCache>
                <c:formatCode>0.0</c:formatCode>
                <c:ptCount val="2"/>
                <c:pt idx="0">
                  <c:v>-0.16</c:v>
                </c:pt>
                <c:pt idx="1">
                  <c:v>39.061999999999998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25-42C9-9BE8-D27D761588FD}"/>
            </c:ext>
          </c:extLst>
        </c:ser>
        <c:ser>
          <c:idx val="3"/>
          <c:order val="2"/>
          <c:tx>
            <c:strRef>
              <c:f>'Grafica PREC_NO'!$E$2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PREC_NO'!$E$3:$E$4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25-42C9-9BE8-D27D761588FD}"/>
            </c:ext>
          </c:extLst>
        </c:ser>
        <c:ser>
          <c:idx val="4"/>
          <c:order val="3"/>
          <c:tx>
            <c:strRef>
              <c:f>'Grafica PREC_NO'!$F$2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25-42C9-9BE8-D27D76158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3248"/>
        <c:axId val="-973461616"/>
      </c:scatterChart>
      <c:valAx>
        <c:axId val="-97346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1616"/>
        <c:crosses val="autoZero"/>
        <c:crossBetween val="midCat"/>
      </c:valAx>
      <c:valAx>
        <c:axId val="-973461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324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485015432098761"/>
          <c:y val="0.53783358585858587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358588</xdr:colOff>
      <xdr:row>1</xdr:row>
      <xdr:rowOff>44821</xdr:rowOff>
    </xdr:from>
    <xdr:to>
      <xdr:col>2</xdr:col>
      <xdr:colOff>784412</xdr:colOff>
      <xdr:row>4</xdr:row>
      <xdr:rowOff>233400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59441" y="145674"/>
          <a:ext cx="1636059" cy="7712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142875</xdr:rowOff>
    </xdr:from>
    <xdr:to>
      <xdr:col>9</xdr:col>
      <xdr:colOff>203025</xdr:colOff>
      <xdr:row>25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685800</xdr:colOff>
      <xdr:row>0</xdr:row>
      <xdr:rowOff>142875</xdr:rowOff>
    </xdr:from>
    <xdr:to>
      <xdr:col>9</xdr:col>
      <xdr:colOff>307800</xdr:colOff>
      <xdr:row>25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0</xdr:row>
      <xdr:rowOff>142875</xdr:rowOff>
    </xdr:from>
    <xdr:to>
      <xdr:col>9</xdr:col>
      <xdr:colOff>326850</xdr:colOff>
      <xdr:row>24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0</xdr:row>
      <xdr:rowOff>142875</xdr:rowOff>
    </xdr:from>
    <xdr:to>
      <xdr:col>9</xdr:col>
      <xdr:colOff>326850</xdr:colOff>
      <xdr:row>24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114300</xdr:rowOff>
    </xdr:from>
    <xdr:to>
      <xdr:col>9</xdr:col>
      <xdr:colOff>336375</xdr:colOff>
      <xdr:row>24</xdr:row>
      <xdr:rowOff>45225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133350</xdr:rowOff>
    </xdr:from>
    <xdr:to>
      <xdr:col>9</xdr:col>
      <xdr:colOff>374475</xdr:colOff>
      <xdr:row>24</xdr:row>
      <xdr:rowOff>45225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58"/>
  <sheetViews>
    <sheetView tabSelected="1" topLeftCell="A19" zoomScale="85" zoomScaleNormal="85" zoomScaleSheetLayoutView="100" workbookViewId="0">
      <selection activeCell="G25" sqref="G25"/>
    </sheetView>
  </sheetViews>
  <sheetFormatPr baseColWidth="10" defaultColWidth="11.42578125" defaultRowHeight="12.75" x14ac:dyDescent="0.2"/>
  <cols>
    <col min="1" max="1" width="1.42578125" style="2" customWidth="1"/>
    <col min="2" max="2" width="18.140625" style="2" customWidth="1"/>
    <col min="3" max="3" width="17.140625" style="2" customWidth="1"/>
    <col min="4" max="5" width="13.5703125" style="2" customWidth="1"/>
    <col min="6" max="6" width="14.7109375" style="2" customWidth="1"/>
    <col min="7" max="10" width="13.5703125" style="2" customWidth="1"/>
    <col min="11" max="11" width="1.42578125" style="3" customWidth="1"/>
    <col min="12" max="12" width="1" style="2" customWidth="1"/>
    <col min="13" max="13" width="11.42578125" style="2"/>
    <col min="14" max="14" width="13" style="2" customWidth="1"/>
    <col min="15" max="20" width="11.42578125" style="2"/>
    <col min="21" max="21" width="12.28515625" style="2" bestFit="1" customWidth="1"/>
    <col min="22" max="16384" width="11.42578125" style="2"/>
  </cols>
  <sheetData>
    <row r="1" spans="1:21" ht="7.5" customHeight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  <c r="K1" s="24"/>
      <c r="L1" s="25"/>
    </row>
    <row r="2" spans="1:21" ht="18.75" customHeight="1" x14ac:dyDescent="0.2">
      <c r="A2" s="23"/>
      <c r="B2" s="306"/>
      <c r="C2" s="306"/>
      <c r="D2" s="307" t="s">
        <v>14</v>
      </c>
      <c r="E2" s="308"/>
      <c r="F2" s="308"/>
      <c r="G2" s="308"/>
      <c r="H2" s="309"/>
      <c r="I2" s="313" t="s">
        <v>189</v>
      </c>
      <c r="J2" s="314"/>
      <c r="K2" s="23"/>
      <c r="L2" s="25"/>
    </row>
    <row r="3" spans="1:21" ht="12.75" customHeight="1" x14ac:dyDescent="0.2">
      <c r="A3" s="23"/>
      <c r="B3" s="306"/>
      <c r="C3" s="306"/>
      <c r="D3" s="310"/>
      <c r="E3" s="311"/>
      <c r="F3" s="311"/>
      <c r="G3" s="311"/>
      <c r="H3" s="312"/>
      <c r="I3" s="315" t="s">
        <v>190</v>
      </c>
      <c r="J3" s="316"/>
      <c r="K3" s="23"/>
      <c r="L3" s="25"/>
    </row>
    <row r="4" spans="1:21" ht="15" customHeight="1" x14ac:dyDescent="0.2">
      <c r="A4" s="23"/>
      <c r="B4" s="306"/>
      <c r="C4" s="306"/>
      <c r="D4" s="307" t="s">
        <v>197</v>
      </c>
      <c r="E4" s="308"/>
      <c r="F4" s="308"/>
      <c r="G4" s="308"/>
      <c r="H4" s="309"/>
      <c r="I4" s="317"/>
      <c r="J4" s="318"/>
      <c r="K4" s="23"/>
      <c r="L4" s="25"/>
    </row>
    <row r="5" spans="1:21" ht="21" customHeight="1" x14ac:dyDescent="0.2">
      <c r="A5" s="23"/>
      <c r="B5" s="306"/>
      <c r="C5" s="306"/>
      <c r="D5" s="310"/>
      <c r="E5" s="311"/>
      <c r="F5" s="311"/>
      <c r="G5" s="311"/>
      <c r="H5" s="312"/>
      <c r="I5" s="313" t="s">
        <v>13</v>
      </c>
      <c r="J5" s="314"/>
      <c r="K5" s="23"/>
      <c r="L5" s="25"/>
    </row>
    <row r="6" spans="1:21" ht="12.75" customHeight="1" x14ac:dyDescent="0.2">
      <c r="A6" s="23"/>
      <c r="B6" s="26"/>
      <c r="C6" s="26"/>
      <c r="D6" s="27"/>
      <c r="E6" s="27"/>
      <c r="F6" s="27"/>
      <c r="G6" s="27"/>
      <c r="H6" s="27"/>
      <c r="I6" s="28"/>
      <c r="J6" s="28"/>
      <c r="K6" s="23"/>
      <c r="L6" s="25"/>
    </row>
    <row r="7" spans="1:21" ht="15" customHeight="1" x14ac:dyDescent="0.2">
      <c r="A7" s="23"/>
      <c r="B7" s="29" t="s">
        <v>29</v>
      </c>
      <c r="C7" s="30"/>
      <c r="D7" s="30"/>
      <c r="E7" s="30"/>
      <c r="F7" s="30"/>
      <c r="G7" s="30"/>
      <c r="H7" s="27"/>
      <c r="I7" s="27"/>
      <c r="J7" s="27"/>
      <c r="K7" s="23"/>
      <c r="L7" s="25"/>
      <c r="U7" s="23"/>
    </row>
    <row r="8" spans="1:21" ht="15" customHeight="1" x14ac:dyDescent="0.2">
      <c r="A8" s="23"/>
      <c r="B8" s="31" t="s">
        <v>6</v>
      </c>
      <c r="C8" s="10" t="s">
        <v>206</v>
      </c>
      <c r="D8" s="32" t="s">
        <v>15</v>
      </c>
      <c r="E8" s="10" t="s">
        <v>58</v>
      </c>
      <c r="F8" s="33" t="s">
        <v>28</v>
      </c>
      <c r="G8" s="10" t="s">
        <v>207</v>
      </c>
      <c r="H8" s="34"/>
      <c r="I8" s="35"/>
      <c r="J8" s="35"/>
      <c r="K8" s="23"/>
      <c r="L8" s="25"/>
      <c r="U8" s="171"/>
    </row>
    <row r="9" spans="1:21" ht="15" customHeight="1" x14ac:dyDescent="0.2">
      <c r="A9" s="23"/>
      <c r="B9" s="36" t="s">
        <v>47</v>
      </c>
      <c r="C9" s="22">
        <v>0.59722222222222221</v>
      </c>
      <c r="D9" s="24"/>
      <c r="E9" s="37" t="s">
        <v>48</v>
      </c>
      <c r="F9" s="22">
        <v>0.73611111111111116</v>
      </c>
      <c r="G9" s="24"/>
      <c r="H9" s="38"/>
      <c r="I9" s="24"/>
      <c r="J9" s="24"/>
      <c r="K9" s="23"/>
      <c r="L9" s="25"/>
      <c r="U9" s="173"/>
    </row>
    <row r="10" spans="1:21" ht="15" customHeight="1" x14ac:dyDescent="0.2">
      <c r="A10" s="23"/>
      <c r="B10" s="288" t="s">
        <v>16</v>
      </c>
      <c r="C10" s="289"/>
      <c r="D10" s="289"/>
      <c r="E10" s="290">
        <v>46141</v>
      </c>
      <c r="F10" s="290"/>
      <c r="G10" s="39"/>
      <c r="H10" s="40"/>
      <c r="I10" s="41"/>
      <c r="J10" s="41"/>
      <c r="K10" s="23"/>
      <c r="L10" s="25"/>
      <c r="U10" s="23"/>
    </row>
    <row r="11" spans="1:21" ht="11.25" customHeight="1" x14ac:dyDescent="0.2">
      <c r="A11" s="23"/>
      <c r="B11" s="23"/>
      <c r="C11" s="23"/>
      <c r="D11" s="23"/>
      <c r="E11" s="23"/>
      <c r="F11" s="23"/>
      <c r="G11" s="23"/>
      <c r="H11" s="23"/>
      <c r="I11" s="23"/>
      <c r="J11" s="41"/>
      <c r="K11" s="23"/>
      <c r="L11" s="25"/>
      <c r="U11" s="23"/>
    </row>
    <row r="12" spans="1:21" s="3" customFormat="1" ht="12.75" customHeight="1" x14ac:dyDescent="0.25">
      <c r="A12" s="24"/>
      <c r="B12" s="42" t="s">
        <v>41</v>
      </c>
      <c r="C12" s="43"/>
      <c r="D12" s="43"/>
      <c r="E12" s="43"/>
      <c r="F12" s="43"/>
      <c r="G12" s="43"/>
      <c r="H12" s="43"/>
      <c r="I12" s="43"/>
      <c r="J12" s="44"/>
      <c r="K12" s="45"/>
      <c r="L12" s="46"/>
      <c r="U12" s="23"/>
    </row>
    <row r="13" spans="1:21" s="3" customFormat="1" ht="12.75" customHeight="1" x14ac:dyDescent="0.2">
      <c r="A13" s="24"/>
      <c r="B13" s="42" t="s">
        <v>44</v>
      </c>
      <c r="C13" s="43"/>
      <c r="D13" s="43"/>
      <c r="E13" s="43"/>
      <c r="F13" s="43"/>
      <c r="G13" s="43"/>
      <c r="H13" s="43"/>
      <c r="I13" s="43"/>
      <c r="J13" s="44"/>
      <c r="K13" s="45"/>
      <c r="L13" s="46"/>
      <c r="U13" s="2"/>
    </row>
    <row r="14" spans="1:21" s="3" customFormat="1" ht="11.25" customHeight="1" x14ac:dyDescent="0.2">
      <c r="A14" s="24"/>
      <c r="B14" s="42"/>
      <c r="C14" s="43"/>
      <c r="D14" s="43"/>
      <c r="E14" s="43"/>
      <c r="F14" s="43"/>
      <c r="G14" s="43"/>
      <c r="H14" s="43"/>
      <c r="I14" s="43"/>
      <c r="J14" s="44"/>
      <c r="K14" s="45"/>
      <c r="L14" s="46"/>
      <c r="U14" s="2"/>
    </row>
    <row r="15" spans="1:21" ht="12.75" customHeight="1" x14ac:dyDescent="0.2">
      <c r="A15" s="23"/>
      <c r="B15" s="47" t="s">
        <v>30</v>
      </c>
      <c r="C15" s="30"/>
      <c r="D15" s="30"/>
      <c r="E15" s="30"/>
      <c r="F15" s="30"/>
      <c r="G15" s="30"/>
      <c r="H15" s="48"/>
      <c r="I15" s="48"/>
      <c r="J15" s="24"/>
      <c r="K15" s="23"/>
      <c r="L15" s="25"/>
    </row>
    <row r="16" spans="1:21" ht="15" customHeight="1" x14ac:dyDescent="0.2">
      <c r="A16" s="23"/>
      <c r="B16" s="31" t="s">
        <v>2</v>
      </c>
      <c r="C16" s="250" t="s">
        <v>171</v>
      </c>
      <c r="D16" s="33"/>
      <c r="E16" s="32" t="s">
        <v>3</v>
      </c>
      <c r="F16" s="250" t="s">
        <v>170</v>
      </c>
      <c r="G16" s="32" t="s">
        <v>5</v>
      </c>
      <c r="H16" s="244" t="s">
        <v>61</v>
      </c>
      <c r="I16" s="24"/>
      <c r="J16" s="24"/>
      <c r="K16" s="23"/>
      <c r="L16" s="25"/>
    </row>
    <row r="17" spans="1:21" ht="15" customHeight="1" x14ac:dyDescent="0.2">
      <c r="A17" s="23"/>
      <c r="B17" s="88" t="s">
        <v>175</v>
      </c>
      <c r="C17" s="17">
        <v>1.0362</v>
      </c>
      <c r="D17" s="24"/>
      <c r="E17" s="88" t="s">
        <v>173</v>
      </c>
      <c r="F17" s="218">
        <v>7</v>
      </c>
      <c r="G17" s="37" t="s">
        <v>1</v>
      </c>
      <c r="H17" s="19">
        <v>139992</v>
      </c>
      <c r="I17" s="24"/>
      <c r="J17" s="24"/>
      <c r="K17" s="23"/>
      <c r="L17" s="25"/>
    </row>
    <row r="18" spans="1:21" ht="15" customHeight="1" x14ac:dyDescent="0.2">
      <c r="A18" s="23"/>
      <c r="B18" s="88" t="s">
        <v>176</v>
      </c>
      <c r="C18" s="17">
        <v>1.0387</v>
      </c>
      <c r="D18" s="24"/>
      <c r="E18" s="88" t="s">
        <v>62</v>
      </c>
      <c r="F18" s="218">
        <v>11</v>
      </c>
      <c r="G18" s="37" t="s">
        <v>52</v>
      </c>
      <c r="H18" s="253">
        <v>200</v>
      </c>
      <c r="I18" s="24"/>
      <c r="J18" s="24"/>
      <c r="K18" s="23"/>
      <c r="L18" s="25"/>
    </row>
    <row r="19" spans="1:21" ht="15" customHeight="1" x14ac:dyDescent="0.2">
      <c r="A19" s="23"/>
      <c r="B19" s="89" t="s">
        <v>177</v>
      </c>
      <c r="C19" s="17">
        <v>1.1775</v>
      </c>
      <c r="D19" s="24"/>
      <c r="E19" s="89" t="s">
        <v>174</v>
      </c>
      <c r="F19" s="218">
        <v>-18</v>
      </c>
      <c r="G19" s="37"/>
      <c r="H19" s="68"/>
      <c r="I19" s="24"/>
      <c r="J19" s="24"/>
      <c r="K19" s="23"/>
      <c r="L19" s="25"/>
    </row>
    <row r="20" spans="1:21" ht="15" customHeight="1" x14ac:dyDescent="0.2">
      <c r="A20" s="23"/>
      <c r="B20" s="90" t="s">
        <v>178</v>
      </c>
      <c r="C20" s="18">
        <v>1.1503000000000001</v>
      </c>
      <c r="D20" s="39"/>
      <c r="E20" s="188" t="s">
        <v>63</v>
      </c>
      <c r="F20" s="219">
        <v>3</v>
      </c>
      <c r="G20" s="85"/>
      <c r="H20" s="71"/>
      <c r="I20" s="24"/>
      <c r="J20" s="24"/>
      <c r="K20" s="23"/>
      <c r="L20" s="25"/>
      <c r="N20" s="354" t="s">
        <v>198</v>
      </c>
      <c r="O20" s="355"/>
      <c r="P20" s="344" t="s">
        <v>89</v>
      </c>
      <c r="Q20" s="344"/>
      <c r="R20" s="344" t="s">
        <v>90</v>
      </c>
      <c r="S20" s="344"/>
      <c r="T20" s="344"/>
      <c r="U20" s="344"/>
    </row>
    <row r="21" spans="1:21" ht="11.25" customHeight="1" x14ac:dyDescent="0.2">
      <c r="A21" s="23"/>
      <c r="B21" s="24"/>
      <c r="C21" s="24"/>
      <c r="D21" s="24"/>
      <c r="E21" s="24"/>
      <c r="F21" s="24"/>
      <c r="G21" s="24"/>
      <c r="H21" s="24"/>
      <c r="I21" s="24"/>
      <c r="J21" s="52"/>
      <c r="K21" s="23"/>
      <c r="L21" s="25"/>
      <c r="N21" s="356"/>
      <c r="O21" s="357"/>
      <c r="P21" s="159" t="s">
        <v>91</v>
      </c>
      <c r="Q21" s="160" t="s">
        <v>133</v>
      </c>
      <c r="R21" s="345" t="s">
        <v>88</v>
      </c>
      <c r="S21" s="345"/>
      <c r="T21" s="345"/>
      <c r="U21" s="345"/>
    </row>
    <row r="22" spans="1:21" ht="12.75" customHeight="1" x14ac:dyDescent="0.2">
      <c r="A22" s="23"/>
      <c r="B22" s="53" t="s">
        <v>17</v>
      </c>
      <c r="C22" s="53"/>
      <c r="D22" s="53"/>
      <c r="E22" s="53"/>
      <c r="F22" s="53"/>
      <c r="G22" s="53"/>
      <c r="H22" s="52"/>
      <c r="I22" s="52"/>
      <c r="J22" s="23"/>
      <c r="K22" s="23"/>
      <c r="L22" s="25"/>
      <c r="N22" s="161" t="s">
        <v>92</v>
      </c>
      <c r="O22" s="161" t="s">
        <v>93</v>
      </c>
      <c r="P22" s="162">
        <v>0.8</v>
      </c>
      <c r="Q22" s="163">
        <v>0.2</v>
      </c>
      <c r="R22" s="164">
        <v>0.9</v>
      </c>
      <c r="S22" s="164">
        <v>0.7</v>
      </c>
      <c r="T22" s="164">
        <v>0.4</v>
      </c>
      <c r="U22" s="164">
        <v>0.2</v>
      </c>
    </row>
    <row r="23" spans="1:21" ht="15" customHeight="1" x14ac:dyDescent="0.2">
      <c r="A23" s="23"/>
      <c r="B23" s="54" t="s">
        <v>7</v>
      </c>
      <c r="C23" s="55"/>
      <c r="D23" s="55"/>
      <c r="E23" s="33"/>
      <c r="F23" s="55"/>
      <c r="G23" s="49"/>
      <c r="H23" s="54" t="s">
        <v>60</v>
      </c>
      <c r="I23" s="55"/>
      <c r="J23" s="56"/>
      <c r="K23" s="23"/>
      <c r="L23" s="25"/>
      <c r="N23" s="161" t="s">
        <v>77</v>
      </c>
      <c r="O23" s="165">
        <f>H18</f>
        <v>200</v>
      </c>
      <c r="P23" s="263">
        <f>O23*$P$22</f>
        <v>160</v>
      </c>
      <c r="Q23" s="263">
        <f>O23*$Q$22</f>
        <v>40</v>
      </c>
      <c r="R23" s="263">
        <v>180</v>
      </c>
      <c r="S23" s="263">
        <v>140.4</v>
      </c>
      <c r="T23" s="263">
        <v>80.599999999999994</v>
      </c>
      <c r="U23" s="263">
        <v>40</v>
      </c>
    </row>
    <row r="24" spans="1:21" ht="15" customHeight="1" x14ac:dyDescent="0.2">
      <c r="A24" s="23"/>
      <c r="B24" s="184"/>
      <c r="C24" s="72"/>
      <c r="D24" s="72"/>
      <c r="E24" s="24"/>
      <c r="F24" s="72"/>
      <c r="G24" s="187">
        <v>1</v>
      </c>
      <c r="H24" s="36" t="s">
        <v>12</v>
      </c>
      <c r="I24" s="274" t="s">
        <v>210</v>
      </c>
      <c r="J24" s="185"/>
      <c r="K24" s="23"/>
      <c r="L24" s="25"/>
      <c r="N24" s="161" t="s">
        <v>76</v>
      </c>
      <c r="O24" s="165">
        <f>H18</f>
        <v>200</v>
      </c>
      <c r="P24" s="263">
        <f>O24*$P$22</f>
        <v>160</v>
      </c>
      <c r="Q24" s="263">
        <f>O24*$Q$22</f>
        <v>40</v>
      </c>
      <c r="R24" s="263">
        <v>180</v>
      </c>
      <c r="S24" s="263">
        <v>140.4</v>
      </c>
      <c r="T24" s="263">
        <v>80.599999999999994</v>
      </c>
      <c r="U24" s="263">
        <v>40</v>
      </c>
    </row>
    <row r="25" spans="1:21" ht="15" customHeight="1" x14ac:dyDescent="0.2">
      <c r="A25" s="23"/>
      <c r="B25" s="50" t="s">
        <v>11</v>
      </c>
      <c r="C25" s="11" t="s">
        <v>158</v>
      </c>
      <c r="D25" s="51" t="s">
        <v>10</v>
      </c>
      <c r="E25" s="12" t="s">
        <v>160</v>
      </c>
      <c r="F25" s="51" t="s">
        <v>1</v>
      </c>
      <c r="G25" s="13"/>
      <c r="H25" s="36" t="s">
        <v>1</v>
      </c>
      <c r="I25" s="275" t="s">
        <v>211</v>
      </c>
      <c r="J25" s="38"/>
      <c r="K25" s="23"/>
      <c r="L25" s="25"/>
      <c r="N25" s="169" t="s">
        <v>78</v>
      </c>
      <c r="O25" s="245">
        <f>D49</f>
        <v>160</v>
      </c>
      <c r="P25" s="166">
        <f>O25*$P$22</f>
        <v>128</v>
      </c>
      <c r="Q25" s="167">
        <f>O25*$Q$22</f>
        <v>32</v>
      </c>
      <c r="R25" s="168">
        <f>O25*$R$22</f>
        <v>144</v>
      </c>
      <c r="S25" s="168">
        <f>O25*$S$22</f>
        <v>112</v>
      </c>
      <c r="T25" s="168">
        <f>O25*$T$22</f>
        <v>64</v>
      </c>
      <c r="U25" s="168">
        <f>O25*$U$22</f>
        <v>32</v>
      </c>
    </row>
    <row r="26" spans="1:21" ht="15" customHeight="1" x14ac:dyDescent="0.2">
      <c r="A26" s="23"/>
      <c r="B26" s="54" t="s">
        <v>4</v>
      </c>
      <c r="C26" s="57"/>
      <c r="D26" s="57"/>
      <c r="E26" s="33"/>
      <c r="F26" s="57"/>
      <c r="G26" s="49"/>
      <c r="H26" s="36" t="s">
        <v>109</v>
      </c>
      <c r="I26" s="186">
        <v>46941</v>
      </c>
      <c r="J26" s="190" t="s">
        <v>46</v>
      </c>
      <c r="K26" s="23"/>
      <c r="L26" s="25"/>
      <c r="N26" s="23"/>
      <c r="O26" s="23"/>
      <c r="P26" s="23"/>
      <c r="Q26" s="23"/>
      <c r="R26" s="23"/>
      <c r="S26" s="23"/>
      <c r="T26" s="23"/>
    </row>
    <row r="27" spans="1:21" ht="15" customHeight="1" x14ac:dyDescent="0.25">
      <c r="A27" s="23"/>
      <c r="B27" s="184"/>
      <c r="C27" s="35"/>
      <c r="D27" s="35"/>
      <c r="E27" s="24"/>
      <c r="F27" s="35"/>
      <c r="G27" s="38"/>
      <c r="H27" s="36" t="s">
        <v>110</v>
      </c>
      <c r="I27" s="14">
        <v>50.1</v>
      </c>
      <c r="J27" s="38" t="s">
        <v>112</v>
      </c>
      <c r="K27" s="23"/>
      <c r="L27" s="25"/>
      <c r="N27" s="170" t="s">
        <v>199</v>
      </c>
      <c r="O27" s="171"/>
      <c r="P27" s="171"/>
      <c r="Q27" s="171"/>
      <c r="R27" s="171"/>
      <c r="S27" s="171"/>
      <c r="T27" s="171"/>
    </row>
    <row r="28" spans="1:21" ht="15" customHeight="1" x14ac:dyDescent="0.2">
      <c r="A28" s="23"/>
      <c r="B28" s="50" t="s">
        <v>11</v>
      </c>
      <c r="C28" s="11" t="s">
        <v>158</v>
      </c>
      <c r="D28" s="51" t="s">
        <v>3</v>
      </c>
      <c r="E28" s="12" t="s">
        <v>213</v>
      </c>
      <c r="F28" s="51" t="s">
        <v>1</v>
      </c>
      <c r="G28" s="262">
        <v>220</v>
      </c>
      <c r="H28" s="69" t="s">
        <v>111</v>
      </c>
      <c r="I28" s="12">
        <v>0</v>
      </c>
      <c r="J28" s="189" t="s">
        <v>112</v>
      </c>
      <c r="K28" s="23"/>
      <c r="L28" s="25"/>
      <c r="N28" s="172" t="s">
        <v>94</v>
      </c>
      <c r="O28" s="173"/>
      <c r="P28" s="173"/>
      <c r="Q28" s="173"/>
      <c r="R28" s="173"/>
      <c r="S28" s="173"/>
      <c r="T28" s="173"/>
    </row>
    <row r="29" spans="1:21" ht="11.25" customHeight="1" x14ac:dyDescent="0.2">
      <c r="A29" s="23"/>
      <c r="B29" s="58"/>
      <c r="C29" s="58"/>
      <c r="D29" s="58"/>
      <c r="E29" s="58"/>
      <c r="F29" s="58"/>
      <c r="G29" s="59"/>
      <c r="H29" s="59"/>
      <c r="I29" s="59"/>
      <c r="J29" s="24"/>
      <c r="K29" s="23"/>
      <c r="L29" s="25"/>
      <c r="N29" s="172" t="s">
        <v>95</v>
      </c>
      <c r="O29" s="23"/>
      <c r="P29" s="23"/>
      <c r="Q29" s="23"/>
      <c r="R29" s="23"/>
      <c r="S29" s="23"/>
      <c r="T29" s="23"/>
    </row>
    <row r="30" spans="1:21" ht="12.75" customHeight="1" x14ac:dyDescent="0.2">
      <c r="A30" s="23"/>
      <c r="B30" s="59" t="s">
        <v>31</v>
      </c>
      <c r="C30" s="58"/>
      <c r="D30" s="58"/>
      <c r="E30" s="58"/>
      <c r="F30" s="58"/>
      <c r="G30" s="59"/>
      <c r="H30" s="59"/>
      <c r="I30" s="59"/>
      <c r="J30" s="24"/>
      <c r="K30" s="23"/>
      <c r="L30" s="25"/>
      <c r="N30" s="172" t="s">
        <v>96</v>
      </c>
      <c r="O30" s="23"/>
      <c r="P30" s="23"/>
      <c r="Q30" s="23"/>
      <c r="R30" s="23"/>
      <c r="S30" s="23"/>
      <c r="T30" s="23"/>
    </row>
    <row r="31" spans="1:21" ht="17.25" customHeight="1" x14ac:dyDescent="0.2">
      <c r="A31" s="23"/>
      <c r="B31" s="60" t="s">
        <v>18</v>
      </c>
      <c r="C31" s="61"/>
      <c r="D31" s="20" t="s">
        <v>88</v>
      </c>
      <c r="E31" s="23"/>
      <c r="F31" s="23"/>
      <c r="G31" s="23"/>
      <c r="H31" s="23"/>
      <c r="I31" s="23"/>
      <c r="J31" s="62"/>
      <c r="K31" s="23"/>
      <c r="L31" s="25"/>
      <c r="N31" s="172" t="s">
        <v>97</v>
      </c>
      <c r="O31" s="23"/>
      <c r="P31" s="23"/>
      <c r="Q31" s="23"/>
      <c r="R31" s="23"/>
      <c r="S31" s="23"/>
      <c r="T31" s="23"/>
    </row>
    <row r="32" spans="1:21" ht="11.25" customHeight="1" x14ac:dyDescent="0.2">
      <c r="A32" s="23"/>
      <c r="B32" s="24"/>
      <c r="C32" s="24"/>
      <c r="D32" s="63"/>
      <c r="E32" s="23"/>
      <c r="F32" s="271" t="s">
        <v>53</v>
      </c>
      <c r="G32" s="23"/>
      <c r="H32" s="23"/>
      <c r="I32" s="23"/>
      <c r="J32" s="62"/>
      <c r="K32" s="23"/>
      <c r="L32" s="25"/>
      <c r="N32" s="174" t="s">
        <v>98</v>
      </c>
      <c r="O32" s="23"/>
      <c r="P32" s="23"/>
      <c r="R32" s="174" t="s">
        <v>126</v>
      </c>
      <c r="S32" s="23"/>
      <c r="T32" s="23"/>
    </row>
    <row r="33" spans="1:21" ht="12.75" customHeight="1" x14ac:dyDescent="0.2">
      <c r="A33" s="23"/>
      <c r="B33" s="271" t="s">
        <v>37</v>
      </c>
      <c r="C33" s="24"/>
      <c r="D33" s="63"/>
      <c r="E33" s="23"/>
      <c r="F33" s="64" t="s">
        <v>104</v>
      </c>
      <c r="G33" s="65" t="s">
        <v>185</v>
      </c>
      <c r="H33" s="180">
        <v>3.1</v>
      </c>
      <c r="I33" s="23"/>
      <c r="J33" s="62"/>
      <c r="K33" s="23"/>
      <c r="L33" s="25"/>
      <c r="N33" s="74" t="s">
        <v>113</v>
      </c>
      <c r="O33" s="176" t="s">
        <v>100</v>
      </c>
      <c r="P33" s="176" t="s">
        <v>101</v>
      </c>
      <c r="R33" s="175" t="s">
        <v>99</v>
      </c>
      <c r="S33" s="176" t="s">
        <v>100</v>
      </c>
      <c r="T33" s="176" t="s">
        <v>101</v>
      </c>
    </row>
    <row r="34" spans="1:21" x14ac:dyDescent="0.2">
      <c r="A34" s="23"/>
      <c r="B34" s="64" t="s">
        <v>32</v>
      </c>
      <c r="C34" s="33"/>
      <c r="D34" s="264">
        <v>2.1000000000000001E-2</v>
      </c>
      <c r="E34" s="23"/>
      <c r="F34" s="66" t="s">
        <v>105</v>
      </c>
      <c r="G34" s="67" t="s">
        <v>185</v>
      </c>
      <c r="H34" s="181">
        <v>5.0999999999999996</v>
      </c>
      <c r="I34" s="23"/>
      <c r="J34" s="62"/>
      <c r="K34" s="23"/>
      <c r="L34" s="25"/>
      <c r="N34" s="177">
        <f>J41</f>
        <v>180</v>
      </c>
      <c r="O34" s="176">
        <f>IFERROR(J41-(J41*(H35/100)), "+++")</f>
        <v>161.82</v>
      </c>
      <c r="P34" s="176">
        <f>IFERROR(J41+(J41*(H35/100)), "+++")</f>
        <v>198.18</v>
      </c>
      <c r="R34" s="216">
        <f>H55</f>
        <v>148.58799999999999</v>
      </c>
      <c r="S34" s="178">
        <f>IFERROR(H55-(H55*($H$35/100)), "+++")</f>
        <v>133.580612</v>
      </c>
      <c r="T34" s="178">
        <f>IFERROR(H55+(H55*($H$35/100)), "+++")</f>
        <v>163.59538799999999</v>
      </c>
    </row>
    <row r="35" spans="1:21" ht="15" customHeight="1" x14ac:dyDescent="0.2">
      <c r="A35" s="23"/>
      <c r="B35" s="66" t="s">
        <v>19</v>
      </c>
      <c r="C35" s="24"/>
      <c r="D35" s="182">
        <f>H18</f>
        <v>200</v>
      </c>
      <c r="E35" s="23"/>
      <c r="F35" s="66" t="s">
        <v>42</v>
      </c>
      <c r="G35" s="67" t="s">
        <v>185</v>
      </c>
      <c r="H35" s="68">
        <v>10.1</v>
      </c>
      <c r="I35" s="23"/>
      <c r="J35" s="62"/>
      <c r="K35" s="23"/>
      <c r="L35" s="25"/>
      <c r="N35" s="177">
        <f>F41</f>
        <v>40</v>
      </c>
      <c r="O35" s="176">
        <f>IFERROR(F41-(F41*($H$36/100)), "+++")</f>
        <v>33.96</v>
      </c>
      <c r="P35" s="176">
        <f>IFERROR(F41+(F41*($H$36/100)), "+++")</f>
        <v>46.04</v>
      </c>
      <c r="R35" s="216">
        <f>E55</f>
        <v>29.777999999999992</v>
      </c>
      <c r="S35" s="178">
        <f>IFERROR(E55-(E55*($H$36/100)), "+++")</f>
        <v>25.281521999999992</v>
      </c>
      <c r="T35" s="178">
        <f>IFERROR(E55+(E55*($H$36/100)), "+++")</f>
        <v>34.274477999999988</v>
      </c>
    </row>
    <row r="36" spans="1:21" ht="15" customHeight="1" x14ac:dyDescent="0.2">
      <c r="A36" s="23"/>
      <c r="B36" s="69" t="s">
        <v>33</v>
      </c>
      <c r="C36" s="39"/>
      <c r="D36" s="21">
        <f>D35*D34</f>
        <v>4.2</v>
      </c>
      <c r="E36" s="23"/>
      <c r="F36" s="69" t="s">
        <v>43</v>
      </c>
      <c r="G36" s="70" t="s">
        <v>185</v>
      </c>
      <c r="H36" s="71">
        <v>15.1</v>
      </c>
      <c r="I36" s="23"/>
      <c r="J36" s="62"/>
      <c r="K36" s="23"/>
      <c r="L36" s="25"/>
      <c r="N36" s="74" t="s">
        <v>102</v>
      </c>
      <c r="O36" s="176">
        <f>H34*-1</f>
        <v>-5.0999999999999996</v>
      </c>
      <c r="P36" s="178">
        <f>H34</f>
        <v>5.0999999999999996</v>
      </c>
      <c r="R36" s="74" t="s">
        <v>102</v>
      </c>
      <c r="S36" s="178">
        <f>H34*-1</f>
        <v>-5.0999999999999996</v>
      </c>
      <c r="T36" s="178">
        <f>H34</f>
        <v>5.0999999999999996</v>
      </c>
    </row>
    <row r="37" spans="1:21" ht="15" customHeight="1" x14ac:dyDescent="0.2">
      <c r="A37" s="23"/>
      <c r="B37" s="24"/>
      <c r="C37" s="24"/>
      <c r="D37" s="179"/>
      <c r="E37" s="23"/>
      <c r="F37" s="72"/>
      <c r="G37" s="24"/>
      <c r="H37" s="62"/>
      <c r="I37" s="23"/>
      <c r="J37" s="62"/>
      <c r="K37" s="23"/>
      <c r="L37" s="25"/>
      <c r="N37" s="74" t="s">
        <v>103</v>
      </c>
      <c r="O37" s="178">
        <f>H33*-1</f>
        <v>-3.1</v>
      </c>
      <c r="P37" s="178">
        <f>H33</f>
        <v>3.1</v>
      </c>
      <c r="R37" s="74" t="s">
        <v>103</v>
      </c>
      <c r="S37" s="178">
        <f>H33*-1</f>
        <v>-3.1</v>
      </c>
      <c r="T37" s="178">
        <f>H33</f>
        <v>3.1</v>
      </c>
    </row>
    <row r="38" spans="1:21" ht="12.75" customHeight="1" x14ac:dyDescent="0.2">
      <c r="A38" s="23"/>
      <c r="B38" s="59" t="s">
        <v>54</v>
      </c>
      <c r="C38" s="59"/>
      <c r="D38" s="24"/>
      <c r="E38" s="59"/>
      <c r="F38" s="72"/>
      <c r="G38" s="24"/>
      <c r="H38" s="62"/>
      <c r="I38" s="220"/>
      <c r="J38" s="52"/>
      <c r="K38" s="23"/>
      <c r="L38" s="25"/>
    </row>
    <row r="39" spans="1:21" ht="12.75" customHeight="1" x14ac:dyDescent="0.2">
      <c r="A39" s="23"/>
      <c r="B39" s="291"/>
      <c r="C39" s="292"/>
      <c r="D39" s="73">
        <v>1</v>
      </c>
      <c r="E39" s="73">
        <v>2</v>
      </c>
      <c r="F39" s="74">
        <v>7</v>
      </c>
      <c r="G39" s="73">
        <v>6</v>
      </c>
      <c r="H39" s="73">
        <v>5</v>
      </c>
      <c r="I39" s="73">
        <v>4</v>
      </c>
      <c r="J39" s="75">
        <v>3</v>
      </c>
      <c r="K39" s="23"/>
      <c r="L39" s="25"/>
    </row>
    <row r="40" spans="1:21" ht="45" customHeight="1" x14ac:dyDescent="0.2">
      <c r="A40" s="23"/>
      <c r="B40" s="293" t="s">
        <v>64</v>
      </c>
      <c r="C40" s="91" t="s">
        <v>8</v>
      </c>
      <c r="D40" s="91" t="s">
        <v>24</v>
      </c>
      <c r="E40" s="91" t="s">
        <v>23</v>
      </c>
      <c r="F40" s="91" t="str">
        <f>IF($D$31="MULTIPUNTO","20%          Multipunto",IF($D$31="ZERO/SPAN","+",IF($D$31="PRECISIÓN","   20%           Precisión", IF($D$31="AJUSTE PREC","        20%           Precisión","???" ))))</f>
        <v>20%          Multipunto</v>
      </c>
      <c r="G40" s="91" t="str">
        <f>IF($D$31="MULTIPUNTO","40%          Multipunto",IF($D$31="ZERO/SPAN","+",IF($D$31="PRECISIÓN","+","+")))</f>
        <v>40%          Multipunto</v>
      </c>
      <c r="H40" s="91" t="str">
        <f>IF($D$31="MULTIPUNTO","70%          Multipunto",IF($D$31="ZERO/SPAN","+",IF($D$31="PRECISIÓN","+","+")))</f>
        <v>70%          Multipunto</v>
      </c>
      <c r="I40" s="91" t="str">
        <f>IF($D$31="MULTIPUNTO","90%      Multipunto      Dejado", IF($D$31="ZERO/SPAN","   80%         SPAN     Dejado", IF($D$31="PRECISIÓN","+", IF($D$31="AJUSTE PREC","    80%      SPAN     Dejado","???"))))</f>
        <v>90%      Multipunto      Dejado</v>
      </c>
      <c r="J40" s="92" t="str">
        <f>IF($D$31="MULTIPUNTO","90%      Multipunto      Encontrado", IF($D$31="ZERO/SPAN","80%         SPAN        Encontrado", IF($D$31="PRECISIÓN","+", IF($D$31="AJUSTE PREC","80%         SPAN        Encontrado","???"))))</f>
        <v>90%      Multipunto      Encontrado</v>
      </c>
      <c r="K40" s="23"/>
      <c r="L40" s="25"/>
      <c r="N40" s="258" t="s">
        <v>168</v>
      </c>
      <c r="O40" s="258" t="s">
        <v>168</v>
      </c>
      <c r="P40" s="259" t="str">
        <f t="shared" ref="P40:T41" si="0">F40</f>
        <v>20%          Multipunto</v>
      </c>
      <c r="Q40" s="259" t="str">
        <f t="shared" si="0"/>
        <v>40%          Multipunto</v>
      </c>
      <c r="R40" s="259" t="str">
        <f t="shared" si="0"/>
        <v>70%          Multipunto</v>
      </c>
      <c r="S40" s="259" t="str">
        <f t="shared" si="0"/>
        <v>90%      Multipunto      Dejado</v>
      </c>
      <c r="T40" s="259" t="str">
        <f t="shared" si="0"/>
        <v>90%      Multipunto      Encontrado</v>
      </c>
    </row>
    <row r="41" spans="1:21" ht="26.25" customHeight="1" x14ac:dyDescent="0.2">
      <c r="A41" s="23"/>
      <c r="B41" s="294"/>
      <c r="C41" s="91" t="s">
        <v>9</v>
      </c>
      <c r="D41" s="191">
        <v>0</v>
      </c>
      <c r="E41" s="191">
        <v>0</v>
      </c>
      <c r="F41" s="191">
        <f>IF($D$31="MULTIPUNTO",U23,IF($D$31="ZERO/SPAN","+",IF($D$31="PRECISIÓN",Q23,IF($D$31="AJUSTE PREC",Q23,"+"))))</f>
        <v>40</v>
      </c>
      <c r="G41" s="191">
        <f>IF($D$31="MULTIPUNTO",T24,IF($D$31="ZERO/SPAN","+",IF($D$31="PRECISIÓN","+","+")))</f>
        <v>80.599999999999994</v>
      </c>
      <c r="H41" s="191">
        <f>IF($D$31="MULTIPUNTO",S24,IF($D$31="ZERO/SPAN","+",IF($D$31="PRECISIÓN","+","+")))</f>
        <v>140.4</v>
      </c>
      <c r="I41" s="191">
        <f>IF($D$31="MULTIPUNTO",R24,IF($D$31="ZERO/SPAN",P24,IF($D$31="PRECISIÓN","+", IF($D$31="AJUSTE PREC",P24,"+"))))</f>
        <v>180</v>
      </c>
      <c r="J41" s="191">
        <f>IF($D$31="MULTIPUNTO",R24,IF($D$31="ZERO/SPAN",P24,IF($D$31="PRECISIÓN","+", IF($D$31="AJUSTE PREC",P24,"+"))))</f>
        <v>180</v>
      </c>
      <c r="K41" s="23"/>
      <c r="L41" s="25"/>
      <c r="N41" s="260">
        <v>0</v>
      </c>
      <c r="O41" s="260">
        <v>0</v>
      </c>
      <c r="P41" s="276">
        <f t="shared" si="0"/>
        <v>40</v>
      </c>
      <c r="Q41" s="276">
        <f t="shared" si="0"/>
        <v>80.599999999999994</v>
      </c>
      <c r="R41" s="276">
        <f t="shared" si="0"/>
        <v>140.4</v>
      </c>
      <c r="S41" s="276">
        <f t="shared" si="0"/>
        <v>180</v>
      </c>
      <c r="T41" s="276">
        <f t="shared" si="0"/>
        <v>180</v>
      </c>
      <c r="U41" s="246" t="s">
        <v>163</v>
      </c>
    </row>
    <row r="42" spans="1:21" ht="18.75" customHeight="1" x14ac:dyDescent="0.2">
      <c r="A42" s="23"/>
      <c r="B42" s="293" t="s">
        <v>57</v>
      </c>
      <c r="C42" s="91" t="s">
        <v>65</v>
      </c>
      <c r="D42" s="266">
        <f>N47</f>
        <v>0.30199999999999999</v>
      </c>
      <c r="E42" s="266">
        <f>O47</f>
        <v>0.03</v>
      </c>
      <c r="F42" s="265">
        <f>P47</f>
        <v>40.186</v>
      </c>
      <c r="G42" s="265">
        <f>Q47</f>
        <v>81.3</v>
      </c>
      <c r="H42" s="265">
        <f>R47</f>
        <v>140.68800000000002</v>
      </c>
      <c r="I42" s="265">
        <f t="shared" ref="I42:J42" si="1">S47</f>
        <v>179.71800000000002</v>
      </c>
      <c r="J42" s="265">
        <f t="shared" si="1"/>
        <v>181.38200000000001</v>
      </c>
      <c r="K42" s="23"/>
      <c r="L42" s="25"/>
      <c r="N42" s="248">
        <v>0.3</v>
      </c>
      <c r="O42" s="248">
        <v>0</v>
      </c>
      <c r="P42" s="248">
        <v>40.24</v>
      </c>
      <c r="Q42" s="248">
        <v>81.63</v>
      </c>
      <c r="R42" s="248">
        <v>141</v>
      </c>
      <c r="S42" s="248">
        <v>180</v>
      </c>
      <c r="T42" s="248">
        <v>180.98</v>
      </c>
      <c r="U42" s="358" t="s">
        <v>164</v>
      </c>
    </row>
    <row r="43" spans="1:21" ht="18.75" customHeight="1" x14ac:dyDescent="0.2">
      <c r="A43" s="23"/>
      <c r="B43" s="294"/>
      <c r="C43" s="91" t="s">
        <v>66</v>
      </c>
      <c r="D43" s="266">
        <f>N58</f>
        <v>-1.212</v>
      </c>
      <c r="E43" s="266">
        <f>O58</f>
        <v>-0.16</v>
      </c>
      <c r="F43" s="265">
        <f t="shared" ref="F43:J43" si="2">P58</f>
        <v>39.061999999999998</v>
      </c>
      <c r="G43" s="265">
        <f t="shared" si="2"/>
        <v>80.092500000000001</v>
      </c>
      <c r="H43" s="265">
        <f t="shared" si="2"/>
        <v>140.51599999999999</v>
      </c>
      <c r="I43" s="265">
        <f t="shared" si="2"/>
        <v>180.12</v>
      </c>
      <c r="J43" s="265">
        <f t="shared" si="2"/>
        <v>179.8725</v>
      </c>
      <c r="K43" s="23"/>
      <c r="L43" s="25"/>
      <c r="N43" s="248">
        <v>0.3</v>
      </c>
      <c r="O43" s="248">
        <v>0.15</v>
      </c>
      <c r="P43" s="248">
        <v>40.1</v>
      </c>
      <c r="Q43" s="248">
        <v>81.23</v>
      </c>
      <c r="R43" s="248">
        <v>140.80000000000001</v>
      </c>
      <c r="S43" s="248">
        <v>179.33</v>
      </c>
      <c r="T43" s="248">
        <v>181.29</v>
      </c>
      <c r="U43" s="359"/>
    </row>
    <row r="44" spans="1:21" ht="18.75" customHeight="1" x14ac:dyDescent="0.2">
      <c r="A44" s="23"/>
      <c r="B44" s="294"/>
      <c r="C44" s="91" t="s">
        <v>67</v>
      </c>
      <c r="D44" s="93">
        <f t="shared" ref="D44:E44" si="3">IFERROR(D42-D43,"+")</f>
        <v>1.514</v>
      </c>
      <c r="E44" s="93">
        <f t="shared" si="3"/>
        <v>0.19</v>
      </c>
      <c r="F44" s="93">
        <f>IFERROR(F42-F43,"+")</f>
        <v>1.1240000000000023</v>
      </c>
      <c r="G44" s="94">
        <f>IFERROR(G42-G43,"+")</f>
        <v>1.207499999999996</v>
      </c>
      <c r="H44" s="93">
        <f>IFERROR(H42-H43,"+")</f>
        <v>0.17200000000002547</v>
      </c>
      <c r="I44" s="93">
        <f>IFERROR(I42-I43,"+")</f>
        <v>-0.40199999999998681</v>
      </c>
      <c r="J44" s="93">
        <f>IFERROR(J42-J43,"+")</f>
        <v>1.5095000000000027</v>
      </c>
      <c r="K44" s="23"/>
      <c r="L44" s="25"/>
      <c r="N44" s="248">
        <v>0.38</v>
      </c>
      <c r="O44" s="248">
        <v>0</v>
      </c>
      <c r="P44" s="248">
        <v>40.47</v>
      </c>
      <c r="Q44" s="248">
        <v>80.86</v>
      </c>
      <c r="R44" s="248">
        <v>140.91999999999999</v>
      </c>
      <c r="S44" s="248">
        <v>179.48</v>
      </c>
      <c r="T44" s="248">
        <v>181.37</v>
      </c>
      <c r="U44" s="359"/>
    </row>
    <row r="45" spans="1:21" ht="18.75" customHeight="1" x14ac:dyDescent="0.2">
      <c r="A45" s="23"/>
      <c r="B45" s="294"/>
      <c r="C45" s="91" t="s">
        <v>69</v>
      </c>
      <c r="D45" s="267">
        <f>N48</f>
        <v>5.3103672189407043E-2</v>
      </c>
      <c r="E45" s="267">
        <f t="shared" ref="E45:J45" si="4">O48</f>
        <v>0.17592612085759179</v>
      </c>
      <c r="F45" s="267">
        <f>P48</f>
        <v>0.19165072397462912</v>
      </c>
      <c r="G45" s="267">
        <f>Q48</f>
        <v>0.28451713480913471</v>
      </c>
      <c r="H45" s="267">
        <f>R48</f>
        <v>0.30906310035330914</v>
      </c>
      <c r="I45" s="267">
        <f t="shared" si="4"/>
        <v>0.29541496238342285</v>
      </c>
      <c r="J45" s="267">
        <f t="shared" si="4"/>
        <v>0.30277054017853278</v>
      </c>
      <c r="K45" s="23"/>
      <c r="L45" s="25"/>
      <c r="N45" s="248">
        <v>0.3</v>
      </c>
      <c r="O45" s="248">
        <v>0.23</v>
      </c>
      <c r="P45" s="248">
        <v>39.950000000000003</v>
      </c>
      <c r="Q45" s="248">
        <v>81.38</v>
      </c>
      <c r="R45" s="248">
        <v>140.4</v>
      </c>
      <c r="S45" s="248">
        <v>179.85</v>
      </c>
      <c r="T45" s="248">
        <v>181.82</v>
      </c>
      <c r="U45" s="359"/>
    </row>
    <row r="46" spans="1:21" ht="18.75" customHeight="1" x14ac:dyDescent="0.2">
      <c r="A46" s="23"/>
      <c r="B46" s="305"/>
      <c r="C46" s="91" t="s">
        <v>68</v>
      </c>
      <c r="D46" s="267">
        <f t="shared" ref="D46:J46" si="5">N59</f>
        <v>0.41948778289719019</v>
      </c>
      <c r="E46" s="267">
        <f t="shared" si="5"/>
        <v>0.24382370680473217</v>
      </c>
      <c r="F46" s="267">
        <f t="shared" si="5"/>
        <v>0.26920252599112132</v>
      </c>
      <c r="G46" s="267">
        <f t="shared" si="5"/>
        <v>0.36709444742917546</v>
      </c>
      <c r="H46" s="267">
        <f t="shared" si="5"/>
        <v>0.31816662301379067</v>
      </c>
      <c r="I46" s="267">
        <f t="shared" si="5"/>
        <v>0.23162469643800887</v>
      </c>
      <c r="J46" s="267">
        <f t="shared" si="5"/>
        <v>0.20548722588033949</v>
      </c>
      <c r="K46" s="23"/>
      <c r="L46" s="25"/>
      <c r="N46" s="248">
        <v>0.23</v>
      </c>
      <c r="O46" s="248">
        <v>-0.23</v>
      </c>
      <c r="P46" s="248">
        <v>40.17</v>
      </c>
      <c r="Q46" s="248">
        <v>81.400000000000006</v>
      </c>
      <c r="R46" s="248">
        <v>140.32</v>
      </c>
      <c r="S46" s="248">
        <v>179.93</v>
      </c>
      <c r="T46" s="248">
        <v>181.45</v>
      </c>
      <c r="U46" s="359"/>
    </row>
    <row r="47" spans="1:21" ht="18.75" customHeight="1" x14ac:dyDescent="0.2">
      <c r="A47" s="23"/>
      <c r="B47" s="271" t="s">
        <v>70</v>
      </c>
      <c r="C47" s="24"/>
      <c r="D47" s="63"/>
      <c r="E47" s="97"/>
      <c r="F47" s="97"/>
      <c r="G47" s="97"/>
      <c r="H47" s="97"/>
      <c r="I47" s="97"/>
      <c r="J47" s="97"/>
      <c r="K47" s="23"/>
      <c r="L47" s="25"/>
      <c r="N47" s="256">
        <f t="shared" ref="N47:T47" si="6">IFERROR(AVERAGE(N42:N46),"+")</f>
        <v>0.30199999999999999</v>
      </c>
      <c r="O47" s="256">
        <f t="shared" si="6"/>
        <v>0.03</v>
      </c>
      <c r="P47" s="273">
        <f t="shared" si="6"/>
        <v>40.186</v>
      </c>
      <c r="Q47" s="273">
        <f t="shared" si="6"/>
        <v>81.3</v>
      </c>
      <c r="R47" s="273">
        <f t="shared" si="6"/>
        <v>140.68800000000002</v>
      </c>
      <c r="S47" s="273">
        <f t="shared" si="6"/>
        <v>179.71800000000002</v>
      </c>
      <c r="T47" s="273">
        <f t="shared" si="6"/>
        <v>181.38200000000001</v>
      </c>
      <c r="U47" s="246" t="s">
        <v>165</v>
      </c>
    </row>
    <row r="48" spans="1:21" ht="26.25" customHeight="1" x14ac:dyDescent="0.2">
      <c r="A48" s="23"/>
      <c r="B48" s="64" t="s">
        <v>32</v>
      </c>
      <c r="C48" s="33"/>
      <c r="D48" s="264">
        <v>2.1000000000000001E-2</v>
      </c>
      <c r="E48" s="347" t="s">
        <v>106</v>
      </c>
      <c r="F48" s="251" t="s">
        <v>107</v>
      </c>
      <c r="G48" s="252" t="s">
        <v>108</v>
      </c>
      <c r="H48" s="97"/>
      <c r="I48" s="97"/>
      <c r="J48" s="97"/>
      <c r="K48" s="23"/>
      <c r="L48" s="25"/>
      <c r="N48" s="257">
        <f t="shared" ref="N48:O48" si="7">IFERROR(_xlfn.STDEV.S(N42:N46),"+")</f>
        <v>5.3103672189407043E-2</v>
      </c>
      <c r="O48" s="257">
        <f t="shared" si="7"/>
        <v>0.17592612085759179</v>
      </c>
      <c r="P48" s="257">
        <f>IFERROR(_xlfn.STDEV.S(P42:P46),"+")</f>
        <v>0.19165072397462912</v>
      </c>
      <c r="Q48" s="257">
        <f>IFERROR(_xlfn.STDEV.S(Q42:Q46),"+")</f>
        <v>0.28451713480913471</v>
      </c>
      <c r="R48" s="257">
        <f>IFERROR(_xlfn.STDEV.S(R42:R46),"+")</f>
        <v>0.30906310035330914</v>
      </c>
      <c r="S48" s="257">
        <f>IFERROR(_xlfn.STDEV.S(S42:S46),"+")</f>
        <v>0.29541496238342285</v>
      </c>
      <c r="T48" s="257">
        <f>IFERROR(_xlfn.STDEV.S(T42:T46),"+")</f>
        <v>0.30277054017853278</v>
      </c>
      <c r="U48" s="247" t="s">
        <v>166</v>
      </c>
    </row>
    <row r="49" spans="1:21" ht="12.75" customHeight="1" x14ac:dyDescent="0.2">
      <c r="A49" s="23"/>
      <c r="B49" s="66" t="s">
        <v>200</v>
      </c>
      <c r="C49" s="24"/>
      <c r="D49" s="183">
        <v>160</v>
      </c>
      <c r="E49" s="348"/>
      <c r="F49" s="350">
        <f>IFERROR($I$28*((F41/1000)/($I$27+(F41/1000))),"---")</f>
        <v>0</v>
      </c>
      <c r="G49" s="352">
        <f>IFERROR($I$28*((I41/1000)/($I$27+(I41/1000))),"---")</f>
        <v>0</v>
      </c>
      <c r="H49" s="97"/>
      <c r="I49" s="97"/>
      <c r="J49" s="97"/>
      <c r="K49" s="23"/>
      <c r="L49" s="25"/>
      <c r="N49" s="249" t="s">
        <v>169</v>
      </c>
    </row>
    <row r="50" spans="1:21" ht="13.5" customHeight="1" x14ac:dyDescent="0.2">
      <c r="A50" s="23"/>
      <c r="B50" s="69" t="s">
        <v>33</v>
      </c>
      <c r="C50" s="39"/>
      <c r="D50" s="21">
        <f>D49*D48</f>
        <v>3.3600000000000003</v>
      </c>
      <c r="E50" s="349"/>
      <c r="F50" s="351"/>
      <c r="G50" s="353"/>
      <c r="H50" s="98">
        <v>0.8</v>
      </c>
      <c r="I50" s="97"/>
      <c r="J50" s="97"/>
      <c r="K50" s="23"/>
      <c r="L50" s="25"/>
    </row>
    <row r="51" spans="1:21" ht="33.75" customHeight="1" x14ac:dyDescent="0.2">
      <c r="A51" s="23"/>
      <c r="B51" s="4"/>
      <c r="C51" s="4"/>
      <c r="D51" s="97"/>
      <c r="E51" s="98">
        <v>0.2</v>
      </c>
      <c r="F51" s="98">
        <v>0.4</v>
      </c>
      <c r="G51" s="98">
        <v>0.7</v>
      </c>
      <c r="H51" s="98">
        <v>0.9</v>
      </c>
      <c r="I51" s="98">
        <v>0.8</v>
      </c>
      <c r="J51" s="97"/>
      <c r="K51" s="23"/>
      <c r="L51" s="25"/>
      <c r="N51" s="258" t="s">
        <v>167</v>
      </c>
      <c r="O51" s="258" t="s">
        <v>167</v>
      </c>
      <c r="P51" s="259" t="str">
        <f t="shared" ref="P51:T52" si="8">F40</f>
        <v>20%          Multipunto</v>
      </c>
      <c r="Q51" s="259" t="str">
        <f t="shared" si="8"/>
        <v>40%          Multipunto</v>
      </c>
      <c r="R51" s="259" t="str">
        <f t="shared" si="8"/>
        <v>70%          Multipunto</v>
      </c>
      <c r="S51" s="259" t="str">
        <f t="shared" si="8"/>
        <v>90%      Multipunto      Dejado</v>
      </c>
      <c r="T51" s="259" t="str">
        <f t="shared" si="8"/>
        <v>90%      Multipunto      Encontrado</v>
      </c>
    </row>
    <row r="52" spans="1:21" ht="36" customHeight="1" x14ac:dyDescent="0.2">
      <c r="A52" s="23"/>
      <c r="B52" s="287" t="s">
        <v>201</v>
      </c>
      <c r="C52" s="99" t="s">
        <v>71</v>
      </c>
      <c r="D52" s="100" t="s">
        <v>179</v>
      </c>
      <c r="E52" s="101" t="str">
        <f>IF($D$31="MULTIPUNTO","20%          Multipunto",IF($D$31="ZERO/SPAN","+",IF($D$31="PRECISIÓN","20%           Precisión", IF($D$31="AJUSTE PREC","     20%         Precisión","???"))))</f>
        <v>20%          Multipunto</v>
      </c>
      <c r="F52" s="101" t="str">
        <f>IF($D$31="MULTIPUNTO","40%          Multipunto",IF($D$31="ZERO/SPAN","+",IF($D$31="PRECISIÓN","+",  IF($D$31="AJUSTE PREC","+","???"))))</f>
        <v>40%          Multipunto</v>
      </c>
      <c r="G52" s="101" t="str">
        <f>IF($D$31="MULTIPUNTO","70%          Multipunto",IF($D$31="ZERO/SPAN","+",IF($D$31="PRECISIÓN","+",  IF($D$31="AJUSTE PREC","+","???"))))</f>
        <v>70%          Multipunto</v>
      </c>
      <c r="H52" s="101" t="str">
        <f>IF($D$31="MULTIPUNTO","90%      Multipunto",IF($D$31="ZERO/SPAN","80%         SPAN",IF($D$31="PRECISIÓN","+", IF($D$31="AJUSTE PREC", "+", "???"))))</f>
        <v>90%      Multipunto</v>
      </c>
      <c r="I52" s="97"/>
      <c r="J52" s="97"/>
      <c r="K52" s="23"/>
      <c r="L52" s="25"/>
      <c r="N52" s="260">
        <v>0</v>
      </c>
      <c r="O52" s="260">
        <v>0</v>
      </c>
      <c r="P52" s="276">
        <f t="shared" si="8"/>
        <v>40</v>
      </c>
      <c r="Q52" s="276">
        <f t="shared" si="8"/>
        <v>80.599999999999994</v>
      </c>
      <c r="R52" s="276">
        <f t="shared" si="8"/>
        <v>140.4</v>
      </c>
      <c r="S52" s="276">
        <f t="shared" si="8"/>
        <v>180</v>
      </c>
      <c r="T52" s="276">
        <f t="shared" si="8"/>
        <v>180</v>
      </c>
      <c r="U52" s="246" t="s">
        <v>163</v>
      </c>
    </row>
    <row r="53" spans="1:21" ht="25.5" x14ac:dyDescent="0.2">
      <c r="A53" s="23"/>
      <c r="B53" s="287"/>
      <c r="C53" s="102" t="s">
        <v>72</v>
      </c>
      <c r="D53" s="103">
        <v>0</v>
      </c>
      <c r="E53" s="104">
        <f>IF($D$31="MULTIPUNTO",I41, IF($D$31="PRECISIÓN",F41, IF($D$31="AJUSTE PREC",F41, "+")))</f>
        <v>180</v>
      </c>
      <c r="F53" s="104">
        <f>IF($D$31="MULTIPUNTO",I41,"+")</f>
        <v>180</v>
      </c>
      <c r="G53" s="104">
        <f>IF($D$31="MULTIPUNTO",I41,"+")</f>
        <v>180</v>
      </c>
      <c r="H53" s="104">
        <f>IF($D$31="MULTIPUNTO",I41, IF($D$31="ZERO/SPAN",I41, IF($D$31="AJUSTE PREC","+", IF($D$31="PRECISIÓN","+", "+"))))</f>
        <v>180</v>
      </c>
      <c r="I53" s="97"/>
      <c r="J53" s="97"/>
      <c r="K53" s="23"/>
      <c r="L53" s="25"/>
      <c r="N53" s="248">
        <v>-1.18</v>
      </c>
      <c r="O53" s="248">
        <v>-0.22</v>
      </c>
      <c r="P53" s="248">
        <v>39.450000000000003</v>
      </c>
      <c r="Q53" s="248" t="s">
        <v>208</v>
      </c>
      <c r="R53" s="248">
        <v>140.22999999999999</v>
      </c>
      <c r="S53" s="248">
        <v>180.23</v>
      </c>
      <c r="T53" s="248">
        <v>179.58</v>
      </c>
      <c r="U53" s="358" t="s">
        <v>164</v>
      </c>
    </row>
    <row r="54" spans="1:21" ht="25.5" x14ac:dyDescent="0.2">
      <c r="A54" s="23"/>
      <c r="B54" s="287"/>
      <c r="C54" s="102" t="s">
        <v>73</v>
      </c>
      <c r="D54" s="103">
        <v>0</v>
      </c>
      <c r="E54" s="217">
        <f>IF($D$31="PRECISIÓN",D49*E51,  IF($D$31="AJUSTE PREC",D49*E51, IF($D$31="MULTIPUNTO",D49*E51, IF($D$31="ZERO/SPAN","+", "---" ))))</f>
        <v>32</v>
      </c>
      <c r="F54" s="217">
        <f>IF($D$31="PRECISIÓN","+",  IF($D$31="AJUSTE PREC","+", IF($D$31="MULTIPUNTO",D49*F51, IF($D$31="ZERO/SPAN","+", "---" ))))</f>
        <v>64</v>
      </c>
      <c r="G54" s="217">
        <f>IF($D$31="PRECISIÓN","+",  IF($D$31="AJUSTE PREC","+", IF($D$31="MULTIPUNTO",D49*G51, IF($D$31="ZERO/SPAN","+", "---" ))))</f>
        <v>112</v>
      </c>
      <c r="H54" s="105">
        <f>IF($D$31="PRECISIÓN","+",  IF($D$31="AJUSTE PREC","+", IF($D$31="MULTIPUNTO",D49*H51, IF($D$31="ZERO/SPAN",D49*I51, "---" ))))</f>
        <v>144</v>
      </c>
      <c r="I54" s="97"/>
      <c r="J54" s="97"/>
      <c r="K54" s="23"/>
      <c r="L54" s="25"/>
      <c r="N54" s="248">
        <v>-1.77</v>
      </c>
      <c r="O54" s="248">
        <v>-0.44</v>
      </c>
      <c r="P54" s="248">
        <v>39.15</v>
      </c>
      <c r="Q54" s="248">
        <v>80.53</v>
      </c>
      <c r="R54" s="248">
        <v>140.30000000000001</v>
      </c>
      <c r="S54" s="248">
        <v>179.78</v>
      </c>
      <c r="T54" s="248">
        <v>179.88</v>
      </c>
      <c r="U54" s="359"/>
    </row>
    <row r="55" spans="1:21" ht="25.5" x14ac:dyDescent="0.2">
      <c r="A55" s="23"/>
      <c r="B55" s="298"/>
      <c r="C55" s="102" t="s">
        <v>74</v>
      </c>
      <c r="D55" s="106">
        <v>0</v>
      </c>
      <c r="E55" s="106">
        <f>Q69</f>
        <v>29.777999999999992</v>
      </c>
      <c r="F55" s="107">
        <f>R69</f>
        <v>61.416000000000011</v>
      </c>
      <c r="G55" s="107">
        <f>S69</f>
        <v>100.994</v>
      </c>
      <c r="H55" s="106">
        <f>T69</f>
        <v>148.58799999999999</v>
      </c>
      <c r="I55" s="97"/>
      <c r="J55" s="97"/>
      <c r="K55" s="23"/>
      <c r="L55" s="25"/>
      <c r="N55" s="248">
        <v>-1.26</v>
      </c>
      <c r="O55" s="248">
        <v>-0.22</v>
      </c>
      <c r="P55" s="248">
        <v>39</v>
      </c>
      <c r="Q55" s="248">
        <v>80.239999999999995</v>
      </c>
      <c r="R55" s="248">
        <v>140.38</v>
      </c>
      <c r="S55" s="248">
        <v>180</v>
      </c>
      <c r="T55" s="248" t="s">
        <v>209</v>
      </c>
      <c r="U55" s="359"/>
    </row>
    <row r="56" spans="1:21" ht="21" customHeight="1" x14ac:dyDescent="0.2">
      <c r="A56" s="23"/>
      <c r="B56" s="277" t="s">
        <v>75</v>
      </c>
      <c r="C56" s="108" t="s">
        <v>76</v>
      </c>
      <c r="D56" s="109">
        <f>E42</f>
        <v>0.03</v>
      </c>
      <c r="E56" s="269">
        <f>Q75</f>
        <v>181.71800000000002</v>
      </c>
      <c r="F56" s="269">
        <f>R75</f>
        <v>180.78000000000003</v>
      </c>
      <c r="G56" s="269">
        <f t="shared" ref="G56:H56" si="9">S75</f>
        <v>180.43599999999998</v>
      </c>
      <c r="H56" s="269">
        <f t="shared" si="9"/>
        <v>180.404</v>
      </c>
      <c r="I56" s="97"/>
      <c r="J56" s="97"/>
      <c r="K56" s="23"/>
      <c r="L56" s="25"/>
      <c r="N56" s="248">
        <v>-0.59</v>
      </c>
      <c r="O56" s="248">
        <v>0.23</v>
      </c>
      <c r="P56" s="248">
        <v>39</v>
      </c>
      <c r="Q56" s="248">
        <v>79.900000000000006</v>
      </c>
      <c r="R56" s="248">
        <v>140.66999999999999</v>
      </c>
      <c r="S56" s="248">
        <v>180.22</v>
      </c>
      <c r="T56" s="248">
        <v>180</v>
      </c>
      <c r="U56" s="359"/>
    </row>
    <row r="57" spans="1:21" ht="15" customHeight="1" x14ac:dyDescent="0.2">
      <c r="A57" s="23"/>
      <c r="B57" s="278"/>
      <c r="C57" s="108" t="s">
        <v>77</v>
      </c>
      <c r="D57" s="109">
        <f>E43</f>
        <v>-0.16</v>
      </c>
      <c r="E57" s="269">
        <f>Q81</f>
        <v>150.34200000000001</v>
      </c>
      <c r="F57" s="269">
        <f t="shared" ref="F57:H58" si="10">R81</f>
        <v>118.70399999999999</v>
      </c>
      <c r="G57" s="269">
        <f t="shared" si="10"/>
        <v>79.126000000000005</v>
      </c>
      <c r="H57" s="269">
        <f t="shared" si="10"/>
        <v>31.532</v>
      </c>
      <c r="I57" s="97"/>
      <c r="J57" s="97"/>
      <c r="K57" s="23"/>
      <c r="L57" s="25"/>
      <c r="N57" s="248">
        <v>-1.26</v>
      </c>
      <c r="O57" s="248">
        <v>-0.15</v>
      </c>
      <c r="P57" s="248">
        <v>38.71</v>
      </c>
      <c r="Q57" s="248">
        <v>79.7</v>
      </c>
      <c r="R57" s="248">
        <v>141</v>
      </c>
      <c r="S57" s="248">
        <v>180.37</v>
      </c>
      <c r="T57" s="248">
        <v>180.03</v>
      </c>
      <c r="U57" s="359"/>
    </row>
    <row r="58" spans="1:21" ht="17.25" customHeight="1" x14ac:dyDescent="0.2">
      <c r="A58" s="23"/>
      <c r="B58" s="279"/>
      <c r="C58" s="99" t="s">
        <v>78</v>
      </c>
      <c r="D58" s="109">
        <f>E44</f>
        <v>0.19</v>
      </c>
      <c r="E58" s="109">
        <f t="shared" ref="E58" si="11">Q82</f>
        <v>31.376000000000005</v>
      </c>
      <c r="F58" s="268">
        <f t="shared" si="10"/>
        <v>62.076000000000036</v>
      </c>
      <c r="G58" s="268">
        <f t="shared" si="10"/>
        <v>101.30999999999997</v>
      </c>
      <c r="H58" s="109">
        <f t="shared" si="10"/>
        <v>148.87199999999999</v>
      </c>
      <c r="I58" s="97"/>
      <c r="J58" s="97"/>
      <c r="K58" s="23"/>
      <c r="L58" s="25"/>
      <c r="N58" s="256">
        <f t="shared" ref="N58:T58" si="12">IFERROR(AVERAGE(N53:N57),"+")</f>
        <v>-1.212</v>
      </c>
      <c r="O58" s="256">
        <f t="shared" si="12"/>
        <v>-0.16</v>
      </c>
      <c r="P58" s="273">
        <f t="shared" si="12"/>
        <v>39.061999999999998</v>
      </c>
      <c r="Q58" s="273">
        <f t="shared" si="12"/>
        <v>80.092500000000001</v>
      </c>
      <c r="R58" s="273">
        <f t="shared" si="12"/>
        <v>140.51599999999999</v>
      </c>
      <c r="S58" s="273">
        <f t="shared" si="12"/>
        <v>180.12</v>
      </c>
      <c r="T58" s="273">
        <f t="shared" si="12"/>
        <v>179.8725</v>
      </c>
      <c r="U58" s="246" t="s">
        <v>165</v>
      </c>
    </row>
    <row r="59" spans="1:21" ht="17.25" customHeight="1" x14ac:dyDescent="0.2">
      <c r="A59" s="23"/>
      <c r="B59" s="280" t="s">
        <v>20</v>
      </c>
      <c r="C59" s="282"/>
      <c r="D59" s="110">
        <f>E45</f>
        <v>0.17592612085759179</v>
      </c>
      <c r="E59" s="270">
        <f>Q83</f>
        <v>0.27824449680092456</v>
      </c>
      <c r="F59" s="270">
        <f t="shared" ref="F59:H59" si="13">R83</f>
        <v>0.28014282071828894</v>
      </c>
      <c r="G59" s="270">
        <f t="shared" si="13"/>
        <v>0.28640879874752662</v>
      </c>
      <c r="H59" s="270">
        <f t="shared" si="13"/>
        <v>0.27151427218472329</v>
      </c>
      <c r="I59" s="97"/>
      <c r="J59" s="97"/>
      <c r="K59" s="23"/>
      <c r="L59" s="25"/>
      <c r="N59" s="257">
        <f t="shared" ref="N59:O59" si="14">IFERROR(_xlfn.STDEV.S(N53:N57),"+")</f>
        <v>0.41948778289719019</v>
      </c>
      <c r="O59" s="257">
        <f t="shared" si="14"/>
        <v>0.24382370680473217</v>
      </c>
      <c r="P59" s="257">
        <f>IFERROR(_xlfn.STDEV.S(P53:P57),"+")</f>
        <v>0.26920252599112132</v>
      </c>
      <c r="Q59" s="257">
        <f>IFERROR(_xlfn.STDEV.S(Q53:Q57),"+")</f>
        <v>0.36709444742917546</v>
      </c>
      <c r="R59" s="257">
        <f>IFERROR(_xlfn.STDEV.S(R53:R57),"+")</f>
        <v>0.31816662301379067</v>
      </c>
      <c r="S59" s="257">
        <f>IFERROR(_xlfn.STDEV.S(S53:S57),"+")</f>
        <v>0.23162469643800887</v>
      </c>
      <c r="T59" s="257">
        <f>IFERROR(_xlfn.STDEV.S(T53:T57),"+")</f>
        <v>0.20548722588033949</v>
      </c>
      <c r="U59" s="247" t="s">
        <v>166</v>
      </c>
    </row>
    <row r="60" spans="1:21" ht="15" customHeight="1" x14ac:dyDescent="0.2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5"/>
      <c r="N60" s="249" t="s">
        <v>169</v>
      </c>
    </row>
    <row r="61" spans="1:21" ht="15" customHeight="1" thickBot="1" x14ac:dyDescent="0.25">
      <c r="A61" s="23"/>
      <c r="B61" s="76" t="s">
        <v>79</v>
      </c>
      <c r="C61" s="77"/>
      <c r="D61" s="77"/>
      <c r="E61" s="16"/>
      <c r="F61" s="76"/>
      <c r="G61" s="76"/>
      <c r="H61" s="76"/>
      <c r="I61" s="76"/>
      <c r="J61" s="76"/>
      <c r="K61" s="23"/>
      <c r="L61" s="25"/>
    </row>
    <row r="62" spans="1:21" ht="15" customHeight="1" x14ac:dyDescent="0.2">
      <c r="A62" s="23"/>
      <c r="B62" s="299" t="s">
        <v>80</v>
      </c>
      <c r="C62" s="300"/>
      <c r="D62" s="300"/>
      <c r="E62" s="301"/>
      <c r="F62" s="302" t="s">
        <v>81</v>
      </c>
      <c r="G62" s="303"/>
      <c r="H62" s="303"/>
      <c r="I62" s="304"/>
      <c r="J62" s="76"/>
      <c r="K62" s="23"/>
      <c r="L62" s="25"/>
      <c r="N62" s="23"/>
      <c r="O62" s="23"/>
      <c r="P62" s="23"/>
      <c r="Q62" s="23"/>
      <c r="R62" s="23"/>
      <c r="S62" s="23"/>
      <c r="T62" s="23"/>
      <c r="U62" s="23"/>
    </row>
    <row r="63" spans="1:21" ht="15" customHeight="1" x14ac:dyDescent="0.2">
      <c r="A63" s="23"/>
      <c r="B63" s="111" t="s">
        <v>22</v>
      </c>
      <c r="C63" s="99" t="s">
        <v>36</v>
      </c>
      <c r="D63" s="99" t="s">
        <v>35</v>
      </c>
      <c r="E63" s="112" t="s">
        <v>27</v>
      </c>
      <c r="F63" s="113" t="s">
        <v>22</v>
      </c>
      <c r="G63" s="91" t="s">
        <v>36</v>
      </c>
      <c r="H63" s="91" t="s">
        <v>35</v>
      </c>
      <c r="I63" s="114" t="s">
        <v>27</v>
      </c>
      <c r="J63" s="78"/>
      <c r="K63" s="23"/>
      <c r="L63" s="25"/>
      <c r="N63" s="23"/>
      <c r="O63" s="23"/>
      <c r="P63" s="23"/>
      <c r="Q63" s="23"/>
      <c r="R63" s="23"/>
      <c r="S63" s="23"/>
      <c r="T63" s="23"/>
      <c r="U63" s="23"/>
    </row>
    <row r="64" spans="1:21" ht="16.5" customHeight="1" thickBot="1" x14ac:dyDescent="0.25">
      <c r="A64" s="23"/>
      <c r="B64" s="115">
        <f>IF(D31="MULTIPUNTO",CORREL(D58:H58,D55:H55),"---")</f>
        <v>0.99995607083150306</v>
      </c>
      <c r="C64" s="116">
        <f>IF(D31="MULTIPUNTO",SLOPE(D58:H58,D55:H55),"---")</f>
        <v>0.99668123745395543</v>
      </c>
      <c r="D64" s="116">
        <f>IF(D31="MULTIPUNTO",INTERCEPT(D58:H58,D55:H55),"---")</f>
        <v>0.83579092507817165</v>
      </c>
      <c r="E64" s="117">
        <f>IF(D31="MULTIPUNTO",LINEST(D58:H58,D55:H55,0,FALSE),"---")</f>
        <v>1.0043921709881412</v>
      </c>
      <c r="F64" s="118">
        <f>IF(D31="MULTIPUNTO",CORREL(E43:I43,E41:I41),"---")</f>
        <v>0.99998804198641145</v>
      </c>
      <c r="G64" s="119">
        <f>IF(D31="MULTIPUNTO",SLOPE(E43:I43,E41:I41),"---")</f>
        <v>1.003765512154472</v>
      </c>
      <c r="H64" s="119">
        <f>IF(D31="MULTIPUNTO",INTERCEPT(E43:I43,E41:I41),"---")</f>
        <v>-0.60601817202443442</v>
      </c>
      <c r="I64" s="120">
        <f>IF(D31="MULTIPUNTO",LINEST(E43:I43,E41:I41,0,FALSE),"---")</f>
        <v>0.99932670492481801</v>
      </c>
      <c r="J64" s="6"/>
      <c r="K64" s="23"/>
      <c r="L64" s="25"/>
      <c r="N64" s="23"/>
      <c r="O64" s="23"/>
      <c r="P64" s="23"/>
      <c r="Q64" s="23"/>
      <c r="R64" s="23"/>
      <c r="S64" s="23"/>
      <c r="T64" s="23"/>
      <c r="U64" s="23"/>
    </row>
    <row r="65" spans="1:21" ht="15" customHeight="1" x14ac:dyDescent="0.2">
      <c r="A65" s="23"/>
      <c r="B65" s="15"/>
      <c r="C65" s="15"/>
      <c r="D65" s="15"/>
      <c r="E65" s="15"/>
      <c r="F65" s="79"/>
      <c r="G65" s="79"/>
      <c r="H65" s="5"/>
      <c r="I65" s="6"/>
      <c r="J65" s="6"/>
      <c r="K65" s="23"/>
      <c r="L65" s="25"/>
      <c r="N65" s="277" t="s">
        <v>201</v>
      </c>
      <c r="O65" s="287" t="s">
        <v>71</v>
      </c>
      <c r="P65" s="287"/>
      <c r="Q65" s="360" t="str">
        <f>IF($D$31="MULTIPUNTO","20%          Multipunto",IF($D$31="ZERO/SPAN","+",IF($D$31="PRECISIÓN","20%           Precisión", IF($D$31="AJUSTE PREC","     20%         Precisión","???"))))</f>
        <v>20%          Multipunto</v>
      </c>
      <c r="R65" s="360" t="str">
        <f>IF($D$31="MULTIPUNTO","40%          Multipunto",IF($D$31="ZERO/SPAN","+",IF($D$31="PRECISIÓN","+",  IF($D$31="AJUSTE PREC","+","???"))))</f>
        <v>40%          Multipunto</v>
      </c>
      <c r="S65" s="360" t="str">
        <f>IF($D$31="MULTIPUNTO","70%          Multipunto",IF($D$31="ZERO/SPAN","+",IF($D$31="PRECISIÓN","+",  IF($D$31="AJUSTE PREC","+","???"))))</f>
        <v>70%          Multipunto</v>
      </c>
      <c r="T65" s="360" t="str">
        <f>IF($D$31="MULTIPUNTO","90%      Multipunto",IF($D$31="ZERO/SPAN","80%         SPAN",IF($D$31="PRECISIÓN","+", IF($D$31="AJUSTE PREC", "+", "???"))))</f>
        <v>90%      Multipunto</v>
      </c>
      <c r="U65" s="23"/>
    </row>
    <row r="66" spans="1:21" ht="15" customHeight="1" thickBot="1" x14ac:dyDescent="0.25">
      <c r="A66" s="23"/>
      <c r="B66" s="76" t="s">
        <v>202</v>
      </c>
      <c r="C66" s="15"/>
      <c r="D66" s="15"/>
      <c r="E66" s="15"/>
      <c r="F66" s="79"/>
      <c r="G66" s="79"/>
      <c r="H66" s="5"/>
      <c r="I66" s="23"/>
      <c r="J66" s="23"/>
      <c r="K66" s="23"/>
      <c r="L66" s="25"/>
      <c r="N66" s="278"/>
      <c r="O66" s="287"/>
      <c r="P66" s="287"/>
      <c r="Q66" s="360"/>
      <c r="R66" s="360"/>
      <c r="S66" s="360"/>
      <c r="T66" s="360"/>
      <c r="U66" s="23"/>
    </row>
    <row r="67" spans="1:21" ht="24" customHeight="1" x14ac:dyDescent="0.2">
      <c r="A67" s="23"/>
      <c r="B67" s="76"/>
      <c r="C67" s="295" t="s">
        <v>203</v>
      </c>
      <c r="D67" s="296"/>
      <c r="E67" s="296"/>
      <c r="F67" s="297"/>
      <c r="G67" s="320" t="s">
        <v>204</v>
      </c>
      <c r="H67" s="321"/>
      <c r="I67" s="321"/>
      <c r="J67" s="322"/>
      <c r="K67" s="23"/>
      <c r="L67" s="25"/>
      <c r="N67" s="278"/>
      <c r="O67" s="287" t="s">
        <v>72</v>
      </c>
      <c r="P67" s="287"/>
      <c r="Q67" s="103">
        <f>IF($D$31="MULTIPUNTO",I41, IF($D$31="PRECISIÓN",F41, IF($D$31="AJUSTE PREC",F41, "+")))</f>
        <v>180</v>
      </c>
      <c r="R67" s="103">
        <f>IF($D$31="MULTIPUNTO",I41,"+")</f>
        <v>180</v>
      </c>
      <c r="S67" s="103">
        <f>IF($D$31="MULTIPUNTO",I41,"+")</f>
        <v>180</v>
      </c>
      <c r="T67" s="103">
        <f>IF($D$31="MULTIPUNTO",I41, IF($D$31="ZERO/SPAN",I41, IF($D$31="AJUSTE PREC","+", "+")))</f>
        <v>180</v>
      </c>
      <c r="U67" s="23"/>
    </row>
    <row r="68" spans="1:21" ht="27.75" customHeight="1" x14ac:dyDescent="0.2">
      <c r="A68" s="23"/>
      <c r="B68" s="95" t="s">
        <v>26</v>
      </c>
      <c r="C68" s="121">
        <f>IF(D31="MULTIPUNTO",E55,"+")</f>
        <v>29.777999999999992</v>
      </c>
      <c r="D68" s="122">
        <f>IF(D31="MULTIPUNTO",F55,"+")</f>
        <v>61.416000000000011</v>
      </c>
      <c r="E68" s="122">
        <f>IF(D31="MULTIPUNTO",G55,"+")</f>
        <v>100.994</v>
      </c>
      <c r="F68" s="123">
        <f>IF(D31="MULTIPUNTO",H55,"+")</f>
        <v>148.58799999999999</v>
      </c>
      <c r="G68" s="124">
        <f>IF(D31="MULTIPUNTO",F41,"+")</f>
        <v>40</v>
      </c>
      <c r="H68" s="125">
        <f>IF(D31="MULTIPUNTO",G41,"+")</f>
        <v>80.599999999999994</v>
      </c>
      <c r="I68" s="125">
        <f>IF(D31="MULTIPUNTO",H41,"+")</f>
        <v>140.4</v>
      </c>
      <c r="J68" s="126">
        <f>IF(D31="MULTIPUNTO",I41,"+")</f>
        <v>180</v>
      </c>
      <c r="K68" s="23"/>
      <c r="L68" s="25"/>
      <c r="N68" s="278"/>
      <c r="O68" s="287" t="s">
        <v>73</v>
      </c>
      <c r="P68" s="287"/>
      <c r="Q68" s="103">
        <f>IF($D$31="PRECISIÓN",D49*E51,  IF($D$31="AJUSTE PREC",D49*E51, IF($D$31="MULTIPUNTO",D49*E51, IF($D$31="ZERO/SPAN","+", "---" ))))</f>
        <v>32</v>
      </c>
      <c r="R68" s="103">
        <f>IF($D$31="PRECISIÓN","+",  IF($D$31="AJUSTE PREC","+", IF($D$31="MULTIPUNTO",D49*F51, IF($D$31="ZERO/SPAN","+", "---" ))))</f>
        <v>64</v>
      </c>
      <c r="S68" s="103">
        <f>IF($D$31="PRECISIÓN","+",  IF($D$31="AJUSTE PREC","+", IF($D$31="MULTIPUNTO",D49*G51, IF($D$31="ZERO/SPAN","+", "---" ))))</f>
        <v>112</v>
      </c>
      <c r="T68" s="103">
        <f>IF($D$31="PRECISIÓN","+",  IF($D$31="AJUSTE PREC","+", IF($D$31="MULTIPUNTO",D49*H51, IF($D$31="ZERO/SPAN",D49*I51, "---" ))))</f>
        <v>144</v>
      </c>
      <c r="U68" s="23"/>
    </row>
    <row r="69" spans="1:21" ht="27.75" customHeight="1" x14ac:dyDescent="0.2">
      <c r="A69" s="23"/>
      <c r="B69" s="127" t="s">
        <v>45</v>
      </c>
      <c r="C69" s="128">
        <f>IFERROR(($C$64*E55)+$D$64,"---")</f>
        <v>30.514964813982047</v>
      </c>
      <c r="D69" s="109">
        <f>IFERROR(($C$64*F55)+$D$64,"---")</f>
        <v>62.047965804550309</v>
      </c>
      <c r="E69" s="109">
        <f>IFERROR(($C$64*G55)+$D$64,"---")</f>
        <v>101.49461582050294</v>
      </c>
      <c r="F69" s="129">
        <f>IFERROR(($C$64*H55)+$D$64,"---")</f>
        <v>148.93066263588651</v>
      </c>
      <c r="G69" s="130">
        <f>IFERROR(($G$64*F41)+$H$64,"---")</f>
        <v>39.544602314154446</v>
      </c>
      <c r="H69" s="93">
        <f>IFERROR(($G$64*G41)+$H$64,"---")</f>
        <v>80.297482107625996</v>
      </c>
      <c r="I69" s="93">
        <f>IFERROR(($G$64*H41)+$H$64,"---")</f>
        <v>140.32265973446346</v>
      </c>
      <c r="J69" s="131">
        <f>IFERROR(($G$64*I41)+$H$64,"---")</f>
        <v>180.07177401578053</v>
      </c>
      <c r="K69" s="23"/>
      <c r="L69" s="25"/>
      <c r="N69" s="279"/>
      <c r="O69" s="287" t="s">
        <v>74</v>
      </c>
      <c r="P69" s="287"/>
      <c r="Q69" s="106">
        <f>IFERROR(IF($D$31="MULTIPUNTO",(I43-Q81)+G49, IF($D$31="PRECISIÓN",(F43-Q81)+F49, IF($D$31="AJUSTE PREC",(F43-Q81)+F49,"+"))),"+")</f>
        <v>29.777999999999992</v>
      </c>
      <c r="R69" s="107">
        <f>IFERROR((I43-R81)+G49,"+")</f>
        <v>61.416000000000011</v>
      </c>
      <c r="S69" s="107">
        <f>IFERROR((I43-S81)+G49,"+")</f>
        <v>100.994</v>
      </c>
      <c r="T69" s="106">
        <f>IFERROR((I43-T81)+G49,"+")</f>
        <v>148.58799999999999</v>
      </c>
      <c r="U69" s="23"/>
    </row>
    <row r="70" spans="1:21" ht="25.5" customHeight="1" x14ac:dyDescent="0.2">
      <c r="A70" s="23"/>
      <c r="B70" s="127" t="s">
        <v>25</v>
      </c>
      <c r="C70" s="132">
        <f>IFERROR(ABS(E58-C69),"---")</f>
        <v>0.8610351860179577</v>
      </c>
      <c r="D70" s="110">
        <f>IFERROR(ABS(F58-D69),"---")</f>
        <v>2.8034195449727406E-2</v>
      </c>
      <c r="E70" s="110">
        <f>IFERROR(ABS(G58-E69),"---")</f>
        <v>0.18461582050296954</v>
      </c>
      <c r="F70" s="133">
        <f>IFERROR(ABS(H58-F69),"---")</f>
        <v>5.866263588652032E-2</v>
      </c>
      <c r="G70" s="134">
        <f>IFERROR(ABS(F43-G69),"---")</f>
        <v>0.48260231415444821</v>
      </c>
      <c r="H70" s="135">
        <f>IFERROR(ABS(G43-H69),"---")</f>
        <v>0.20498210762599456</v>
      </c>
      <c r="I70" s="135">
        <f>IFERROR(ABS(H43-I69),"---")</f>
        <v>0.19334026553653416</v>
      </c>
      <c r="J70" s="136">
        <f>IFERROR(ABS(I43-J69),"---")</f>
        <v>4.8225984219470774E-2</v>
      </c>
      <c r="K70" s="23"/>
      <c r="L70" s="25"/>
      <c r="N70" s="287" t="s">
        <v>180</v>
      </c>
      <c r="O70" s="283" t="s">
        <v>188</v>
      </c>
      <c r="P70" s="284"/>
      <c r="Q70" s="254">
        <v>182.44</v>
      </c>
      <c r="R70" s="254">
        <v>181</v>
      </c>
      <c r="S70" s="254">
        <v>180.53</v>
      </c>
      <c r="T70" s="254">
        <v>180.55</v>
      </c>
      <c r="U70" s="23"/>
    </row>
    <row r="71" spans="1:21" ht="26.25" thickBot="1" x14ac:dyDescent="0.25">
      <c r="A71" s="23"/>
      <c r="B71" s="127" t="s">
        <v>34</v>
      </c>
      <c r="C71" s="200">
        <f>IFERROR((E58-C69)/C69,"---")</f>
        <v>2.8216817265456221E-2</v>
      </c>
      <c r="D71" s="201">
        <f>IFERROR((F58-D69)/D69,"---")</f>
        <v>4.5181489975085545E-4</v>
      </c>
      <c r="E71" s="201">
        <f>IFERROR((G58-E69)/E69,"---")</f>
        <v>-1.818971568200914E-3</v>
      </c>
      <c r="F71" s="202">
        <f>IFERROR((H58-F69)/F69,"---")</f>
        <v>-3.9389226401242712E-4</v>
      </c>
      <c r="G71" s="137">
        <f>IFERROR((F43-G69)/G69,"---")</f>
        <v>-1.2203999684217518E-2</v>
      </c>
      <c r="H71" s="138">
        <f>IFERROR((G43-H69)/H69,"---")</f>
        <v>-2.5527837516903539E-3</v>
      </c>
      <c r="I71" s="138">
        <f>IFERROR((H43-I69)/I69,"---")</f>
        <v>1.3778264031083605E-3</v>
      </c>
      <c r="J71" s="139">
        <f>IFERROR((I43-J69)/J69,"---")</f>
        <v>2.6781534464832065E-4</v>
      </c>
      <c r="K71" s="23"/>
      <c r="L71" s="25"/>
      <c r="N71" s="287"/>
      <c r="O71" s="285"/>
      <c r="P71" s="286"/>
      <c r="Q71" s="254">
        <v>181.95</v>
      </c>
      <c r="R71" s="254">
        <v>180.5</v>
      </c>
      <c r="S71" s="254">
        <v>180.25</v>
      </c>
      <c r="T71" s="254">
        <v>180.19</v>
      </c>
      <c r="U71" s="23"/>
    </row>
    <row r="72" spans="1:21" ht="15.75" customHeight="1" x14ac:dyDescent="0.2">
      <c r="A72" s="23"/>
      <c r="B72" s="127" t="s">
        <v>114</v>
      </c>
      <c r="C72" s="197">
        <f>IFERROR(($I$43-E57)+G49,"---")</f>
        <v>29.777999999999992</v>
      </c>
      <c r="D72" s="198">
        <f>IFERROR(($I$43-F57)+G49,"---")</f>
        <v>61.416000000000011</v>
      </c>
      <c r="E72" s="198">
        <f>IFERROR(($I$43-G57)+G49,"---")</f>
        <v>100.994</v>
      </c>
      <c r="F72" s="199">
        <f>IF(D31="MULTIPUNTO",($I$43-H57)+G49,"---")</f>
        <v>148.58799999999999</v>
      </c>
      <c r="G72" s="24"/>
      <c r="H72" s="24"/>
      <c r="I72" s="24"/>
      <c r="J72" s="24"/>
      <c r="K72" s="23"/>
      <c r="L72" s="25"/>
      <c r="N72" s="287"/>
      <c r="O72" s="285"/>
      <c r="P72" s="286"/>
      <c r="Q72" s="254">
        <v>181.8</v>
      </c>
      <c r="R72" s="254">
        <v>180.6</v>
      </c>
      <c r="S72" s="254">
        <v>180.54</v>
      </c>
      <c r="T72" s="254">
        <v>180.55</v>
      </c>
      <c r="U72" s="23"/>
    </row>
    <row r="73" spans="1:21" ht="18.75" customHeight="1" thickBot="1" x14ac:dyDescent="0.25">
      <c r="A73" s="23"/>
      <c r="B73" s="127" t="s">
        <v>115</v>
      </c>
      <c r="C73" s="192">
        <f>IFERROR(C72-($I$42-E56),"---")</f>
        <v>31.777999999999992</v>
      </c>
      <c r="D73" s="193">
        <f>IFERROR(D72-($I$42-F56),"---")</f>
        <v>62.478000000000023</v>
      </c>
      <c r="E73" s="193">
        <f>IFERROR(E72-($I$42-G56),"---")</f>
        <v>101.71199999999996</v>
      </c>
      <c r="F73" s="194">
        <f>IF(D31="MULTIPUNTO",F72-($I$42-H56),"---")</f>
        <v>149.27399999999997</v>
      </c>
      <c r="G73" s="24"/>
      <c r="H73" s="24"/>
      <c r="I73" s="24"/>
      <c r="J73" s="24"/>
      <c r="K73" s="23"/>
      <c r="L73" s="25"/>
      <c r="N73" s="287"/>
      <c r="O73" s="285"/>
      <c r="P73" s="286"/>
      <c r="Q73" s="254">
        <v>181.4</v>
      </c>
      <c r="R73" s="254">
        <v>181</v>
      </c>
      <c r="S73" s="254">
        <v>180.61</v>
      </c>
      <c r="T73" s="254">
        <v>180.47</v>
      </c>
      <c r="U73" s="23"/>
    </row>
    <row r="74" spans="1:21" ht="26.25" thickBot="1" x14ac:dyDescent="0.25">
      <c r="A74" s="23"/>
      <c r="B74" s="127" t="s">
        <v>116</v>
      </c>
      <c r="C74" s="195">
        <f>IFERROR((SLOPE(C73:F73,C72:F72))*100,"---")</f>
        <v>98.972119397864333</v>
      </c>
      <c r="D74" s="196"/>
      <c r="E74" s="196"/>
      <c r="F74" s="196"/>
      <c r="G74" s="24"/>
      <c r="H74" s="24"/>
      <c r="I74" s="24"/>
      <c r="J74" s="24"/>
      <c r="K74" s="23"/>
      <c r="L74" s="25"/>
      <c r="N74" s="287"/>
      <c r="O74" s="285"/>
      <c r="P74" s="286"/>
      <c r="Q74" s="254">
        <v>181</v>
      </c>
      <c r="R74" s="254">
        <v>180.8</v>
      </c>
      <c r="S74" s="254">
        <v>180.25</v>
      </c>
      <c r="T74" s="254">
        <v>180.26</v>
      </c>
      <c r="U74" s="23"/>
    </row>
    <row r="75" spans="1:21" ht="15" customHeight="1" x14ac:dyDescent="0.2">
      <c r="A75" s="23"/>
      <c r="B75" s="77"/>
      <c r="C75" s="4"/>
      <c r="D75" s="80"/>
      <c r="E75" s="24"/>
      <c r="F75" s="81"/>
      <c r="G75" s="81"/>
      <c r="H75" s="7"/>
      <c r="I75" s="8"/>
      <c r="J75" s="8"/>
      <c r="K75" s="23"/>
      <c r="L75" s="25"/>
      <c r="N75" s="287"/>
      <c r="O75" s="280" t="s">
        <v>186</v>
      </c>
      <c r="P75" s="281"/>
      <c r="Q75" s="261">
        <f>IFERROR(AVERAGE(Q70:Q74),"+")</f>
        <v>181.71800000000002</v>
      </c>
      <c r="R75" s="261">
        <f t="shared" ref="R75:T75" si="15">IFERROR(AVERAGE(R70:R74),"+")</f>
        <v>180.78000000000003</v>
      </c>
      <c r="S75" s="261">
        <f t="shared" si="15"/>
        <v>180.43599999999998</v>
      </c>
      <c r="T75" s="261">
        <f t="shared" si="15"/>
        <v>180.404</v>
      </c>
      <c r="U75" s="23"/>
    </row>
    <row r="76" spans="1:21" ht="15" customHeight="1" thickBot="1" x14ac:dyDescent="0.25">
      <c r="A76" s="23"/>
      <c r="B76" s="272" t="s">
        <v>205</v>
      </c>
      <c r="C76" s="6"/>
      <c r="D76" s="9"/>
      <c r="E76" s="24"/>
      <c r="F76" s="81"/>
      <c r="G76" s="81"/>
      <c r="H76" s="7"/>
      <c r="I76" s="8"/>
      <c r="J76" s="8"/>
      <c r="K76" s="23"/>
      <c r="L76" s="25"/>
      <c r="N76" s="287"/>
      <c r="O76" s="283" t="s">
        <v>187</v>
      </c>
      <c r="P76" s="284"/>
      <c r="Q76" s="254">
        <v>150.19</v>
      </c>
      <c r="R76" s="254">
        <v>119.1</v>
      </c>
      <c r="S76" s="254">
        <v>79.13</v>
      </c>
      <c r="T76" s="254">
        <v>31.84</v>
      </c>
      <c r="U76" s="23"/>
    </row>
    <row r="77" spans="1:21" ht="15" customHeight="1" x14ac:dyDescent="0.2">
      <c r="A77" s="23"/>
      <c r="B77" s="140"/>
      <c r="C77" s="342" t="s">
        <v>82</v>
      </c>
      <c r="D77" s="323" t="s">
        <v>83</v>
      </c>
      <c r="E77" s="325" t="s">
        <v>84</v>
      </c>
      <c r="F77" s="327" t="s">
        <v>85</v>
      </c>
      <c r="G77" s="329" t="s">
        <v>86</v>
      </c>
      <c r="H77" s="141" t="s">
        <v>21</v>
      </c>
      <c r="I77" s="331" t="s">
        <v>84</v>
      </c>
      <c r="J77" s="8"/>
      <c r="K77" s="23"/>
      <c r="L77" s="25"/>
      <c r="N77" s="287"/>
      <c r="O77" s="285"/>
      <c r="P77" s="286"/>
      <c r="Q77" s="254">
        <v>150.72</v>
      </c>
      <c r="R77" s="254">
        <v>118.74</v>
      </c>
      <c r="S77" s="254">
        <v>79.42</v>
      </c>
      <c r="T77" s="254">
        <v>31.7</v>
      </c>
      <c r="U77" s="23"/>
    </row>
    <row r="78" spans="1:21" ht="15" customHeight="1" x14ac:dyDescent="0.2">
      <c r="A78" s="23"/>
      <c r="B78" s="29"/>
      <c r="C78" s="343"/>
      <c r="D78" s="324"/>
      <c r="E78" s="326"/>
      <c r="F78" s="328"/>
      <c r="G78" s="330"/>
      <c r="H78" s="142" t="s">
        <v>87</v>
      </c>
      <c r="I78" s="332"/>
      <c r="J78" s="8"/>
      <c r="K78" s="23"/>
      <c r="L78" s="25"/>
      <c r="N78" s="287"/>
      <c r="O78" s="285"/>
      <c r="P78" s="286"/>
      <c r="Q78" s="254">
        <v>150.5</v>
      </c>
      <c r="R78" s="254">
        <v>118.5</v>
      </c>
      <c r="S78" s="254">
        <v>78.69</v>
      </c>
      <c r="T78" s="254">
        <v>31.62</v>
      </c>
      <c r="U78" s="23"/>
    </row>
    <row r="79" spans="1:21" ht="15" customHeight="1" x14ac:dyDescent="0.2">
      <c r="A79" s="23"/>
      <c r="B79" s="96" t="s">
        <v>40</v>
      </c>
      <c r="C79" s="143" t="str">
        <f>IF(D31="ZERO/SPAN","N/A", IF(D31="AJUSTE PREC","N/A","---"))</f>
        <v>---</v>
      </c>
      <c r="D79" s="103" t="str">
        <f>IF(D31="ZERO/SPAN","N/A", IF(D31="AJUSTE PREC","N/A","---"))</f>
        <v>---</v>
      </c>
      <c r="E79" s="144" t="str">
        <f>IF(D31="ZERO/SPAN","N/A", IF(D31="AJUSTE PREC","N/A","---"))</f>
        <v>---</v>
      </c>
      <c r="F79" s="149" t="str">
        <f>IF(D31="ZERO/SPAN",((J42-J41)/J41*100), IF(D31="AJUSTE PREC",((J42-J41)/J41*100), "---"))</f>
        <v>---</v>
      </c>
      <c r="G79" s="150" t="str">
        <f>IF(D31="ZERO/SPAN",((J43-J41)/J41*100), IF(D31="AJUSTE PREC",((J43-J41)/J41*100), "---"))</f>
        <v>---</v>
      </c>
      <c r="H79" s="145" t="str">
        <f>IF(D31="ZERO/SPAN",H35*-1, IF(D31="AJUSTE PREC",H35*-1, "---"))</f>
        <v>---</v>
      </c>
      <c r="I79" s="146" t="str">
        <f>IF(D31="ZERO/SPAN",H35, IF(D31="AJUSTE PREC",H35, "---"))</f>
        <v>---</v>
      </c>
      <c r="J79" s="8"/>
      <c r="K79" s="23"/>
      <c r="L79" s="25"/>
      <c r="N79" s="287"/>
      <c r="O79" s="285"/>
      <c r="P79" s="286"/>
      <c r="Q79" s="254">
        <v>150</v>
      </c>
      <c r="R79" s="254">
        <v>118.38</v>
      </c>
      <c r="S79" s="254">
        <v>79.34</v>
      </c>
      <c r="T79" s="254">
        <v>31.3</v>
      </c>
      <c r="U79" s="23"/>
    </row>
    <row r="80" spans="1:21" ht="15" customHeight="1" x14ac:dyDescent="0.2">
      <c r="A80" s="23"/>
      <c r="B80" s="96" t="s">
        <v>39</v>
      </c>
      <c r="C80" s="148" t="str">
        <f>IF(D31="ZERO/SPAN",((H58-H55)/H55*100), "---")</f>
        <v>---</v>
      </c>
      <c r="D80" s="103" t="str">
        <f>IF(D31="ZERO/SPAN",H35*-1, "---")</f>
        <v>---</v>
      </c>
      <c r="E80" s="144" t="str">
        <f>IF(D31="ZERO/SPAN",H35, "---")</f>
        <v>---</v>
      </c>
      <c r="F80" s="149" t="str">
        <f>IF(D31="ZERO/SPAN",((I42-I41)/I41*100), IF(D31="AJUSTE PREC",((I42-I41)/I41*100), "---"))</f>
        <v>---</v>
      </c>
      <c r="G80" s="150" t="str">
        <f>IF(D31="ZERO/SPAN",((I43-I41)/I41*100),IF(D31="AJUSTE PREC",((I43-I41)/I41*100), "---"))</f>
        <v>---</v>
      </c>
      <c r="H80" s="145" t="str">
        <f>IF(D31="ZERO/SPAN",H35*-1, IF(D31="AJUSTE PREC",H35*-1, "---"))</f>
        <v>---</v>
      </c>
      <c r="I80" s="146" t="str">
        <f>IF(D31="ZERO/SPAN",H35, IF(D31="AJUSTE PREC",H35, "---"))</f>
        <v>---</v>
      </c>
      <c r="J80" s="16"/>
      <c r="K80" s="23"/>
      <c r="L80" s="25"/>
      <c r="N80" s="287"/>
      <c r="O80" s="285"/>
      <c r="P80" s="286"/>
      <c r="Q80" s="254">
        <v>150.30000000000001</v>
      </c>
      <c r="R80" s="254">
        <v>118.8</v>
      </c>
      <c r="S80" s="254">
        <v>79.05</v>
      </c>
      <c r="T80" s="254">
        <v>31.2</v>
      </c>
      <c r="U80" s="23"/>
    </row>
    <row r="81" spans="1:21" ht="14.25" customHeight="1" x14ac:dyDescent="0.2">
      <c r="A81" s="23"/>
      <c r="B81" s="147" t="s">
        <v>38</v>
      </c>
      <c r="C81" s="148" t="str">
        <f>IF(D31="PRECISIÓN",((E58-E55)/E55)*100, IF(D31="AJUSTE PREC",((E58-E55)/E55)*100, "---"))</f>
        <v>---</v>
      </c>
      <c r="D81" s="103" t="str">
        <f>IF(D31="PRECISIÓN",H36*-1,  IF(D31="AJUSTE PREC",H36*-1, "---"))</f>
        <v>---</v>
      </c>
      <c r="E81" s="144" t="str">
        <f>IF(D31="PRECISIÓN",H36,  IF(D31="AJUSTE PREC",H36, "---"))</f>
        <v>---</v>
      </c>
      <c r="F81" s="149" t="str">
        <f>IF(D31="PRECISIÓN",(F42-F41)/F41*100, IF(D31="AJUSTE PREC",(F42-F41)/F41*100, "---"))</f>
        <v>---</v>
      </c>
      <c r="G81" s="150" t="str">
        <f>IF(D31="PRECISIÓN",((F43-F41)/F41)*100, IF(D31="AJUSTE PREC",(F43-F41)/F41*100, "---"))</f>
        <v>---</v>
      </c>
      <c r="H81" s="145" t="str">
        <f>IF(D31="PRECISIÓN",H36*-1, IF(D31="AJUSTE PREC",H36*-1, "---"))</f>
        <v>---</v>
      </c>
      <c r="I81" s="146" t="str">
        <f>IF(D31="PRECISIÓN",H36, IF(D31="AJUSTE PREC",H36, "---"))</f>
        <v>---</v>
      </c>
      <c r="J81" s="16"/>
      <c r="K81" s="23"/>
      <c r="L81" s="25"/>
      <c r="N81" s="287"/>
      <c r="O81" s="280" t="s">
        <v>181</v>
      </c>
      <c r="P81" s="281"/>
      <c r="Q81" s="261">
        <f>IFERROR(AVERAGE(Q76:Q80),"+")</f>
        <v>150.34200000000001</v>
      </c>
      <c r="R81" s="261">
        <f t="shared" ref="R81:T81" si="16">IFERROR(AVERAGE(R76:R80),"+")</f>
        <v>118.70399999999999</v>
      </c>
      <c r="S81" s="261">
        <f t="shared" si="16"/>
        <v>79.126000000000005</v>
      </c>
      <c r="T81" s="261">
        <f t="shared" si="16"/>
        <v>31.532</v>
      </c>
      <c r="U81" s="23"/>
    </row>
    <row r="82" spans="1:21" ht="14.25" customHeight="1" x14ac:dyDescent="0.2">
      <c r="A82" s="23"/>
      <c r="B82" s="96" t="s">
        <v>117</v>
      </c>
      <c r="C82" s="148" t="str">
        <f>IF(D31="ZERO/SPAN",H58/H55*100, IF(D31="PRECISIÓN",E58/E55*100, IF(D31="AJUSTE PREC",E58/E55*100,"---")))</f>
        <v>---</v>
      </c>
      <c r="D82" s="103" t="str">
        <f>IF(D31="ZERO/SPAN",96, IF(D31="PRECISIÓN",96, IF(D31="AJUSTE PREC",96,"---")))</f>
        <v>---</v>
      </c>
      <c r="E82" s="103" t="str">
        <f>IF(D31="ZERO/SPAN",104.1, IF(D31="PRECISIÓN",104.1, IF(D31="AJUSTE PREC",104.1,"---")))</f>
        <v>---</v>
      </c>
      <c r="F82" s="203" t="s">
        <v>118</v>
      </c>
      <c r="G82" s="204" t="s">
        <v>118</v>
      </c>
      <c r="H82" s="205" t="s">
        <v>118</v>
      </c>
      <c r="I82" s="206" t="s">
        <v>118</v>
      </c>
      <c r="J82" s="16"/>
      <c r="K82" s="23"/>
      <c r="L82" s="25"/>
      <c r="N82" s="287"/>
      <c r="O82" s="287" t="s">
        <v>78</v>
      </c>
      <c r="P82" s="287"/>
      <c r="Q82" s="109">
        <f>IFERROR(Q75-Q81,"+")</f>
        <v>31.376000000000005</v>
      </c>
      <c r="R82" s="268">
        <f t="shared" ref="R82:T82" si="17">IFERROR(R75-R81,"+")</f>
        <v>62.076000000000036</v>
      </c>
      <c r="S82" s="268">
        <f t="shared" si="17"/>
        <v>101.30999999999997</v>
      </c>
      <c r="T82" s="109">
        <f t="shared" si="17"/>
        <v>148.87199999999999</v>
      </c>
      <c r="U82" s="23"/>
    </row>
    <row r="83" spans="1:21" ht="14.25" customHeight="1" x14ac:dyDescent="0.2">
      <c r="A83" s="23"/>
      <c r="B83" s="151" t="s">
        <v>55</v>
      </c>
      <c r="C83" s="128">
        <f>D44</f>
        <v>1.514</v>
      </c>
      <c r="D83" s="103">
        <f>H33*-1</f>
        <v>-3.1</v>
      </c>
      <c r="E83" s="144">
        <f>H33</f>
        <v>3.1</v>
      </c>
      <c r="F83" s="130">
        <f>D42</f>
        <v>0.30199999999999999</v>
      </c>
      <c r="G83" s="93">
        <f>D43</f>
        <v>-1.212</v>
      </c>
      <c r="H83" s="145">
        <f>H33*-1</f>
        <v>-3.1</v>
      </c>
      <c r="I83" s="146">
        <f>H33</f>
        <v>3.1</v>
      </c>
      <c r="J83" s="16"/>
      <c r="K83" s="23"/>
      <c r="L83" s="25"/>
      <c r="N83" s="280" t="s">
        <v>20</v>
      </c>
      <c r="O83" s="281"/>
      <c r="P83" s="282"/>
      <c r="Q83" s="255">
        <f>IFERROR(_xlfn.STDEV.S(Q76:Q80),"+")</f>
        <v>0.27824449680092456</v>
      </c>
      <c r="R83" s="255">
        <f t="shared" ref="R83:T83" si="18">IFERROR(_xlfn.STDEV.S(R76:R80),"+")</f>
        <v>0.28014282071828894</v>
      </c>
      <c r="S83" s="255">
        <f t="shared" si="18"/>
        <v>0.28640879874752662</v>
      </c>
      <c r="T83" s="255">
        <f t="shared" si="18"/>
        <v>0.27151427218472329</v>
      </c>
      <c r="U83" s="23"/>
    </row>
    <row r="84" spans="1:21" ht="15" customHeight="1" thickBot="1" x14ac:dyDescent="0.25">
      <c r="A84" s="23"/>
      <c r="B84" s="151" t="s">
        <v>56</v>
      </c>
      <c r="C84" s="152">
        <f>E44</f>
        <v>0.19</v>
      </c>
      <c r="D84" s="153">
        <f>H33*-1</f>
        <v>-3.1</v>
      </c>
      <c r="E84" s="154">
        <f>H33</f>
        <v>3.1</v>
      </c>
      <c r="F84" s="155">
        <f>E42</f>
        <v>0.03</v>
      </c>
      <c r="G84" s="156">
        <f>E43</f>
        <v>-0.16</v>
      </c>
      <c r="H84" s="157">
        <f>H33*-1</f>
        <v>-3.1</v>
      </c>
      <c r="I84" s="158">
        <f>H33</f>
        <v>3.1</v>
      </c>
      <c r="J84" s="1"/>
      <c r="K84" s="23"/>
      <c r="L84" s="25"/>
      <c r="N84" s="23"/>
      <c r="O84" s="23"/>
      <c r="P84" s="23"/>
      <c r="Q84" s="23"/>
      <c r="R84" s="23"/>
      <c r="S84" s="23"/>
      <c r="T84" s="23"/>
      <c r="U84" s="23"/>
    </row>
    <row r="85" spans="1:21" ht="15" customHeight="1" x14ac:dyDescent="0.2">
      <c r="A85" s="23"/>
      <c r="B85" s="76"/>
      <c r="C85" s="6"/>
      <c r="D85" s="9"/>
      <c r="E85" s="24"/>
      <c r="F85" s="1"/>
      <c r="G85" s="1"/>
      <c r="H85" s="1"/>
      <c r="I85" s="1"/>
      <c r="J85" s="1"/>
      <c r="K85" s="23"/>
      <c r="L85" s="25"/>
      <c r="N85" s="23"/>
      <c r="O85" s="23"/>
      <c r="P85" s="23"/>
      <c r="Q85" s="23"/>
      <c r="R85" s="23"/>
      <c r="S85" s="23"/>
      <c r="T85" s="23"/>
      <c r="U85" s="23"/>
    </row>
    <row r="86" spans="1:21" x14ac:dyDescent="0.2">
      <c r="A86" s="23"/>
      <c r="B86" s="82" t="s">
        <v>0</v>
      </c>
      <c r="C86" s="23"/>
      <c r="D86" s="23"/>
      <c r="E86" s="23"/>
      <c r="F86" s="23"/>
      <c r="G86" s="23"/>
      <c r="H86" s="23"/>
      <c r="I86" s="23"/>
      <c r="J86" s="23"/>
      <c r="K86" s="23"/>
      <c r="L86" s="25"/>
    </row>
    <row r="87" spans="1:21" x14ac:dyDescent="0.2">
      <c r="A87" s="23"/>
      <c r="B87" s="333"/>
      <c r="C87" s="334"/>
      <c r="D87" s="334"/>
      <c r="E87" s="334"/>
      <c r="F87" s="334"/>
      <c r="G87" s="334"/>
      <c r="H87" s="334"/>
      <c r="I87" s="334"/>
      <c r="J87" s="335"/>
      <c r="K87" s="23"/>
      <c r="L87" s="25"/>
    </row>
    <row r="88" spans="1:21" x14ac:dyDescent="0.2">
      <c r="A88" s="23"/>
      <c r="B88" s="336"/>
      <c r="C88" s="337"/>
      <c r="D88" s="337"/>
      <c r="E88" s="337"/>
      <c r="F88" s="337"/>
      <c r="G88" s="337"/>
      <c r="H88" s="337"/>
      <c r="I88" s="337"/>
      <c r="J88" s="338"/>
      <c r="K88" s="23"/>
      <c r="L88" s="25"/>
    </row>
    <row r="89" spans="1:21" x14ac:dyDescent="0.2">
      <c r="A89" s="23"/>
      <c r="B89" s="339"/>
      <c r="C89" s="340"/>
      <c r="D89" s="340"/>
      <c r="E89" s="340"/>
      <c r="F89" s="340"/>
      <c r="G89" s="340"/>
      <c r="H89" s="340"/>
      <c r="I89" s="340"/>
      <c r="J89" s="341"/>
      <c r="K89" s="23"/>
      <c r="L89" s="25"/>
    </row>
    <row r="90" spans="1:21" x14ac:dyDescent="0.2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5"/>
    </row>
    <row r="91" spans="1:21" x14ac:dyDescent="0.2">
      <c r="A91" s="23"/>
      <c r="B91" s="82" t="s">
        <v>191</v>
      </c>
      <c r="C91" s="24"/>
      <c r="D91" s="346" t="s">
        <v>195</v>
      </c>
      <c r="E91" s="346"/>
      <c r="F91" s="346"/>
      <c r="G91" s="346"/>
      <c r="H91" s="346"/>
      <c r="I91" s="24"/>
      <c r="J91" s="24"/>
      <c r="K91" s="23"/>
      <c r="L91" s="25"/>
    </row>
    <row r="92" spans="1:21" ht="14.25" x14ac:dyDescent="0.2">
      <c r="A92" s="23"/>
      <c r="B92" s="83"/>
      <c r="C92" s="24"/>
      <c r="D92" s="87"/>
      <c r="E92" s="87"/>
      <c r="F92" s="87"/>
      <c r="G92" s="24"/>
      <c r="H92" s="24"/>
      <c r="I92" s="24"/>
      <c r="J92" s="23"/>
      <c r="K92" s="23"/>
      <c r="L92" s="25"/>
    </row>
    <row r="93" spans="1:21" x14ac:dyDescent="0.2">
      <c r="A93" s="23"/>
      <c r="B93" s="82" t="s">
        <v>192</v>
      </c>
      <c r="C93" s="24"/>
      <c r="D93" s="319" t="s">
        <v>51</v>
      </c>
      <c r="E93" s="319"/>
      <c r="F93" s="319"/>
      <c r="G93" s="319"/>
      <c r="H93" s="319"/>
      <c r="I93" s="23"/>
      <c r="J93" s="23"/>
      <c r="K93" s="23"/>
      <c r="L93" s="25"/>
    </row>
    <row r="94" spans="1:21" ht="14.25" x14ac:dyDescent="0.2">
      <c r="A94" s="23"/>
      <c r="B94" s="83"/>
      <c r="C94" s="23"/>
      <c r="D94" s="3"/>
      <c r="E94" s="3"/>
      <c r="F94" s="3"/>
      <c r="G94" s="24"/>
      <c r="H94" s="23"/>
      <c r="I94" s="24"/>
      <c r="J94" s="23"/>
      <c r="K94" s="23"/>
      <c r="L94" s="25"/>
    </row>
    <row r="95" spans="1:21" ht="7.5" customHeight="1" x14ac:dyDescent="0.2">
      <c r="A95" s="23"/>
      <c r="B95" s="23"/>
      <c r="C95" s="23"/>
      <c r="D95" s="84"/>
      <c r="E95" s="23"/>
      <c r="F95" s="23"/>
      <c r="G95" s="23"/>
      <c r="H95" s="23"/>
      <c r="I95" s="23"/>
      <c r="J95" s="23"/>
      <c r="K95" s="24"/>
      <c r="L95" s="25"/>
    </row>
    <row r="96" spans="1:21" ht="5.25" customHeigh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46"/>
      <c r="L96" s="25"/>
    </row>
    <row r="97" spans="2:7" x14ac:dyDescent="0.2">
      <c r="B97" s="23"/>
      <c r="C97" s="23"/>
      <c r="D97" s="23"/>
      <c r="E97" s="23"/>
      <c r="F97" s="23"/>
      <c r="G97" s="23"/>
    </row>
    <row r="98" spans="2:7" x14ac:dyDescent="0.2">
      <c r="B98" s="221" t="s">
        <v>29</v>
      </c>
      <c r="C98" s="222"/>
      <c r="D98" s="23"/>
      <c r="E98" s="223" t="s">
        <v>193</v>
      </c>
      <c r="F98" s="221"/>
      <c r="G98" s="86"/>
    </row>
    <row r="99" spans="2:7" x14ac:dyDescent="0.2">
      <c r="B99" s="224" t="s">
        <v>6</v>
      </c>
      <c r="C99" s="225" t="s">
        <v>15</v>
      </c>
      <c r="D99" s="23"/>
      <c r="E99" s="224" t="s">
        <v>49</v>
      </c>
      <c r="F99" s="226"/>
      <c r="G99" s="86"/>
    </row>
    <row r="100" spans="2:7" x14ac:dyDescent="0.2">
      <c r="B100" s="227" t="s">
        <v>128</v>
      </c>
      <c r="C100" s="228" t="s">
        <v>129</v>
      </c>
      <c r="D100" s="23"/>
      <c r="E100" s="227" t="s">
        <v>130</v>
      </c>
      <c r="F100" s="226"/>
      <c r="G100" s="86"/>
    </row>
    <row r="101" spans="2:7" x14ac:dyDescent="0.2">
      <c r="B101" s="227" t="s">
        <v>131</v>
      </c>
      <c r="C101" s="227" t="s">
        <v>132</v>
      </c>
      <c r="D101" s="23"/>
      <c r="E101" s="227" t="s">
        <v>133</v>
      </c>
      <c r="F101" s="226"/>
      <c r="G101" s="86"/>
    </row>
    <row r="102" spans="2:7" x14ac:dyDescent="0.2">
      <c r="B102" s="227" t="s">
        <v>134</v>
      </c>
      <c r="C102" s="227" t="s">
        <v>58</v>
      </c>
      <c r="D102" s="23"/>
      <c r="E102" s="227" t="s">
        <v>88</v>
      </c>
      <c r="F102" s="226"/>
      <c r="G102" s="86"/>
    </row>
    <row r="103" spans="2:7" x14ac:dyDescent="0.2">
      <c r="B103" s="227" t="s">
        <v>135</v>
      </c>
      <c r="C103" s="227" t="s">
        <v>194</v>
      </c>
      <c r="D103" s="23"/>
      <c r="E103" s="227" t="s">
        <v>136</v>
      </c>
      <c r="F103" s="226"/>
      <c r="G103" s="86"/>
    </row>
    <row r="104" spans="2:7" x14ac:dyDescent="0.2">
      <c r="B104" s="227" t="s">
        <v>137</v>
      </c>
      <c r="C104" s="227" t="s">
        <v>138</v>
      </c>
      <c r="D104" s="23"/>
      <c r="E104" s="23"/>
      <c r="F104" s="226"/>
      <c r="G104" s="86"/>
    </row>
    <row r="105" spans="2:7" x14ac:dyDescent="0.2">
      <c r="B105" s="227" t="s">
        <v>139</v>
      </c>
      <c r="C105" s="227" t="s">
        <v>140</v>
      </c>
      <c r="D105" s="23"/>
      <c r="E105" s="23"/>
      <c r="F105" s="226"/>
      <c r="G105" s="86"/>
    </row>
    <row r="106" spans="2:7" x14ac:dyDescent="0.2">
      <c r="B106" s="227" t="s">
        <v>141</v>
      </c>
      <c r="C106" s="227" t="s">
        <v>142</v>
      </c>
      <c r="D106" s="23"/>
      <c r="E106" s="23"/>
      <c r="F106" s="226"/>
      <c r="G106" s="86"/>
    </row>
    <row r="107" spans="2:7" x14ac:dyDescent="0.2">
      <c r="B107" s="227" t="s">
        <v>143</v>
      </c>
      <c r="C107" s="227" t="s">
        <v>144</v>
      </c>
      <c r="D107" s="23"/>
      <c r="E107" s="23"/>
      <c r="F107" s="226"/>
      <c r="G107" s="86"/>
    </row>
    <row r="108" spans="2:7" x14ac:dyDescent="0.2">
      <c r="B108" s="227" t="s">
        <v>145</v>
      </c>
      <c r="C108" s="227" t="s">
        <v>146</v>
      </c>
      <c r="D108" s="23"/>
      <c r="E108" s="23"/>
      <c r="F108" s="226"/>
      <c r="G108" s="86"/>
    </row>
    <row r="109" spans="2:7" x14ac:dyDescent="0.2">
      <c r="B109" s="227" t="s">
        <v>127</v>
      </c>
      <c r="C109" s="229" t="s">
        <v>147</v>
      </c>
      <c r="D109" s="23"/>
      <c r="E109" s="23"/>
      <c r="F109" s="226"/>
      <c r="G109" s="23"/>
    </row>
    <row r="110" spans="2:7" x14ac:dyDescent="0.2">
      <c r="B110" s="227" t="s">
        <v>148</v>
      </c>
      <c r="C110" s="226"/>
      <c r="D110" s="23"/>
      <c r="E110" s="23"/>
      <c r="F110" s="226"/>
      <c r="G110" s="23"/>
    </row>
    <row r="111" spans="2:7" x14ac:dyDescent="0.2">
      <c r="B111" s="227" t="s">
        <v>149</v>
      </c>
      <c r="C111" s="226"/>
      <c r="D111" s="226"/>
      <c r="E111" s="226"/>
      <c r="F111" s="226"/>
      <c r="G111" s="23"/>
    </row>
    <row r="112" spans="2:7" x14ac:dyDescent="0.2">
      <c r="B112" s="227" t="s">
        <v>150</v>
      </c>
      <c r="C112" s="226"/>
      <c r="D112" s="226"/>
      <c r="E112" s="226"/>
      <c r="F112" s="226"/>
      <c r="G112" s="23"/>
    </row>
    <row r="113" spans="2:7" x14ac:dyDescent="0.2">
      <c r="B113" s="227" t="s">
        <v>151</v>
      </c>
      <c r="C113" s="226"/>
      <c r="D113" s="226"/>
      <c r="E113" s="226"/>
      <c r="F113" s="226"/>
      <c r="G113" s="23"/>
    </row>
    <row r="114" spans="2:7" x14ac:dyDescent="0.2">
      <c r="B114" s="227" t="s">
        <v>152</v>
      </c>
      <c r="C114" s="226"/>
      <c r="D114" s="226"/>
      <c r="E114" s="226"/>
      <c r="F114" s="226"/>
      <c r="G114" s="23"/>
    </row>
    <row r="115" spans="2:7" x14ac:dyDescent="0.2">
      <c r="B115" s="227" t="s">
        <v>153</v>
      </c>
      <c r="C115" s="226"/>
      <c r="D115" s="226"/>
      <c r="E115" s="226"/>
      <c r="F115" s="226"/>
      <c r="G115" s="23"/>
    </row>
    <row r="116" spans="2:7" x14ac:dyDescent="0.2">
      <c r="B116" s="227" t="s">
        <v>154</v>
      </c>
      <c r="C116" s="226"/>
      <c r="D116" s="226"/>
      <c r="E116" s="226"/>
      <c r="F116" s="226"/>
      <c r="G116" s="23"/>
    </row>
    <row r="117" spans="2:7" x14ac:dyDescent="0.2">
      <c r="B117" s="227" t="s">
        <v>155</v>
      </c>
      <c r="C117" s="226"/>
      <c r="D117" s="226"/>
      <c r="E117" s="226"/>
      <c r="F117" s="226"/>
      <c r="G117" s="23"/>
    </row>
    <row r="118" spans="2:7" x14ac:dyDescent="0.2">
      <c r="B118" s="227" t="s">
        <v>182</v>
      </c>
      <c r="C118" s="226"/>
      <c r="D118" s="226"/>
      <c r="E118" s="226"/>
      <c r="F118" s="226"/>
      <c r="G118" s="23"/>
    </row>
    <row r="119" spans="2:7" x14ac:dyDescent="0.2">
      <c r="B119" s="229" t="s">
        <v>206</v>
      </c>
      <c r="C119" s="226"/>
      <c r="D119" s="226"/>
      <c r="E119" s="226"/>
      <c r="F119" s="226"/>
      <c r="G119" s="23"/>
    </row>
    <row r="120" spans="2:7" x14ac:dyDescent="0.2">
      <c r="B120" s="226"/>
      <c r="C120" s="230"/>
      <c r="D120" s="226"/>
      <c r="E120" s="226"/>
      <c r="F120" s="226"/>
      <c r="G120" s="23"/>
    </row>
    <row r="121" spans="2:7" x14ac:dyDescent="0.2">
      <c r="B121" s="231" t="s">
        <v>156</v>
      </c>
      <c r="C121" s="224" t="s">
        <v>3</v>
      </c>
      <c r="D121" s="226"/>
      <c r="E121" s="226"/>
      <c r="F121" s="226"/>
      <c r="G121" s="23"/>
    </row>
    <row r="122" spans="2:7" x14ac:dyDescent="0.2">
      <c r="B122" s="232" t="s">
        <v>2</v>
      </c>
      <c r="C122" s="228">
        <v>9850</v>
      </c>
      <c r="D122" s="226"/>
      <c r="E122" s="226"/>
      <c r="F122" s="226"/>
      <c r="G122" s="23"/>
    </row>
    <row r="123" spans="2:7" x14ac:dyDescent="0.2">
      <c r="B123" s="233" t="s">
        <v>59</v>
      </c>
      <c r="C123" s="227" t="s">
        <v>170</v>
      </c>
      <c r="D123" s="226"/>
      <c r="E123" s="226"/>
      <c r="F123" s="226"/>
      <c r="G123" s="23"/>
    </row>
    <row r="124" spans="2:7" x14ac:dyDescent="0.2">
      <c r="B124" s="233" t="s">
        <v>157</v>
      </c>
      <c r="C124" s="229" t="s">
        <v>147</v>
      </c>
      <c r="D124" s="226"/>
      <c r="E124" s="226"/>
      <c r="F124" s="226"/>
      <c r="G124" s="23"/>
    </row>
    <row r="125" spans="2:7" x14ac:dyDescent="0.2">
      <c r="B125" s="233" t="s">
        <v>158</v>
      </c>
      <c r="C125" s="228"/>
      <c r="D125" s="226"/>
      <c r="E125" s="226"/>
      <c r="F125" s="226"/>
      <c r="G125" s="23"/>
    </row>
    <row r="126" spans="2:7" x14ac:dyDescent="0.2">
      <c r="B126" s="233" t="s">
        <v>171</v>
      </c>
      <c r="C126" s="228"/>
      <c r="D126" s="226"/>
      <c r="E126" s="226"/>
      <c r="F126" s="226"/>
      <c r="G126" s="23"/>
    </row>
    <row r="127" spans="2:7" x14ac:dyDescent="0.2">
      <c r="B127" s="233" t="s">
        <v>172</v>
      </c>
      <c r="C127" s="228"/>
      <c r="D127" s="226"/>
      <c r="E127" s="226"/>
      <c r="F127" s="226"/>
      <c r="G127" s="23"/>
    </row>
    <row r="128" spans="2:7" x14ac:dyDescent="0.2">
      <c r="B128" s="234" t="s">
        <v>147</v>
      </c>
      <c r="C128" s="228"/>
      <c r="D128" s="226"/>
      <c r="E128" s="226"/>
      <c r="F128" s="226"/>
      <c r="G128" s="23"/>
    </row>
    <row r="129" spans="2:7" x14ac:dyDescent="0.2">
      <c r="B129" s="23"/>
      <c r="C129" s="235" t="s">
        <v>159</v>
      </c>
      <c r="D129" s="226"/>
      <c r="E129" s="226"/>
      <c r="F129" s="226"/>
      <c r="G129" s="23"/>
    </row>
    <row r="130" spans="2:7" x14ac:dyDescent="0.2">
      <c r="B130" s="23"/>
      <c r="C130" s="235" t="s">
        <v>212</v>
      </c>
      <c r="D130" s="226"/>
      <c r="E130" s="226"/>
      <c r="F130" s="226"/>
      <c r="G130" s="23"/>
    </row>
    <row r="131" spans="2:7" x14ac:dyDescent="0.2">
      <c r="B131" s="23"/>
      <c r="C131" s="235" t="s">
        <v>160</v>
      </c>
      <c r="D131" s="226"/>
      <c r="E131" s="226"/>
      <c r="F131" s="226"/>
      <c r="G131" s="23"/>
    </row>
    <row r="132" spans="2:7" x14ac:dyDescent="0.2">
      <c r="B132" s="23"/>
      <c r="C132" s="235">
        <v>1100</v>
      </c>
      <c r="D132" s="226"/>
      <c r="E132" s="226"/>
      <c r="F132" s="226"/>
      <c r="G132" s="23"/>
    </row>
    <row r="133" spans="2:7" x14ac:dyDescent="0.2">
      <c r="B133" s="23"/>
      <c r="C133" s="235">
        <v>9811</v>
      </c>
      <c r="D133" s="226"/>
      <c r="E133" s="226"/>
      <c r="F133" s="226"/>
      <c r="G133" s="23"/>
    </row>
    <row r="134" spans="2:7" x14ac:dyDescent="0.2">
      <c r="B134" s="23"/>
      <c r="C134" s="235">
        <v>143</v>
      </c>
      <c r="D134" s="226"/>
      <c r="E134" s="226"/>
      <c r="F134" s="226"/>
      <c r="G134" s="23"/>
    </row>
    <row r="135" spans="2:7" x14ac:dyDescent="0.2">
      <c r="B135" s="23"/>
      <c r="C135" s="229" t="s">
        <v>147</v>
      </c>
      <c r="D135" s="226"/>
      <c r="E135" s="226"/>
      <c r="F135" s="226"/>
      <c r="G135" s="23"/>
    </row>
    <row r="136" spans="2:7" x14ac:dyDescent="0.2">
      <c r="B136" s="23"/>
      <c r="C136" s="227" t="s">
        <v>161</v>
      </c>
      <c r="D136" s="226"/>
      <c r="E136" s="226"/>
      <c r="F136" s="226"/>
      <c r="G136" s="23"/>
    </row>
    <row r="137" spans="2:7" x14ac:dyDescent="0.2">
      <c r="B137" s="23"/>
      <c r="C137" s="228">
        <v>701</v>
      </c>
      <c r="D137" s="226"/>
      <c r="E137" s="226"/>
      <c r="F137" s="226"/>
      <c r="G137" s="23"/>
    </row>
    <row r="138" spans="2:7" x14ac:dyDescent="0.2">
      <c r="B138" s="23"/>
      <c r="C138" s="228">
        <v>111</v>
      </c>
      <c r="D138" s="226"/>
      <c r="E138" s="226"/>
      <c r="F138" s="226"/>
      <c r="G138" s="23"/>
    </row>
    <row r="139" spans="2:7" x14ac:dyDescent="0.2">
      <c r="B139" s="23"/>
      <c r="C139" s="228">
        <v>737</v>
      </c>
      <c r="D139" s="226"/>
      <c r="E139" s="226"/>
      <c r="F139" s="226"/>
      <c r="G139" s="23"/>
    </row>
    <row r="140" spans="2:7" x14ac:dyDescent="0.2">
      <c r="B140" s="23"/>
      <c r="C140" s="228" t="s">
        <v>213</v>
      </c>
      <c r="D140" s="226"/>
      <c r="E140" s="226"/>
      <c r="F140" s="226"/>
      <c r="G140" s="23"/>
    </row>
    <row r="141" spans="2:7" x14ac:dyDescent="0.2">
      <c r="B141" s="23"/>
      <c r="C141" s="229" t="s">
        <v>147</v>
      </c>
      <c r="D141" s="226"/>
      <c r="E141" s="226"/>
      <c r="F141" s="226"/>
      <c r="G141" s="23"/>
    </row>
    <row r="142" spans="2:7" x14ac:dyDescent="0.2">
      <c r="B142" s="23"/>
      <c r="C142" s="226"/>
      <c r="D142" s="226"/>
      <c r="E142" s="226"/>
      <c r="F142" s="226"/>
      <c r="G142" s="23"/>
    </row>
    <row r="143" spans="2:7" x14ac:dyDescent="0.2">
      <c r="B143" s="23"/>
      <c r="C143" s="226"/>
      <c r="D143" s="226"/>
      <c r="E143" s="226"/>
      <c r="F143" s="226"/>
      <c r="G143" s="23"/>
    </row>
    <row r="144" spans="2:7" x14ac:dyDescent="0.2">
      <c r="B144" s="23"/>
      <c r="C144" s="226"/>
      <c r="D144" s="226"/>
      <c r="E144" s="226"/>
      <c r="F144" s="226"/>
      <c r="G144" s="23"/>
    </row>
    <row r="145" spans="2:7" x14ac:dyDescent="0.2">
      <c r="B145" s="23"/>
      <c r="C145" s="23"/>
      <c r="D145" s="23"/>
      <c r="E145" s="23"/>
      <c r="F145" s="226"/>
      <c r="G145" s="23"/>
    </row>
    <row r="146" spans="2:7" x14ac:dyDescent="0.2">
      <c r="B146" s="23"/>
      <c r="C146" s="226"/>
      <c r="D146" s="226"/>
      <c r="E146" s="226"/>
      <c r="F146" s="226"/>
      <c r="G146" s="23"/>
    </row>
    <row r="147" spans="2:7" x14ac:dyDescent="0.2">
      <c r="B147" s="223" t="s">
        <v>162</v>
      </c>
      <c r="C147" s="236"/>
      <c r="D147" s="237"/>
      <c r="E147" s="238"/>
      <c r="F147" s="226"/>
      <c r="G147" s="23"/>
    </row>
    <row r="148" spans="2:7" x14ac:dyDescent="0.2">
      <c r="B148" s="233" t="s">
        <v>49</v>
      </c>
      <c r="C148" s="239"/>
      <c r="D148" s="240"/>
      <c r="E148" s="241"/>
      <c r="F148" s="226"/>
      <c r="G148" s="23"/>
    </row>
    <row r="149" spans="2:7" x14ac:dyDescent="0.2">
      <c r="B149" s="233" t="s">
        <v>183</v>
      </c>
      <c r="C149" s="240"/>
      <c r="D149" s="240"/>
      <c r="E149" s="241"/>
      <c r="F149" s="226"/>
      <c r="G149" s="23"/>
    </row>
    <row r="150" spans="2:7" x14ac:dyDescent="0.2">
      <c r="B150" s="233" t="s">
        <v>50</v>
      </c>
      <c r="C150" s="240"/>
      <c r="D150" s="240"/>
      <c r="E150" s="241"/>
      <c r="F150" s="226"/>
      <c r="G150" s="23"/>
    </row>
    <row r="151" spans="2:7" x14ac:dyDescent="0.2">
      <c r="B151" s="233" t="s">
        <v>195</v>
      </c>
      <c r="C151" s="240"/>
      <c r="D151" s="240"/>
      <c r="E151" s="241"/>
      <c r="F151" s="226"/>
      <c r="G151" s="23"/>
    </row>
    <row r="152" spans="2:7" x14ac:dyDescent="0.2">
      <c r="B152" s="233" t="s">
        <v>184</v>
      </c>
      <c r="C152" s="240"/>
      <c r="D152" s="240"/>
      <c r="E152" s="241"/>
      <c r="F152" s="226"/>
      <c r="G152" s="23"/>
    </row>
    <row r="153" spans="2:7" x14ac:dyDescent="0.2">
      <c r="B153" s="234" t="s">
        <v>147</v>
      </c>
      <c r="C153" s="240"/>
      <c r="D153" s="240"/>
      <c r="E153" s="241"/>
      <c r="F153" s="226"/>
      <c r="G153" s="23"/>
    </row>
    <row r="154" spans="2:7" x14ac:dyDescent="0.2">
      <c r="B154" s="233" t="s">
        <v>51</v>
      </c>
      <c r="C154" s="240"/>
      <c r="D154" s="240"/>
      <c r="E154" s="241"/>
      <c r="F154" s="226"/>
      <c r="G154" s="23"/>
    </row>
    <row r="155" spans="2:7" x14ac:dyDescent="0.2">
      <c r="B155" s="233" t="s">
        <v>184</v>
      </c>
      <c r="C155" s="240"/>
      <c r="D155" s="240"/>
      <c r="E155" s="241"/>
      <c r="F155" s="226"/>
      <c r="G155" s="23"/>
    </row>
    <row r="156" spans="2:7" x14ac:dyDescent="0.2">
      <c r="B156" s="233" t="s">
        <v>196</v>
      </c>
      <c r="C156" s="23"/>
      <c r="D156" s="23"/>
      <c r="E156" s="241"/>
      <c r="F156" s="23"/>
      <c r="G156" s="23"/>
    </row>
    <row r="157" spans="2:7" x14ac:dyDescent="0.2">
      <c r="B157" s="233" t="s">
        <v>183</v>
      </c>
      <c r="C157" s="23"/>
      <c r="D157" s="23"/>
      <c r="E157" s="241"/>
      <c r="F157" s="23"/>
      <c r="G157" s="23"/>
    </row>
    <row r="158" spans="2:7" x14ac:dyDescent="0.2">
      <c r="B158" s="234" t="s">
        <v>147</v>
      </c>
      <c r="C158" s="242"/>
      <c r="D158" s="242"/>
      <c r="E158" s="243"/>
      <c r="F158" s="23"/>
      <c r="G158" s="23"/>
    </row>
  </sheetData>
  <sheetProtection selectLockedCells="1"/>
  <mergeCells count="52">
    <mergeCell ref="P20:Q20"/>
    <mergeCell ref="R20:U20"/>
    <mergeCell ref="R21:U21"/>
    <mergeCell ref="D91:H91"/>
    <mergeCell ref="E48:E50"/>
    <mergeCell ref="F49:F50"/>
    <mergeCell ref="G49:G50"/>
    <mergeCell ref="N20:O21"/>
    <mergeCell ref="U42:U46"/>
    <mergeCell ref="U53:U57"/>
    <mergeCell ref="Q65:Q66"/>
    <mergeCell ref="R65:R66"/>
    <mergeCell ref="S65:S66"/>
    <mergeCell ref="T65:T66"/>
    <mergeCell ref="O65:P66"/>
    <mergeCell ref="O75:P75"/>
    <mergeCell ref="D93:H93"/>
    <mergeCell ref="G67:J67"/>
    <mergeCell ref="D77:D78"/>
    <mergeCell ref="E77:E78"/>
    <mergeCell ref="F77:F78"/>
    <mergeCell ref="G77:G78"/>
    <mergeCell ref="I77:I78"/>
    <mergeCell ref="B87:J89"/>
    <mergeCell ref="C77:C78"/>
    <mergeCell ref="B2:C5"/>
    <mergeCell ref="D2:H3"/>
    <mergeCell ref="I2:J2"/>
    <mergeCell ref="I3:J4"/>
    <mergeCell ref="D4:H5"/>
    <mergeCell ref="I5:J5"/>
    <mergeCell ref="B10:D10"/>
    <mergeCell ref="E10:F10"/>
    <mergeCell ref="B39:C39"/>
    <mergeCell ref="B40:B41"/>
    <mergeCell ref="C67:F67"/>
    <mergeCell ref="B52:B55"/>
    <mergeCell ref="B56:B58"/>
    <mergeCell ref="B59:C59"/>
    <mergeCell ref="B62:E62"/>
    <mergeCell ref="F62:I62"/>
    <mergeCell ref="B42:B46"/>
    <mergeCell ref="N65:N69"/>
    <mergeCell ref="N83:P83"/>
    <mergeCell ref="O70:P74"/>
    <mergeCell ref="O76:P80"/>
    <mergeCell ref="O81:P81"/>
    <mergeCell ref="N70:N82"/>
    <mergeCell ref="O82:P82"/>
    <mergeCell ref="O67:P67"/>
    <mergeCell ref="O68:P68"/>
    <mergeCell ref="O69:P69"/>
  </mergeCells>
  <dataValidations count="12">
    <dataValidation type="whole" allowBlank="1" showInputMessage="1" showErrorMessage="1" sqref="H20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 I26" xr:uid="{00000000-0002-0000-0000-000002000000}">
      <formula1>40939</formula1>
    </dataValidation>
    <dataValidation type="list" allowBlank="1" showInputMessage="1" showErrorMessage="1" sqref="E28" xr:uid="{00000000-0002-0000-0000-000003000000}">
      <formula1>$C$136:$C$141</formula1>
    </dataValidation>
    <dataValidation type="list" allowBlank="1" showInputMessage="1" showErrorMessage="1" promptTitle="Ayuda" prompt="Seleccionar el Tipo de Calibración_x000a_" sqref="D31" xr:uid="{00000000-0002-0000-0000-000004000000}">
      <formula1>$E$99:$E$103</formula1>
    </dataValidation>
    <dataValidation type="list" allowBlank="1" showInputMessage="1" showErrorMessage="1" sqref="E25" xr:uid="{00000000-0002-0000-0000-000005000000}">
      <formula1>$C$129:$C$135</formula1>
    </dataValidation>
    <dataValidation type="list" allowBlank="1" showInputMessage="1" showErrorMessage="1" sqref="C28 C25 C16" xr:uid="{00000000-0002-0000-0000-000006000000}">
      <formula1>$B$123:$B$128</formula1>
    </dataValidation>
    <dataValidation type="list" allowBlank="1" showInputMessage="1" showErrorMessage="1" sqref="E8" xr:uid="{00000000-0002-0000-0000-000007000000}">
      <formula1>"GIRARDOTA,BELLO,MEDELLÍN,ITAGUI,CALDAS,SABANETA,ESTRELLA,BARBOSA,COPACABANA"</formula1>
    </dataValidation>
    <dataValidation type="list" allowBlank="1" showInputMessage="1" showErrorMessage="1" promptTitle="Selecionar" sqref="C8" xr:uid="{00000000-0002-0000-0000-000008000000}">
      <formula1>$B$100:$B$119</formula1>
    </dataValidation>
    <dataValidation type="list" allowBlank="1" showInputMessage="1" showErrorMessage="1" sqref="F16" xr:uid="{00000000-0002-0000-0000-000009000000}">
      <formula1>$C$122:$C$124</formula1>
    </dataValidation>
    <dataValidation type="list" allowBlank="1" showInputMessage="1" showErrorMessage="1" promptTitle="Ayuda" prompt="Seleccionar nombre responsable_x000a_" sqref="D91:H91" xr:uid="{00000000-0002-0000-0000-00000A000000}">
      <formula1>$B$148:$B$153</formula1>
    </dataValidation>
    <dataValidation type="list" allowBlank="1" showInputMessage="1" showErrorMessage="1" promptTitle="Ayuda" prompt="Seleccionar para el VoBo_x000a_" sqref="D93:H93" xr:uid="{00000000-0002-0000-0000-00000B000000}">
      <formula1>$B$154:$B$158</formula1>
    </dataValidation>
  </dataValidations>
  <pageMargins left="0.43307086614173229" right="0.39370078740157483" top="0.43307086614173229" bottom="0.35433070866141736" header="0" footer="0"/>
  <pageSetup scale="70" orientation="portrait" horizontalDpi="4294967295" verticalDpi="300" r:id="rId1"/>
  <headerFooter alignWithMargins="0"/>
  <ignoredErrors>
    <ignoredError sqref="N59:O59 N48:O48 S47:S48 T47:T48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31" id="{9E7E10AA-EE60-45A7-8793-02958C387D23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C17:C20</xm:sqref>
        </x14:conditionalFormatting>
        <x14:conditionalFormatting xmlns:xm="http://schemas.microsoft.com/office/excel/2006/main">
          <x14:cfRule type="iconSet" priority="209" id="{13FBC953-33F7-41BC-9783-9C3AFF36B653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N48:T48</xm:sqref>
        </x14:conditionalFormatting>
        <x14:conditionalFormatting xmlns:xm="http://schemas.microsoft.com/office/excel/2006/main">
          <x14:cfRule type="iconSet" priority="196" id="{F111EABC-DE0A-436A-835E-00F34035CDE9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H65:H66</xm:sqref>
        </x14:conditionalFormatting>
        <x14:conditionalFormatting xmlns:xm="http://schemas.microsoft.com/office/excel/2006/main">
          <x14:cfRule type="iconSet" priority="195" id="{1AC8A954-CA40-44C7-9FF5-140D4FE058E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C70:F70</xm:sqref>
        </x14:conditionalFormatting>
        <x14:conditionalFormatting xmlns:xm="http://schemas.microsoft.com/office/excel/2006/main">
          <x14:cfRule type="iconSet" priority="172" id="{A9B6CC77-4D67-4966-B799-6B435A8B6ED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G70:J70</xm:sqref>
        </x14:conditionalFormatting>
        <x14:conditionalFormatting xmlns:xm="http://schemas.microsoft.com/office/excel/2006/main">
          <x14:cfRule type="iconSet" priority="157" id="{ED0D801F-D40B-4EF7-B206-5673B99AAA46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D45</xm:sqref>
        </x14:conditionalFormatting>
        <x14:conditionalFormatting xmlns:xm="http://schemas.microsoft.com/office/excel/2006/main">
          <x14:cfRule type="iconSet" priority="156" id="{CE793EB7-7368-4D3D-AE66-C5ACA260C93A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D46</xm:sqref>
        </x14:conditionalFormatting>
        <x14:conditionalFormatting xmlns:xm="http://schemas.microsoft.com/office/excel/2006/main">
          <x14:cfRule type="iconSet" priority="155" id="{4E359743-7B71-47BC-BAFB-A1A99C73CC9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E46:J46</xm:sqref>
        </x14:conditionalFormatting>
        <x14:conditionalFormatting xmlns:xm="http://schemas.microsoft.com/office/excel/2006/main">
          <x14:cfRule type="iconSet" priority="154" id="{5D590B8C-5AE1-480F-9FF9-BBEA51F249E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E45:J45</xm:sqref>
        </x14:conditionalFormatting>
        <x14:conditionalFormatting xmlns:xm="http://schemas.microsoft.com/office/excel/2006/main">
          <x14:cfRule type="iconSet" priority="383" id="{BC7344F1-DD44-4DE8-A773-7E76707A0E88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F83</xm:sqref>
        </x14:conditionalFormatting>
        <x14:conditionalFormatting xmlns:xm="http://schemas.microsoft.com/office/excel/2006/main">
          <x14:cfRule type="iconSet" priority="384" id="{8811D2FA-A397-4D99-80DE-76B0096A4BA9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F84</xm:sqref>
        </x14:conditionalFormatting>
        <x14:conditionalFormatting xmlns:xm="http://schemas.microsoft.com/office/excel/2006/main">
          <x14:cfRule type="iconSet" priority="385" id="{600551FE-5215-444D-93F2-1E34BCC6091E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D56</xm:sqref>
        </x14:conditionalFormatting>
        <x14:conditionalFormatting xmlns:xm="http://schemas.microsoft.com/office/excel/2006/main">
          <x14:cfRule type="iconSet" priority="386" id="{61A03019-B5DA-4FCC-A16C-73A9B79A79C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D57</xm:sqref>
        </x14:conditionalFormatting>
        <x14:conditionalFormatting xmlns:xm="http://schemas.microsoft.com/office/excel/2006/main">
          <x14:cfRule type="iconSet" priority="387" id="{7BC618BD-0834-4DEF-83CC-C8288C2415D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D58</xm:sqref>
        </x14:conditionalFormatting>
        <x14:conditionalFormatting xmlns:xm="http://schemas.microsoft.com/office/excel/2006/main">
          <x14:cfRule type="iconSet" priority="391" id="{F6C9EB3C-155A-4DE3-A431-99E65939DF9B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G83</xm:sqref>
        </x14:conditionalFormatting>
        <x14:conditionalFormatting xmlns:xm="http://schemas.microsoft.com/office/excel/2006/main">
          <x14:cfRule type="iconSet" priority="392" id="{4B1A5074-911E-4FC4-92DA-1B3C8196FB5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G84</xm:sqref>
        </x14:conditionalFormatting>
        <x14:conditionalFormatting xmlns:xm="http://schemas.microsoft.com/office/excel/2006/main">
          <x14:cfRule type="iconSet" priority="395" id="{ABEA2767-1521-4C8D-8325-AAA3CAE0DB7F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C83</xm:sqref>
        </x14:conditionalFormatting>
        <x14:conditionalFormatting xmlns:xm="http://schemas.microsoft.com/office/excel/2006/main">
          <x14:cfRule type="iconSet" priority="396" id="{9F042267-A437-4DB7-976C-8906EA70136F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C84</xm:sqref>
        </x14:conditionalFormatting>
        <x14:conditionalFormatting xmlns:xm="http://schemas.microsoft.com/office/excel/2006/main">
          <x14:cfRule type="iconSet" priority="129" id="{EBFB9823-07CF-4D2C-B3DB-461949B146B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D59</xm:sqref>
        </x14:conditionalFormatting>
        <x14:conditionalFormatting xmlns:xm="http://schemas.microsoft.com/office/excel/2006/main">
          <x14:cfRule type="iconSet" priority="128" id="{8A82D926-7388-40DC-875E-B64AF1B77AB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E59:H59</xm:sqref>
        </x14:conditionalFormatting>
        <x14:conditionalFormatting xmlns:xm="http://schemas.microsoft.com/office/excel/2006/main">
          <x14:cfRule type="iconSet" priority="127" id="{90511101-B58C-4C59-A8C1-DC6C187671F0}">
            <x14:iconSet iconSet="3Symbols2" custom="1">
              <x14:cfvo type="percent">
                <xm:f>0</xm:f>
              </x14:cfvo>
              <x14:cfvo type="num">
                <xm:f>96</xm:f>
              </x14:cfvo>
              <x14:cfvo type="num" gte="0">
                <xm:f>104.1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C74:F74</xm:sqref>
        </x14:conditionalFormatting>
        <x14:conditionalFormatting xmlns:xm="http://schemas.microsoft.com/office/excel/2006/main">
          <x14:cfRule type="iconSet" priority="89" id="{D739912A-38C7-4AE6-B9DA-8ACA5CCFF13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D43</xm:sqref>
        </x14:conditionalFormatting>
        <x14:conditionalFormatting xmlns:xm="http://schemas.microsoft.com/office/excel/2006/main">
          <x14:cfRule type="iconSet" priority="88" id="{DE98B57B-250C-4864-8E2F-8D6F688564CC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D42</xm:sqref>
        </x14:conditionalFormatting>
        <x14:conditionalFormatting xmlns:xm="http://schemas.microsoft.com/office/excel/2006/main">
          <x14:cfRule type="iconSet" priority="87" id="{8D6762C5-EFF3-4FBD-962E-25BFDA2328D8}">
            <x14:iconSet custom="1">
              <x14:cfvo type="percent">
                <xm:f>0</xm:f>
              </x14:cfvo>
              <x14:cfvo type="num">
                <xm:f>-$H$33</xm:f>
              </x14:cfvo>
              <x14:cfvo type="num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D44</xm:sqref>
        </x14:conditionalFormatting>
        <x14:conditionalFormatting xmlns:xm="http://schemas.microsoft.com/office/excel/2006/main">
          <x14:cfRule type="iconSet" priority="86" id="{185CB1FF-7EAC-4666-8B5C-AAFC741AAAC0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E43</xm:sqref>
        </x14:conditionalFormatting>
        <x14:conditionalFormatting xmlns:xm="http://schemas.microsoft.com/office/excel/2006/main">
          <x14:cfRule type="iconSet" priority="85" id="{863844D9-E056-4A43-93B2-DBADFE6FB5B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E42</xm:sqref>
        </x14:conditionalFormatting>
        <x14:conditionalFormatting xmlns:xm="http://schemas.microsoft.com/office/excel/2006/main">
          <x14:cfRule type="iconSet" priority="75" id="{95954848-CD74-407F-A605-3DE55E3E04F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N47</xm:sqref>
        </x14:conditionalFormatting>
        <x14:conditionalFormatting xmlns:xm="http://schemas.microsoft.com/office/excel/2006/main">
          <x14:cfRule type="iconSet" priority="74" id="{12DBA80D-5F19-4E76-8823-849A6D29B969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O47</xm:sqref>
        </x14:conditionalFormatting>
        <x14:conditionalFormatting xmlns:xm="http://schemas.microsoft.com/office/excel/2006/main">
          <x14:cfRule type="iconSet" priority="68" id="{46804AC9-DAC0-463C-9C00-7D6F17523E31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N58</xm:sqref>
        </x14:conditionalFormatting>
        <x14:conditionalFormatting xmlns:xm="http://schemas.microsoft.com/office/excel/2006/main">
          <x14:cfRule type="iconSet" priority="67" id="{8ADB503D-B034-4C4D-B1AF-5C47C925D7B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O58</xm:sqref>
        </x14:conditionalFormatting>
        <x14:conditionalFormatting xmlns:xm="http://schemas.microsoft.com/office/excel/2006/main">
          <x14:cfRule type="iconSet" priority="56" id="{65C4DA63-46E4-48EE-810A-77307B3AE0F5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F79</xm:sqref>
        </x14:conditionalFormatting>
        <x14:conditionalFormatting xmlns:xm="http://schemas.microsoft.com/office/excel/2006/main">
          <x14:cfRule type="iconSet" priority="55" id="{AAFC2641-49ED-4472-814E-4BD555717A6F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F81</xm:sqref>
        </x14:conditionalFormatting>
        <x14:conditionalFormatting xmlns:xm="http://schemas.microsoft.com/office/excel/2006/main">
          <x14:cfRule type="iconSet" priority="54" id="{7F946BBF-54F9-4286-AE60-44D7915CAB3D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G79</xm:sqref>
        </x14:conditionalFormatting>
        <x14:conditionalFormatting xmlns:xm="http://schemas.microsoft.com/office/excel/2006/main">
          <x14:cfRule type="iconSet" priority="53" id="{19B5AA83-960A-4E5D-B64B-1E0CB5C8A687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G81</xm:sqref>
        </x14:conditionalFormatting>
        <x14:conditionalFormatting xmlns:xm="http://schemas.microsoft.com/office/excel/2006/main">
          <x14:cfRule type="iconSet" priority="52" id="{FF316F84-B94F-41A6-8C7B-C0ED7CB0D79F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C79</xm:sqref>
        </x14:conditionalFormatting>
        <x14:conditionalFormatting xmlns:xm="http://schemas.microsoft.com/office/excel/2006/main">
          <x14:cfRule type="iconSet" priority="51" id="{3B3719D2-8319-4FB4-AC24-B4ADCF9EB8F8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C81</xm:sqref>
        </x14:conditionalFormatting>
        <x14:conditionalFormatting xmlns:xm="http://schemas.microsoft.com/office/excel/2006/main">
          <x14:cfRule type="iconSet" priority="50" id="{C1F7C701-48CE-4B07-B929-441EBA2B6CBC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F82</xm:sqref>
        </x14:conditionalFormatting>
        <x14:conditionalFormatting xmlns:xm="http://schemas.microsoft.com/office/excel/2006/main">
          <x14:cfRule type="iconSet" priority="49" id="{942E14DC-D0D4-4C9A-8571-EA36652169AA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G82</xm:sqref>
        </x14:conditionalFormatting>
        <x14:conditionalFormatting xmlns:xm="http://schemas.microsoft.com/office/excel/2006/main">
          <x14:cfRule type="iconSet" priority="48" id="{D34CC248-F554-48C2-BBF1-23C654837714}">
            <x14:iconSet iconSet="3Symbols2" custom="1">
              <x14:cfvo type="percent">
                <xm:f>0</xm:f>
              </x14:cfvo>
              <x14:cfvo type="num">
                <xm:f>96</xm:f>
              </x14:cfvo>
              <x14:cfvo type="num" gte="0">
                <xm:f>104.1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C82</xm:sqref>
        </x14:conditionalFormatting>
        <x14:conditionalFormatting xmlns:xm="http://schemas.microsoft.com/office/excel/2006/main">
          <x14:cfRule type="iconSet" priority="57" id="{EA638080-190B-44A9-958A-C635C68CBF6F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F80</xm:sqref>
        </x14:conditionalFormatting>
        <x14:conditionalFormatting xmlns:xm="http://schemas.microsoft.com/office/excel/2006/main">
          <x14:cfRule type="iconSet" priority="58" id="{95B9F3CF-CC31-4418-A35C-D557221FCF20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G80</xm:sqref>
        </x14:conditionalFormatting>
        <x14:conditionalFormatting xmlns:xm="http://schemas.microsoft.com/office/excel/2006/main">
          <x14:cfRule type="iconSet" priority="59" id="{BF57E252-4E24-41CB-9BB3-FFD36971EAE1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47" id="{38A783C6-1279-48F1-9F5C-8E2B4F26175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N59</xm:sqref>
        </x14:conditionalFormatting>
        <x14:conditionalFormatting xmlns:xm="http://schemas.microsoft.com/office/excel/2006/main">
          <x14:cfRule type="iconSet" priority="46" id="{CDFDE6BA-8857-4E43-96AF-84D9A7C4873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O59</xm:sqref>
        </x14:conditionalFormatting>
        <x14:conditionalFormatting xmlns:xm="http://schemas.microsoft.com/office/excel/2006/main">
          <x14:cfRule type="iconSet" priority="44" id="{EA5A458D-3BAC-4752-92A9-333A5FD8A68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P59</xm:sqref>
        </x14:conditionalFormatting>
        <x14:conditionalFormatting xmlns:xm="http://schemas.microsoft.com/office/excel/2006/main">
          <x14:cfRule type="iconSet" priority="43" id="{25CC07F1-77F7-4ABA-B9C1-663838FF6233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Q59:T59</xm:sqref>
        </x14:conditionalFormatting>
        <x14:conditionalFormatting xmlns:xm="http://schemas.microsoft.com/office/excel/2006/main">
          <x14:cfRule type="iconSet" priority="42" id="{79FB4F39-5068-41B1-B259-189AAC2E4245}">
            <x14:iconSet custom="1">
              <x14:cfvo type="percent">
                <xm:f>0</xm:f>
              </x14:cfvo>
              <x14:cfvo type="num">
                <xm:f>-$H$33</xm:f>
              </x14:cfvo>
              <x14:cfvo type="num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E44</xm:sqref>
        </x14:conditionalFormatting>
        <x14:conditionalFormatting xmlns:xm="http://schemas.microsoft.com/office/excel/2006/main">
          <x14:cfRule type="iconSet" priority="39" id="{D1A76407-E3C0-4708-BC5C-3575FE3AC5E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Q83:T83</xm:sqref>
        </x14:conditionalFormatting>
        <x14:conditionalFormatting xmlns:xm="http://schemas.microsoft.com/office/excel/2006/main">
          <x14:cfRule type="iconSet" priority="32" id="{16F1BD33-C0C8-4DE0-8FC0-B37C43C435AE}">
            <x14:iconSet iconSet="3Symbols2" custom="1">
              <x14:cfvo type="percent">
                <xm:f>0</xm:f>
              </x14:cfvo>
              <x14:cfvo type="formula">
                <xm:f>IF($D$31="ZERO/SPAN",$I$41-($I$41*($H$35/100)),$I$41-$D$36)</xm:f>
              </x14:cfvo>
              <x14:cfvo type="formula" gte="0">
                <xm:f>IF($D$31="ZERO/SPAN",$I$41+($I$41*($H$35/100)),$I$41+$D$36)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I42</xm:sqref>
        </x14:conditionalFormatting>
        <x14:conditionalFormatting xmlns:xm="http://schemas.microsoft.com/office/excel/2006/main">
          <x14:cfRule type="iconSet" priority="31" id="{C4CC6FC7-AAD6-4D0C-B714-69CC10E4B489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H42</xm:sqref>
        </x14:conditionalFormatting>
        <x14:conditionalFormatting xmlns:xm="http://schemas.microsoft.com/office/excel/2006/main">
          <x14:cfRule type="iconSet" priority="30" id="{BE9DEF90-F4E7-489A-B354-7BF5B0709187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G42</xm:sqref>
        </x14:conditionalFormatting>
        <x14:conditionalFormatting xmlns:xm="http://schemas.microsoft.com/office/excel/2006/main">
          <x14:cfRule type="iconSet" priority="29" id="{73BF6A3D-59D3-4F10-99B0-828AE7D16112}">
            <x14:iconSet iconSet="3Symbols2" custom="1">
              <x14:cfvo type="percent">
                <xm:f>0</xm:f>
              </x14:cfvo>
              <x14:cfvo type="formula">
                <xm:f>IF($D$31="PRECISIÓN",$F$41-($F$41*($H$36/100)),$F$41-$D$36)</xm:f>
              </x14:cfvo>
              <x14:cfvo type="formula" gte="0">
                <xm:f>IF($D$31="PRECISIÓN",$F$41+($F$41*($H$36/100)),$F$41+$D$36)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F42</xm:sqref>
        </x14:conditionalFormatting>
        <x14:conditionalFormatting xmlns:xm="http://schemas.microsoft.com/office/excel/2006/main">
          <x14:cfRule type="iconSet" priority="28" id="{40E59504-CD69-4C6E-8073-EB45BA578E11}">
            <x14:iconSet iconSet="3Symbols2" custom="1">
              <x14:cfvo type="percent">
                <xm:f>0</xm:f>
              </x14:cfvo>
              <x14:cfvo type="formula">
                <xm:f>IF($D$31="ZERO/SPAN",$J$41-($J$41*($H$35/100)),$J$41-$D$36)</xm:f>
              </x14:cfvo>
              <x14:cfvo type="formula" gte="0">
                <xm:f>IF($D$31="ZERO/SPAN",$J$41+($J$41*($H$35/100)),$J$41+$D$36)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J42</xm:sqref>
        </x14:conditionalFormatting>
        <x14:conditionalFormatting xmlns:xm="http://schemas.microsoft.com/office/excel/2006/main">
          <x14:cfRule type="iconSet" priority="27" id="{B13A6E06-8E32-4260-B1DC-79D791D321F5}">
            <x14:iconSet iconSet="3Symbols2" custom="1">
              <x14:cfvo type="percent">
                <xm:f>0</xm:f>
              </x14:cfvo>
              <x14:cfvo type="formula">
                <xm:f>IF($D$31="ZERO/SPAN",$I$41-($I$41*($H$35/100)),$I$41-$D$36)</xm:f>
              </x14:cfvo>
              <x14:cfvo type="formula" gte="0">
                <xm:f>IF($D$31="ZERO/SPAN",$I$41+($I$41*($H$35/100)),$I$41+$D$36)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I43</xm:sqref>
        </x14:conditionalFormatting>
        <x14:conditionalFormatting xmlns:xm="http://schemas.microsoft.com/office/excel/2006/main">
          <x14:cfRule type="iconSet" priority="26" id="{D612A2E3-6038-42B5-8666-09799DDDA3B3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</xm:sqref>
        </x14:conditionalFormatting>
        <x14:conditionalFormatting xmlns:xm="http://schemas.microsoft.com/office/excel/2006/main">
          <x14:cfRule type="iconSet" priority="25" id="{37E87CF2-1704-482C-8920-320BC2B56889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G43</xm:sqref>
        </x14:conditionalFormatting>
        <x14:conditionalFormatting xmlns:xm="http://schemas.microsoft.com/office/excel/2006/main">
          <x14:cfRule type="iconSet" priority="24" id="{CDEB9FC3-B04E-46AE-B4B2-30C78553DDD9}">
            <x14:iconSet iconSet="3Symbols2" custom="1">
              <x14:cfvo type="percent">
                <xm:f>0</xm:f>
              </x14:cfvo>
              <x14:cfvo type="formula">
                <xm:f>IF($D$31="PRECISIÓN",$F$41-($F$41*($H$36/100)),$F$41-$D$36)</xm:f>
              </x14:cfvo>
              <x14:cfvo type="formula" gte="0">
                <xm:f>IF($D$31="PRECISIÓN",$F$41+($F$41*($H$36/100)),$F$41+$D$36)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F43</xm:sqref>
        </x14:conditionalFormatting>
        <x14:conditionalFormatting xmlns:xm="http://schemas.microsoft.com/office/excel/2006/main">
          <x14:cfRule type="iconSet" priority="23" id="{B03CC89C-8B53-40BD-AEC9-86DC51034DC7}">
            <x14:iconSet iconSet="3Symbols2" custom="1">
              <x14:cfvo type="percent">
                <xm:f>0</xm:f>
              </x14:cfvo>
              <x14:cfvo type="formula">
                <xm:f>IF($D$31="ZERO/SPAN",$J$41-($J$41*($H$35/100)),$J$41-$D$36)</xm:f>
              </x14:cfvo>
              <x14:cfvo type="formula" gte="0">
                <xm:f>IF($D$31="ZERO/SPAN",$J$41+($J$41*($H$35/100)),$J$41+$D$36)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J43</xm:sqref>
        </x14:conditionalFormatting>
        <x14:conditionalFormatting xmlns:xm="http://schemas.microsoft.com/office/excel/2006/main">
          <x14:cfRule type="iconSet" priority="18" id="{D8267588-704E-45FE-BFD0-6CB6AF1D9D05}">
            <x14:iconSet iconSet="3Symbols2" custom="1">
              <x14:cfvo type="percent">
                <xm:f>0</xm:f>
              </x14:cfvo>
              <x14:cfvo type="formula">
                <xm:f>IF($D$31="PRECISIÓN",$E$55-($E$55*($H$36/100)),$E$55-$D$50)</xm:f>
              </x14:cfvo>
              <x14:cfvo type="formula" gte="0">
                <xm:f>IF($D$31="PRECISIÓN",$E$55+($E$55*($H$36/100)),$E$55+$D$50)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E58</xm:sqref>
        </x14:conditionalFormatting>
        <x14:conditionalFormatting xmlns:xm="http://schemas.microsoft.com/office/excel/2006/main">
          <x14:cfRule type="iconSet" priority="17" id="{F229BCE5-B902-4BCD-9A25-41A764DFCC08}">
            <x14:iconSet custom="1">
              <x14:cfvo type="percent">
                <xm:f>0</xm:f>
              </x14:cfvo>
              <x14:cfvo type="formula">
                <xm:f>$F$55-$D$50</xm:f>
              </x14:cfvo>
              <x14:cfvo type="formula" gte="0">
                <xm:f>$F$55+$D$50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F58</xm:sqref>
        </x14:conditionalFormatting>
        <x14:conditionalFormatting xmlns:xm="http://schemas.microsoft.com/office/excel/2006/main">
          <x14:cfRule type="iconSet" priority="16" id="{60D0101E-6FC8-43D6-B6F5-A689A4BF445D}">
            <x14:iconSet custom="1">
              <x14:cfvo type="percent">
                <xm:f>0</xm:f>
              </x14:cfvo>
              <x14:cfvo type="formula">
                <xm:f>$G$55-$D$50</xm:f>
              </x14:cfvo>
              <x14:cfvo type="formula" gte="0">
                <xm:f>$G$55+$D$50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G58</xm:sqref>
        </x14:conditionalFormatting>
        <x14:conditionalFormatting xmlns:xm="http://schemas.microsoft.com/office/excel/2006/main">
          <x14:cfRule type="iconSet" priority="15" id="{6E1AC2E1-36A5-4D63-AF45-2C95AA336B80}">
            <x14:iconSet iconSet="3Symbols2" custom="1">
              <x14:cfvo type="percent">
                <xm:f>0</xm:f>
              </x14:cfvo>
              <x14:cfvo type="formula">
                <xm:f>IF($D$31="ZERO/SPAN",$H$55-($H$55*($H$35/100)),$H$55-$D$50)</xm:f>
              </x14:cfvo>
              <x14:cfvo type="formula" gte="0">
                <xm:f>IF($D$31="ZERO/SPAN",$H$55+($H$55*($H$35/100)),$H$55+$D$50)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H58</xm:sqref>
        </x14:conditionalFormatting>
        <x14:conditionalFormatting xmlns:xm="http://schemas.microsoft.com/office/excel/2006/main">
          <x14:cfRule type="iconSet" priority="14" id="{714E02EC-FE43-42B5-A478-DFDF7875D4B8}">
            <x14:iconSet iconSet="3Symbols2" custom="1">
              <x14:cfvo type="percent">
                <xm:f>0</xm:f>
              </x14:cfvo>
              <x14:cfvo type="formula">
                <xm:f>IF($D$31="ZERO/SPAN",$I$41-($I$41*($H$35/100)),$I$41-$D$36)</xm:f>
              </x14:cfvo>
              <x14:cfvo type="formula" gte="0">
                <xm:f>IF($D$31="ZERO/SPAN",$I$41+($I$41*($H$35/100)),$I$41+$D$36)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S47</xm:sqref>
        </x14:conditionalFormatting>
        <x14:conditionalFormatting xmlns:xm="http://schemas.microsoft.com/office/excel/2006/main">
          <x14:cfRule type="iconSet" priority="13" id="{C1E4AD0C-D0D6-4615-829B-D8DC52BDE05A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R47</xm:sqref>
        </x14:conditionalFormatting>
        <x14:conditionalFormatting xmlns:xm="http://schemas.microsoft.com/office/excel/2006/main">
          <x14:cfRule type="iconSet" priority="12" id="{C5256B2F-729D-4A97-B598-88F15E011BE4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Q47</xm:sqref>
        </x14:conditionalFormatting>
        <x14:conditionalFormatting xmlns:xm="http://schemas.microsoft.com/office/excel/2006/main">
          <x14:cfRule type="iconSet" priority="11" id="{7CADC99F-30AF-4E2E-B24E-82EEB12A49A1}">
            <x14:iconSet iconSet="3Symbols2" custom="1">
              <x14:cfvo type="percent">
                <xm:f>0</xm:f>
              </x14:cfvo>
              <x14:cfvo type="formula">
                <xm:f>IF($D$31="PRECISIÓN",$F$41-($F$41*($H$36/100)),$F$41-$D$36)</xm:f>
              </x14:cfvo>
              <x14:cfvo type="formula" gte="0">
                <xm:f>IF($D$31="PRECISIÓN",$F$41+($F$41*($H$36/100)),$F$41+$D$36)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P47</xm:sqref>
        </x14:conditionalFormatting>
        <x14:conditionalFormatting xmlns:xm="http://schemas.microsoft.com/office/excel/2006/main">
          <x14:cfRule type="iconSet" priority="10" id="{ECD0B6D9-5F3D-4E10-A0B7-850B7C527806}">
            <x14:iconSet iconSet="3Symbols2" custom="1">
              <x14:cfvo type="percent">
                <xm:f>0</xm:f>
              </x14:cfvo>
              <x14:cfvo type="formula">
                <xm:f>IF($D$31="ZERO/SPAN",$J$41-($J$41*($H$35/100)),$J$41-$D$36)</xm:f>
              </x14:cfvo>
              <x14:cfvo type="formula" gte="0">
                <xm:f>IF($D$31="ZERO/SPAN",$J$41+($J$41*($H$35/100)),$J$41+$D$36)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T47</xm:sqref>
        </x14:conditionalFormatting>
        <x14:conditionalFormatting xmlns:xm="http://schemas.microsoft.com/office/excel/2006/main">
          <x14:cfRule type="iconSet" priority="9" id="{48FBEBBA-A706-422F-995F-C48E61F490AD}">
            <x14:iconSet iconSet="3Symbols2" custom="1">
              <x14:cfvo type="percent">
                <xm:f>0</xm:f>
              </x14:cfvo>
              <x14:cfvo type="formula">
                <xm:f>IF($D$31="ZERO/SPAN",$I$41-($I$41*($H$35/100)),$I$41-$D$36)</xm:f>
              </x14:cfvo>
              <x14:cfvo type="formula" gte="0">
                <xm:f>IF($D$31="ZERO/SPAN",$I$41+($I$41*($H$35/100)),$I$41+$D$36)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S58</xm:sqref>
        </x14:conditionalFormatting>
        <x14:conditionalFormatting xmlns:xm="http://schemas.microsoft.com/office/excel/2006/main">
          <x14:cfRule type="iconSet" priority="8" id="{D279AC45-DB6E-462D-817F-5C4558D7494C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R58</xm:sqref>
        </x14:conditionalFormatting>
        <x14:conditionalFormatting xmlns:xm="http://schemas.microsoft.com/office/excel/2006/main">
          <x14:cfRule type="iconSet" priority="7" id="{90BA5D4F-3E47-4466-B646-B8AEC5909413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Q58</xm:sqref>
        </x14:conditionalFormatting>
        <x14:conditionalFormatting xmlns:xm="http://schemas.microsoft.com/office/excel/2006/main">
          <x14:cfRule type="iconSet" priority="6" id="{9A291282-9EE6-46C4-8233-5FF0FBA2CBBC}">
            <x14:iconSet iconSet="3Symbols2" custom="1">
              <x14:cfvo type="percent">
                <xm:f>0</xm:f>
              </x14:cfvo>
              <x14:cfvo type="formula">
                <xm:f>IF($D$31="PRECISIÓN",$F$41-($F$41*($H$36/100)),$F$41-$D$36)</xm:f>
              </x14:cfvo>
              <x14:cfvo type="formula" gte="0">
                <xm:f>IF($D$31="PRECISIÓN",$F$41+($F$41*($H$36/100)),$F$41+$D$36)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P58</xm:sqref>
        </x14:conditionalFormatting>
        <x14:conditionalFormatting xmlns:xm="http://schemas.microsoft.com/office/excel/2006/main">
          <x14:cfRule type="iconSet" priority="5" id="{70A7C576-E1CE-42D3-BE72-DD8ADA07A8A2}">
            <x14:iconSet iconSet="3Symbols2" custom="1">
              <x14:cfvo type="percent">
                <xm:f>0</xm:f>
              </x14:cfvo>
              <x14:cfvo type="formula">
                <xm:f>IF($D$31="ZERO/SPAN",$J$41-($J$41*($H$35/100)),$J$41-$D$36)</xm:f>
              </x14:cfvo>
              <x14:cfvo type="formula" gte="0">
                <xm:f>IF($D$31="ZERO/SPAN",$J$41+($J$41*($H$35/100)),$J$41+$D$36)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T58</xm:sqref>
        </x14:conditionalFormatting>
        <x14:conditionalFormatting xmlns:xm="http://schemas.microsoft.com/office/excel/2006/main">
          <x14:cfRule type="iconSet" priority="4" id="{D7BDBD18-A776-42A1-9BDA-1628AE27138A}">
            <x14:iconSet iconSet="3Symbols2" custom="1">
              <x14:cfvo type="percent">
                <xm:f>0</xm:f>
              </x14:cfvo>
              <x14:cfvo type="formula">
                <xm:f>IF($D$31="PRECISIÓN",$E$55-($E$55*($H$36/100)),$E$55-$D$50)</xm:f>
              </x14:cfvo>
              <x14:cfvo type="formula" gte="0">
                <xm:f>IF($D$31="PRECISIÓN",$E$55+($E$55*($H$36/100)),$E$55+$D$50)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Q82</xm:sqref>
        </x14:conditionalFormatting>
        <x14:conditionalFormatting xmlns:xm="http://schemas.microsoft.com/office/excel/2006/main">
          <x14:cfRule type="iconSet" priority="3" id="{DB380E78-4FA6-4E37-8FF3-67F3CCE2A212}">
            <x14:iconSet custom="1">
              <x14:cfvo type="percent">
                <xm:f>0</xm:f>
              </x14:cfvo>
              <x14:cfvo type="formula">
                <xm:f>$F$55-$D$50</xm:f>
              </x14:cfvo>
              <x14:cfvo type="formula" gte="0">
                <xm:f>$F$55+$D$50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R82</xm:sqref>
        </x14:conditionalFormatting>
        <x14:conditionalFormatting xmlns:xm="http://schemas.microsoft.com/office/excel/2006/main">
          <x14:cfRule type="iconSet" priority="2" id="{18B03927-7BEC-495A-9745-DF6FEAB3B585}">
            <x14:iconSet custom="1">
              <x14:cfvo type="percent">
                <xm:f>0</xm:f>
              </x14:cfvo>
              <x14:cfvo type="formula">
                <xm:f>$G$55-$D$50</xm:f>
              </x14:cfvo>
              <x14:cfvo type="formula" gte="0">
                <xm:f>$G$55+$D$50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S82</xm:sqref>
        </x14:conditionalFormatting>
        <x14:conditionalFormatting xmlns:xm="http://schemas.microsoft.com/office/excel/2006/main">
          <x14:cfRule type="iconSet" priority="1" id="{74902584-2BAD-4FF8-B1F8-B6A351C0AB95}">
            <x14:iconSet iconSet="3Symbols2" custom="1">
              <x14:cfvo type="percent">
                <xm:f>0</xm:f>
              </x14:cfvo>
              <x14:cfvo type="formula">
                <xm:f>IF($D$31="ZERO/SPAN",$H$55-($H$55*($H$35/100)),$H$55-$D$50)</xm:f>
              </x14:cfvo>
              <x14:cfvo type="formula" gte="0">
                <xm:f>IF($D$31="ZERO/SPAN",$H$55+($H$55*($H$35/100)),$H$55+$D$50)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8"/>
  <sheetViews>
    <sheetView showGridLines="0" workbookViewId="0">
      <selection activeCell="C26" sqref="C26"/>
    </sheetView>
  </sheetViews>
  <sheetFormatPr baseColWidth="10" defaultRowHeight="12.75" x14ac:dyDescent="0.2"/>
  <sheetData>
    <row r="2" spans="2:6" x14ac:dyDescent="0.2">
      <c r="B2" s="207"/>
      <c r="C2" s="207" t="s">
        <v>119</v>
      </c>
      <c r="D2" s="207" t="s">
        <v>120</v>
      </c>
      <c r="E2" s="208"/>
      <c r="F2" s="208"/>
    </row>
    <row r="3" spans="2:6" x14ac:dyDescent="0.2">
      <c r="B3" s="207"/>
      <c r="C3" s="209" t="s">
        <v>121</v>
      </c>
      <c r="D3" s="209" t="s">
        <v>122</v>
      </c>
      <c r="E3" s="208" t="s">
        <v>123</v>
      </c>
      <c r="F3" s="210">
        <f>FORMATO!E10</f>
        <v>46141</v>
      </c>
    </row>
    <row r="4" spans="2:6" x14ac:dyDescent="0.2">
      <c r="B4" s="211">
        <f>C4</f>
        <v>0</v>
      </c>
      <c r="C4" s="212">
        <f>FORMATO!D55</f>
        <v>0</v>
      </c>
      <c r="D4" s="212">
        <f>FORMATO!D58</f>
        <v>0.19</v>
      </c>
      <c r="E4" s="208"/>
      <c r="F4" s="208"/>
    </row>
    <row r="5" spans="2:6" x14ac:dyDescent="0.2">
      <c r="B5" s="211">
        <f>C5</f>
        <v>29.777999999999992</v>
      </c>
      <c r="C5" s="212">
        <f>FORMATO!E55</f>
        <v>29.777999999999992</v>
      </c>
      <c r="D5" s="212">
        <f>FORMATO!E58</f>
        <v>31.376000000000005</v>
      </c>
      <c r="E5" s="208"/>
      <c r="F5" s="208"/>
    </row>
    <row r="6" spans="2:6" x14ac:dyDescent="0.2">
      <c r="B6" s="211">
        <f>C6</f>
        <v>61.416000000000011</v>
      </c>
      <c r="C6" s="212">
        <f>FORMATO!F55</f>
        <v>61.416000000000011</v>
      </c>
      <c r="D6" s="212">
        <f>FORMATO!F58</f>
        <v>62.076000000000036</v>
      </c>
      <c r="E6" s="208"/>
      <c r="F6" s="208"/>
    </row>
    <row r="7" spans="2:6" x14ac:dyDescent="0.2">
      <c r="B7" s="211">
        <f>C7</f>
        <v>100.994</v>
      </c>
      <c r="C7" s="212">
        <f>FORMATO!G55</f>
        <v>100.994</v>
      </c>
      <c r="D7" s="212">
        <f>FORMATO!G58</f>
        <v>101.30999999999997</v>
      </c>
      <c r="E7" s="208"/>
      <c r="F7" s="208"/>
    </row>
    <row r="8" spans="2:6" x14ac:dyDescent="0.2">
      <c r="B8" s="211">
        <f>C8</f>
        <v>148.58799999999999</v>
      </c>
      <c r="C8" s="212">
        <f>FORMATO!H55</f>
        <v>148.58799999999999</v>
      </c>
      <c r="D8" s="212">
        <f>FORMATO!H58</f>
        <v>148.87199999999999</v>
      </c>
      <c r="E8" s="208"/>
      <c r="F8" s="208"/>
    </row>
  </sheetData>
  <sheetProtection algorithmName="SHA-512" hashValue="KraZNtZ26P7MOf7vNX7AjckRAM29FzNOrICO+ZaZX1V96VhwgxNHClASdr3VGAloIagq3XBWPf7X2V+l/rx1SA==" saltValue="wCB4qPHZMAPESKj3goOQYA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F8"/>
  <sheetViews>
    <sheetView showGridLines="0" workbookViewId="0">
      <selection sqref="A1:XFD1048576"/>
    </sheetView>
  </sheetViews>
  <sheetFormatPr baseColWidth="10" defaultRowHeight="12.75" x14ac:dyDescent="0.2"/>
  <sheetData>
    <row r="2" spans="2:6" x14ac:dyDescent="0.2">
      <c r="B2" s="207"/>
      <c r="C2" s="207" t="s">
        <v>119</v>
      </c>
      <c r="D2" s="207" t="s">
        <v>120</v>
      </c>
      <c r="E2" s="208"/>
      <c r="F2" s="208"/>
    </row>
    <row r="3" spans="2:6" x14ac:dyDescent="0.2">
      <c r="B3" s="207"/>
      <c r="C3" s="209" t="s">
        <v>121</v>
      </c>
      <c r="D3" s="209" t="s">
        <v>122</v>
      </c>
      <c r="E3" s="208" t="s">
        <v>123</v>
      </c>
      <c r="F3" s="210">
        <f>FORMATO!E10</f>
        <v>46141</v>
      </c>
    </row>
    <row r="4" spans="2:6" x14ac:dyDescent="0.2">
      <c r="B4" s="211">
        <f>C4</f>
        <v>0</v>
      </c>
      <c r="C4" s="211">
        <v>0</v>
      </c>
      <c r="D4" s="212">
        <f>FORMATO!E43</f>
        <v>-0.16</v>
      </c>
      <c r="E4" s="208"/>
      <c r="F4" s="208"/>
    </row>
    <row r="5" spans="2:6" x14ac:dyDescent="0.2">
      <c r="B5" s="211">
        <f>C5</f>
        <v>40</v>
      </c>
      <c r="C5" s="211">
        <f>FORMATO!F41</f>
        <v>40</v>
      </c>
      <c r="D5" s="212">
        <f>FORMATO!F43</f>
        <v>39.061999999999998</v>
      </c>
      <c r="E5" s="208"/>
      <c r="F5" s="208"/>
    </row>
    <row r="6" spans="2:6" x14ac:dyDescent="0.2">
      <c r="B6" s="211">
        <f>C6</f>
        <v>80.599999999999994</v>
      </c>
      <c r="C6" s="211">
        <f>FORMATO!G41</f>
        <v>80.599999999999994</v>
      </c>
      <c r="D6" s="212">
        <f>FORMATO!G43</f>
        <v>80.092500000000001</v>
      </c>
      <c r="E6" s="208"/>
      <c r="F6" s="208"/>
    </row>
    <row r="7" spans="2:6" x14ac:dyDescent="0.2">
      <c r="B7" s="211">
        <f>C7</f>
        <v>140.4</v>
      </c>
      <c r="C7" s="211">
        <f>FORMATO!H41</f>
        <v>140.4</v>
      </c>
      <c r="D7" s="212">
        <f>FORMATO!H43</f>
        <v>140.51599999999999</v>
      </c>
      <c r="E7" s="208"/>
      <c r="F7" s="208"/>
    </row>
    <row r="8" spans="2:6" x14ac:dyDescent="0.2">
      <c r="B8" s="211">
        <f>C8</f>
        <v>180</v>
      </c>
      <c r="C8" s="211">
        <f>FORMATO!I41</f>
        <v>180</v>
      </c>
      <c r="D8" s="212">
        <f>FORMATO!I43</f>
        <v>180.12</v>
      </c>
      <c r="E8" s="208"/>
      <c r="F8" s="208"/>
    </row>
  </sheetData>
  <sheetProtection algorithmName="SHA-512" hashValue="1rnMGUlEMAXt73UD4IZNmWLqObC9Gt+I5fTfvFeUhZFyfEJZrFTtg88XB/ErJljeLrEBYIGMkV6FGBk3mhJp2g==" saltValue="rV3WZcTGwdq6LlrZA2Vfm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208"/>
      <c r="C2" s="209" t="s">
        <v>121</v>
      </c>
      <c r="D2" s="213" t="s">
        <v>124</v>
      </c>
      <c r="E2" s="208" t="s">
        <v>123</v>
      </c>
      <c r="F2" s="210">
        <f>FORMATO!E10</f>
        <v>46141</v>
      </c>
    </row>
    <row r="3" spans="2:6" x14ac:dyDescent="0.2">
      <c r="B3" s="208">
        <f>C3</f>
        <v>0</v>
      </c>
      <c r="C3" s="214">
        <f>FORMATO!D54</f>
        <v>0</v>
      </c>
      <c r="D3" s="214">
        <f>FORMATO!D57</f>
        <v>-0.16</v>
      </c>
      <c r="E3" s="214"/>
      <c r="F3" s="208"/>
    </row>
    <row r="4" spans="2:6" x14ac:dyDescent="0.2">
      <c r="B4" s="208">
        <f>C4</f>
        <v>148.58799999999999</v>
      </c>
      <c r="C4" s="214">
        <f>FORMATO!H55</f>
        <v>148.58799999999999</v>
      </c>
      <c r="D4" s="214">
        <f>FORMATO!H58</f>
        <v>148.87199999999999</v>
      </c>
      <c r="E4" s="214"/>
      <c r="F4" s="208"/>
    </row>
  </sheetData>
  <sheetProtection algorithmName="SHA-512" hashValue="6+zKydiEOwO0mPy9zU+CpEsRqsWITwHJIDmPdZ6eZSpfWTtzfpkY/iC4yksvP6Syy6xanUOrfbjNjnCtFhpmrw==" saltValue="wu1W8mYhjiVsYorG0UdwyQ==" spinCount="100000" sheet="1" objects="1" scenarios="1" selectLockedCells="1" selectUn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G4"/>
  <sheetViews>
    <sheetView showGridLines="0" workbookViewId="0">
      <selection sqref="A1:XFD1048576"/>
    </sheetView>
  </sheetViews>
  <sheetFormatPr baseColWidth="10" defaultRowHeight="12.75" x14ac:dyDescent="0.2"/>
  <sheetData>
    <row r="2" spans="2:7" ht="25.5" x14ac:dyDescent="0.2">
      <c r="B2" s="208"/>
      <c r="C2" s="209" t="s">
        <v>121</v>
      </c>
      <c r="D2" s="213" t="s">
        <v>124</v>
      </c>
      <c r="E2" s="213" t="s">
        <v>125</v>
      </c>
      <c r="F2" s="208" t="s">
        <v>123</v>
      </c>
      <c r="G2" s="210">
        <f>FORMATO!E10</f>
        <v>46141</v>
      </c>
    </row>
    <row r="3" spans="2:7" x14ac:dyDescent="0.2">
      <c r="B3" s="208">
        <f>C3</f>
        <v>0</v>
      </c>
      <c r="C3" s="215">
        <f>FORMATO!E41</f>
        <v>0</v>
      </c>
      <c r="D3" s="214">
        <f>FORMATO!E43</f>
        <v>-0.16</v>
      </c>
      <c r="E3" s="214">
        <f>FORMATO!D43</f>
        <v>-1.212</v>
      </c>
      <c r="F3" s="208"/>
      <c r="G3" s="208"/>
    </row>
    <row r="4" spans="2:7" x14ac:dyDescent="0.2">
      <c r="B4" s="208">
        <f>C4</f>
        <v>180</v>
      </c>
      <c r="C4" s="215">
        <f>FORMATO!I41</f>
        <v>180</v>
      </c>
      <c r="D4" s="214">
        <f>FORMATO!I43</f>
        <v>180.12</v>
      </c>
      <c r="E4" s="214">
        <f>FORMATO!J43</f>
        <v>179.8725</v>
      </c>
      <c r="F4" s="208"/>
      <c r="G4" s="208"/>
    </row>
  </sheetData>
  <sheetProtection algorithmName="SHA-512" hashValue="rNvBn7WIWTyke/A9fEZbXabDE+uxsaTnTmJyqtVudhE5L5LIUtAfDGDDrcdWWZoiEjiE7ri0YvxA/ardnXfcBA==" saltValue="m9uAflSMfSpJULOlvqw3sw==" spinCount="100000" sheet="1" objects="1" scenarios="1" selectLockedCells="1" selectUn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208"/>
      <c r="C2" s="209" t="s">
        <v>121</v>
      </c>
      <c r="D2" s="213" t="s">
        <v>124</v>
      </c>
      <c r="E2" s="208" t="s">
        <v>123</v>
      </c>
      <c r="F2" s="210">
        <f>FORMATO!E10</f>
        <v>46141</v>
      </c>
    </row>
    <row r="3" spans="2:6" x14ac:dyDescent="0.2">
      <c r="B3" s="208">
        <f>C3</f>
        <v>0</v>
      </c>
      <c r="C3" s="214">
        <f>FORMATO!D54</f>
        <v>0</v>
      </c>
      <c r="D3" s="214">
        <f>FORMATO!D58</f>
        <v>0.19</v>
      </c>
      <c r="E3" s="208"/>
      <c r="F3" s="208"/>
    </row>
    <row r="4" spans="2:6" x14ac:dyDescent="0.2">
      <c r="B4" s="208">
        <f>C4</f>
        <v>29.777999999999992</v>
      </c>
      <c r="C4" s="214">
        <f>FORMATO!E55</f>
        <v>29.777999999999992</v>
      </c>
      <c r="D4" s="214">
        <f>FORMATO!E58</f>
        <v>31.376000000000005</v>
      </c>
      <c r="E4" s="208"/>
      <c r="F4" s="208"/>
    </row>
  </sheetData>
  <sheetProtection algorithmName="SHA-512" hashValue="55GpjGikFebB1bCMG5yr0b4ReDtOMDoszJOE8DYeXhbtmgWtV2aNKeUNJRK803Ab1KhAjJXg9I7C5aIOOZeLkA==" saltValue="GKAH1C2Gfx7HVcMTBbqeXw==" spinCount="100000" sheet="1" objects="1" scenarios="1" selectLockedCells="1" selectUn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208"/>
      <c r="C2" s="209" t="s">
        <v>121</v>
      </c>
      <c r="D2" s="213" t="s">
        <v>124</v>
      </c>
      <c r="E2" s="208" t="s">
        <v>123</v>
      </c>
      <c r="F2" s="210">
        <f>FORMATO!E10</f>
        <v>46141</v>
      </c>
    </row>
    <row r="3" spans="2:6" x14ac:dyDescent="0.2">
      <c r="B3" s="208">
        <f>C3</f>
        <v>0</v>
      </c>
      <c r="C3" s="208">
        <f>FORMATO!E41</f>
        <v>0</v>
      </c>
      <c r="D3" s="214">
        <f>FORMATO!E43</f>
        <v>-0.16</v>
      </c>
      <c r="E3" s="208"/>
      <c r="F3" s="208"/>
    </row>
    <row r="4" spans="2:6" x14ac:dyDescent="0.2">
      <c r="B4" s="208">
        <f>C4</f>
        <v>40</v>
      </c>
      <c r="C4" s="215">
        <f>FORMATO!F41</f>
        <v>40</v>
      </c>
      <c r="D4" s="214">
        <f>FORMATO!F43</f>
        <v>39.061999999999998</v>
      </c>
      <c r="E4" s="208"/>
      <c r="F4" s="208"/>
    </row>
  </sheetData>
  <sheetProtection algorithmName="SHA-512" hashValue="LHn0cIq+0uBzTu24iL02TlY6bY2oCsIlGVD5JFRdv6HS1Vt30YzSrDafHlawjD0EVwULJK0yAQiSy3SgyWbXJg==" saltValue="o+HjzauxQG7nKwSqAoZYzg==" spinCount="100000" sheet="1" objects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FORMATO</vt:lpstr>
      <vt:lpstr>Grafica MP_NO2</vt:lpstr>
      <vt:lpstr>Grafica MP_NO</vt:lpstr>
      <vt:lpstr>Grafica Z-S_NO2</vt:lpstr>
      <vt:lpstr>Grafica Z-S_NO</vt:lpstr>
      <vt:lpstr>Grafica PREC_NO2</vt:lpstr>
      <vt:lpstr>Grafica PREC_NO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Lucas</cp:lastModifiedBy>
  <cp:lastPrinted>2016-03-18T20:41:32Z</cp:lastPrinted>
  <dcterms:created xsi:type="dcterms:W3CDTF">2005-04-27T21:21:30Z</dcterms:created>
  <dcterms:modified xsi:type="dcterms:W3CDTF">2026-04-30T19:08:51Z</dcterms:modified>
</cp:coreProperties>
</file>