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nalmed\Desktop\"/>
    </mc:Choice>
  </mc:AlternateContent>
  <xr:revisionPtr revIDLastSave="0" documentId="13_ncr:1_{E0468B32-3DF9-4E7D-AECE-3DF18BA483D7}" xr6:coauthVersionLast="36" xr6:coauthVersionMax="36" xr10:uidLastSave="{00000000-0000-0000-0000-000000000000}"/>
  <workbookProtection workbookPassword="CC4A" lockStructure="1"/>
  <bookViews>
    <workbookView xWindow="0" yWindow="0" windowWidth="19200" windowHeight="8010" xr2:uid="{00000000-000D-0000-FFFF-FFFF00000000}"/>
  </bookViews>
  <sheets>
    <sheet name="FORMATO" sheetId="4" r:id="rId1"/>
    <sheet name="Garfica MP" sheetId="7" r:id="rId2"/>
    <sheet name="Grafica Z-S" sheetId="8" r:id="rId3"/>
    <sheet name="Grafica PREC" sheetId="9" r:id="rId4"/>
  </sheets>
  <definedNames>
    <definedName name="_xlnm.Print_Area" localSheetId="0">FORMATO!$A$1:$J$67</definedName>
  </definedNames>
  <calcPr calcId="191029"/>
</workbook>
</file>

<file path=xl/calcChain.xml><?xml version="1.0" encoding="utf-8"?>
<calcChain xmlns="http://schemas.openxmlformats.org/spreadsheetml/2006/main">
  <c r="O32" i="4" l="1"/>
  <c r="H36" i="4" l="1"/>
  <c r="G36" i="4"/>
  <c r="E53" i="4" l="1"/>
  <c r="D53" i="4"/>
  <c r="E54" i="4"/>
  <c r="D54" i="4"/>
  <c r="E55" i="4"/>
  <c r="D55" i="4"/>
  <c r="J36" i="4" l="1"/>
  <c r="I36" i="4"/>
  <c r="F36" i="4"/>
  <c r="U32" i="4" l="1"/>
  <c r="P40" i="4"/>
  <c r="O40" i="4"/>
  <c r="P39" i="4"/>
  <c r="O39" i="4"/>
  <c r="E57" i="4"/>
  <c r="D57" i="4"/>
  <c r="E56" i="4"/>
  <c r="D56" i="4"/>
  <c r="F37" i="4" l="1"/>
  <c r="C55" i="4" s="1"/>
  <c r="R32" i="4"/>
  <c r="S32" i="4"/>
  <c r="H37" i="4" s="1"/>
  <c r="T32" i="4"/>
  <c r="G37" i="4" s="1"/>
  <c r="P38" i="4" l="1"/>
  <c r="O38" i="4"/>
  <c r="N38" i="4"/>
  <c r="I37" i="4"/>
  <c r="C54" i="4" s="1"/>
  <c r="J37" i="4"/>
  <c r="C53" i="4" s="1"/>
  <c r="D5" i="9"/>
  <c r="D4" i="9"/>
  <c r="C5" i="9"/>
  <c r="B5" i="9" s="1"/>
  <c r="C4" i="9"/>
  <c r="B4" i="9" s="1"/>
  <c r="F3" i="9"/>
  <c r="P37" i="4" l="1"/>
  <c r="N37" i="4"/>
  <c r="O37" i="4"/>
  <c r="E5" i="8"/>
  <c r="E4" i="8"/>
  <c r="D5" i="8"/>
  <c r="D4" i="8"/>
  <c r="C5" i="8"/>
  <c r="B5" i="8" s="1"/>
  <c r="C4" i="8"/>
  <c r="B4" i="8" s="1"/>
  <c r="G3" i="8"/>
  <c r="B4" i="7" l="1"/>
  <c r="F3" i="7" l="1"/>
  <c r="D8" i="7"/>
  <c r="D7" i="7"/>
  <c r="D6" i="7"/>
  <c r="D5" i="7"/>
  <c r="D4" i="7"/>
  <c r="C8" i="7"/>
  <c r="B8" i="7" s="1"/>
  <c r="C7" i="7"/>
  <c r="B7" i="7" s="1"/>
  <c r="C6" i="7"/>
  <c r="B6" i="7" s="1"/>
  <c r="C5" i="7"/>
  <c r="B5" i="7" s="1"/>
  <c r="C43" i="4"/>
  <c r="F46" i="4" l="1"/>
  <c r="E46" i="4"/>
  <c r="C57" i="4" l="1"/>
  <c r="C56" i="4"/>
  <c r="D46" i="4" l="1"/>
  <c r="G46" i="4"/>
  <c r="E43" i="4"/>
  <c r="D43" i="4"/>
  <c r="B43" i="4"/>
  <c r="D31" i="4"/>
  <c r="D32" i="4" s="1"/>
  <c r="D47" i="4" l="1"/>
  <c r="E47" i="4"/>
  <c r="F47" i="4"/>
  <c r="G47" i="4"/>
  <c r="D49" i="4" l="1"/>
  <c r="D48" i="4"/>
  <c r="G49" i="4"/>
  <c r="G48" i="4"/>
  <c r="F48" i="4"/>
  <c r="F49" i="4"/>
  <c r="E48" i="4"/>
  <c r="E49" i="4"/>
</calcChain>
</file>

<file path=xl/sharedStrings.xml><?xml version="1.0" encoding="utf-8"?>
<sst xmlns="http://schemas.openxmlformats.org/spreadsheetml/2006/main" count="193" uniqueCount="153">
  <si>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</si>
  <si>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</si>
  <si>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</si>
  <si>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</si>
  <si>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</si>
  <si>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</si>
  <si>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</si>
  <si>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</si>
  <si>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</si>
  <si>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</si>
  <si>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>Cilindro de Gas</t>
  </si>
  <si>
    <t xml:space="preserve">Modelo: </t>
  </si>
  <si>
    <t xml:space="preserve">Marca: 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</si>
  <si>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</si>
  <si>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</si>
  <si>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</si>
  <si>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</si>
  <si>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</si>
  <si>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TAPI</t>
  </si>
  <si>
    <t>700E</t>
  </si>
  <si>
    <t>Slope inicial:</t>
  </si>
  <si>
    <t>Slope final:</t>
  </si>
  <si>
    <r>
      <t>Offset inicial</t>
    </r>
    <r>
      <rPr>
        <sz val="10"/>
        <rFont val="Arial"/>
        <family val="2"/>
      </rPr>
      <t>:</t>
    </r>
  </si>
  <si>
    <t>Offset final: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</si>
  <si>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</si>
  <si>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</si>
  <si>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</si>
  <si>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</si>
  <si>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</si>
  <si>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</si>
  <si>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</si>
  <si>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</si>
  <si>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Reg. Lineal</t>
  </si>
  <si>
    <t>Código Servicio:</t>
  </si>
  <si>
    <t>1. INFORMACIÓN DEL SITIO</t>
  </si>
  <si>
    <t>MEDELLÍN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</si>
  <si>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</si>
  <si>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</si>
  <si>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</si>
  <si>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</si>
  <si>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</si>
  <si>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</si>
  <si>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</si>
  <si>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</si>
  <si>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</si>
  <si>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</si>
  <si>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</si>
  <si>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</si>
  <si>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</si>
  <si>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</si>
  <si>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</si>
  <si>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Ajuste a Mejor Concentración</t>
  </si>
  <si>
    <t>MED-PJIC</t>
  </si>
  <si>
    <t>(aaaa-mm-dd)</t>
  </si>
  <si>
    <t>Analizador</t>
  </si>
  <si>
    <t>Patrón</t>
  </si>
  <si>
    <t>Hora de inicio (24h):</t>
  </si>
  <si>
    <t>Hora de finalización (24h):</t>
  </si>
  <si>
    <t>? ? ?</t>
  </si>
  <si>
    <t>6. CRITERIO DE ZERO/SPAN; PRECISIÓN:</t>
  </si>
  <si>
    <t>7. RESULTADOS</t>
  </si>
  <si>
    <t>8. CÁLCULOS</t>
  </si>
  <si>
    <t>Jose David Hurtado - Ingeniero Operativo</t>
  </si>
  <si>
    <t>Sin Vo. Bo.</t>
  </si>
  <si>
    <t>Mínimo</t>
  </si>
  <si>
    <t>Máximo</t>
  </si>
  <si>
    <t>Zero Dejado:</t>
  </si>
  <si>
    <t>Zero Encontrado:</t>
  </si>
  <si>
    <t>Valores:</t>
  </si>
  <si>
    <t>MULTIPUNTO</t>
  </si>
  <si>
    <t>Analizador Dejado</t>
  </si>
  <si>
    <t>Analizador Encontrado</t>
  </si>
  <si>
    <r>
      <t>LECTURA ANALIZADOR</t>
    </r>
    <r>
      <rPr>
        <sz val="10"/>
        <rFont val="Arial"/>
        <family val="2"/>
      </rPr>
      <t xml:space="preserve">
(</t>
    </r>
    <r>
      <rPr>
        <b/>
        <sz val="10"/>
        <rFont val="Arial"/>
        <family val="2"/>
      </rPr>
      <t>ppm)</t>
    </r>
  </si>
  <si>
    <t>x</t>
  </si>
  <si>
    <t>y</t>
  </si>
  <si>
    <t>Fecha:</t>
  </si>
  <si>
    <t>Rango (ppm):</t>
  </si>
  <si>
    <t>CO</t>
  </si>
  <si>
    <r>
      <t xml:space="preserve">PATRÓN
</t>
    </r>
    <r>
      <rPr>
        <b/>
        <u/>
        <sz val="10"/>
        <rFont val="Arial"/>
        <family val="2"/>
      </rPr>
      <t>CO</t>
    </r>
    <r>
      <rPr>
        <b/>
        <sz val="10"/>
        <rFont val="Arial"/>
        <family val="2"/>
      </rPr>
      <t xml:space="preserve">
(ppm)</t>
    </r>
  </si>
  <si>
    <t>Punto de Calibración (ppm)</t>
  </si>
  <si>
    <t>CALIBRACIÓN Y/O VERIFICACIÓN DE ANALIZADOR DE GAS AUTOMÁTICO TAPI- MONOXÍDO CARBONO (CO)</t>
  </si>
  <si>
    <t>GIRARDOTA</t>
  </si>
  <si>
    <t>GIR-IECO</t>
  </si>
  <si>
    <t>BELLO</t>
  </si>
  <si>
    <t>BEL-USBV</t>
  </si>
  <si>
    <t>MED-UNNV</t>
  </si>
  <si>
    <t>ITAGUI</t>
  </si>
  <si>
    <t>CALDAS</t>
  </si>
  <si>
    <t>MED-MANT</t>
  </si>
  <si>
    <t>SABANETA</t>
  </si>
  <si>
    <t>MED-EXSA</t>
  </si>
  <si>
    <t>ESTRELLA</t>
  </si>
  <si>
    <t>MED-UNFM</t>
  </si>
  <si>
    <t>BARBOSA</t>
  </si>
  <si>
    <t>MED-UDEM</t>
  </si>
  <si>
    <t>COPACABANA</t>
  </si>
  <si>
    <t>***Editar***</t>
  </si>
  <si>
    <t>ITA-PTAR</t>
  </si>
  <si>
    <t>ITA-CJUS</t>
  </si>
  <si>
    <t>ITA-CRSV</t>
  </si>
  <si>
    <t>ITA-CONC</t>
  </si>
  <si>
    <t>CAL-PMER</t>
  </si>
  <si>
    <t>CAL-LASA</t>
  </si>
  <si>
    <t>2. y 3.</t>
  </si>
  <si>
    <t>THERMO</t>
  </si>
  <si>
    <t>T700</t>
  </si>
  <si>
    <t>Nombre del Responsable</t>
  </si>
  <si>
    <t xml:space="preserve">Vencimiento: </t>
  </si>
  <si>
    <t>Zero &lt;24h (ppm):</t>
  </si>
  <si>
    <t>Zero &gt;24h (ppm):</t>
  </si>
  <si>
    <t>Puntos de Calibracion</t>
  </si>
  <si>
    <t>Cada 15 días</t>
  </si>
  <si>
    <t>Cada 3 meses</t>
  </si>
  <si>
    <t>SPAN</t>
  </si>
  <si>
    <t>PRECISION</t>
  </si>
  <si>
    <t>Tipo Gas</t>
  </si>
  <si>
    <t>RANGO</t>
  </si>
  <si>
    <t>VALOR
GAS</t>
  </si>
  <si>
    <t>MIN.</t>
  </si>
  <si>
    <t>MAX.</t>
  </si>
  <si>
    <t>Zero Enc</t>
  </si>
  <si>
    <t>Zero Dej</t>
  </si>
  <si>
    <t>VALORE ESPERADOS CO</t>
  </si>
  <si>
    <t>4. TIPO DE CALIBRACION</t>
  </si>
  <si>
    <t>ZERO/SPAN</t>
  </si>
  <si>
    <t>PRECISIÓN</t>
  </si>
  <si>
    <t>AJUSTE PREC</t>
  </si>
  <si>
    <t>MED-MIRA</t>
  </si>
  <si>
    <t>MED-LAYE</t>
  </si>
  <si>
    <t>BAR-PDLA</t>
  </si>
  <si>
    <t>GIR-SOSN</t>
  </si>
  <si>
    <t>300E</t>
  </si>
  <si>
    <t>T300</t>
  </si>
  <si>
    <t>EST-METR</t>
  </si>
  <si>
    <t>AADCO</t>
  </si>
  <si>
    <t>MED-UNNP</t>
  </si>
  <si>
    <t>Hugo Santana - Ingeniero Infraestructura</t>
  </si>
  <si>
    <t>Fabian Moreno C. - Coordinador Servicios de Ensayo</t>
  </si>
  <si>
    <t>Tiberio Benavides H. - Coordinador Servicios Metrología</t>
  </si>
  <si>
    <t>Fabian Moreno C. - Ingeniero de Aseguramiento de Calidad en Campo</t>
  </si>
  <si>
    <t xml:space="preserve">&lt; ± </t>
  </si>
  <si>
    <t>Versión: 03</t>
  </si>
  <si>
    <t xml:space="preserve">Nombre del Responsable; Rol: </t>
  </si>
  <si>
    <t xml:space="preserve">Vo. Bo.; Rol: </t>
  </si>
  <si>
    <t>Código: F-PSEY-47</t>
  </si>
  <si>
    <t>9. ACEPTACIÓN MULTIPUNTO</t>
  </si>
  <si>
    <t>10. ACEPACIÓN ZERO/SPAN - PRECISIÓN</t>
  </si>
  <si>
    <t>751H</t>
  </si>
  <si>
    <t>N/A</t>
  </si>
  <si>
    <t>PRAXAIR</t>
  </si>
  <si>
    <t>JJ13287</t>
  </si>
  <si>
    <t>Jaison / Fabian</t>
  </si>
  <si>
    <t>Se realiza prueba de precisión, se ajusto zero y span. (por puerto de sample, ya que el de calibración esta poniendo problema)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</si>
</sst>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yyyy\-mm\-dd;@"/>
    <numFmt numFmtId="166" formatCode="0.000"/>
    <numFmt numFmtId="167" formatCode="0.0000"/>
    <numFmt numFmtId="168" formatCode="0.0%"/>
    <numFmt numFmtId="169" formatCode="h:mm:ss;@"/>
  </numFmts>
  <fonts count="28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u/>
      <sz val="10"/>
      <color rgb="FF006600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38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3" borderId="5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0" fontId="4" fillId="3" borderId="0" xfId="0" applyFont="1" applyFill="1" applyBorder="1" applyAlignment="1" applyProtection="1">
      <protection locked="0"/>
    </xf>
    <xf numFmtId="0" fontId="4" fillId="3" borderId="0" xfId="0" applyFont="1" applyFill="1" applyBorder="1" applyAlignment="1" applyProtection="1">
      <alignment horizontal="left"/>
      <protection locked="0"/>
    </xf>
    <xf numFmtId="165" fontId="4" fillId="3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7" fontId="4" fillId="2" borderId="0" xfId="0" applyNumberFormat="1" applyFont="1" applyFill="1" applyBorder="1" applyAlignment="1" applyProtection="1">
      <alignment horizontal="center" vertical="center" wrapText="1"/>
    </xf>
    <xf numFmtId="167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left"/>
      <protection locked="0"/>
    </xf>
    <xf numFmtId="166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3" xfId="0" applyFont="1" applyFill="1" applyBorder="1" applyAlignment="1" applyProtection="1">
      <alignment horizontal="left"/>
      <protection locked="0"/>
    </xf>
    <xf numFmtId="167" fontId="4" fillId="2" borderId="6" xfId="0" applyNumberFormat="1" applyFont="1" applyFill="1" applyBorder="1" applyAlignment="1" applyProtection="1">
      <alignment horizontal="center" vertical="center" wrapText="1"/>
    </xf>
    <xf numFmtId="164" fontId="16" fillId="3" borderId="7" xfId="0" applyNumberFormat="1" applyFont="1" applyFill="1" applyBorder="1" applyAlignment="1" applyProtection="1">
      <protection locked="0"/>
    </xf>
    <xf numFmtId="1" fontId="4" fillId="2" borderId="13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69" fontId="4" fillId="3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13" fillId="2" borderId="3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5" fontId="1" fillId="2" borderId="11" xfId="0" applyNumberFormat="1" applyFont="1" applyFill="1" applyBorder="1" applyAlignment="1" applyProtection="1">
      <alignment horizontal="left"/>
    </xf>
    <xf numFmtId="164" fontId="20" fillId="2" borderId="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</xf>
    <xf numFmtId="2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left"/>
      <protection locked="0"/>
    </xf>
    <xf numFmtId="164" fontId="16" fillId="2" borderId="3" xfId="0" applyNumberFormat="1" applyFont="1" applyFill="1" applyBorder="1" applyAlignment="1" applyProtection="1">
      <alignment horizontal="center" vertical="center" wrapText="1"/>
    </xf>
    <xf numFmtId="2" fontId="20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vertical="center"/>
    </xf>
    <xf numFmtId="168" fontId="4" fillId="2" borderId="3" xfId="1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164" fontId="4" fillId="2" borderId="3" xfId="0" applyNumberFormat="1" applyFont="1" applyFill="1" applyBorder="1" applyAlignment="1" applyProtection="1">
      <alignment horizontal="center" vertical="center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Alignment="1" applyProtection="1">
      <alignment horizontal="center"/>
    </xf>
    <xf numFmtId="2" fontId="1" fillId="2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/>
    <xf numFmtId="165" fontId="4" fillId="2" borderId="0" xfId="0" applyNumberFormat="1" applyFont="1" applyFill="1" applyBorder="1" applyAlignment="1" applyProtection="1">
      <protection locked="0"/>
    </xf>
    <xf numFmtId="0" fontId="4" fillId="2" borderId="5" xfId="0" applyFont="1" applyFill="1" applyBorder="1" applyAlignment="1" applyProtection="1">
      <alignment horizontal="left"/>
    </xf>
    <xf numFmtId="0" fontId="4" fillId="2" borderId="3" xfId="0" applyFont="1" applyFill="1" applyBorder="1" applyAlignment="1" applyProtection="1">
      <alignment horizontal="left" vertical="center"/>
    </xf>
    <xf numFmtId="0" fontId="21" fillId="2" borderId="0" xfId="0" applyFon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 applyProtection="1">
      <alignment horizontal="center"/>
    </xf>
    <xf numFmtId="165" fontId="21" fillId="2" borderId="0" xfId="0" applyNumberFormat="1" applyFont="1" applyFill="1" applyBorder="1" applyAlignment="1" applyProtection="1"/>
    <xf numFmtId="164" fontId="21" fillId="2" borderId="0" xfId="0" applyNumberFormat="1" applyFont="1" applyFill="1" applyAlignment="1">
      <alignment horizontal="center"/>
    </xf>
    <xf numFmtId="2" fontId="21" fillId="2" borderId="0" xfId="0" applyNumberFormat="1" applyFont="1" applyFill="1" applyAlignment="1">
      <alignment horizontal="center"/>
    </xf>
    <xf numFmtId="0" fontId="21" fillId="2" borderId="0" xfId="0" applyFont="1" applyFill="1" applyAlignment="1" applyProtection="1">
      <alignment horizontal="center" wrapText="1"/>
    </xf>
    <xf numFmtId="164" fontId="21" fillId="2" borderId="0" xfId="0" applyNumberFormat="1" applyFont="1" applyFill="1"/>
    <xf numFmtId="2" fontId="21" fillId="2" borderId="0" xfId="0" applyNumberFormat="1" applyFont="1" applyFill="1"/>
    <xf numFmtId="2" fontId="19" fillId="3" borderId="3" xfId="0" applyNumberFormat="1" applyFont="1" applyFill="1" applyBorder="1" applyAlignment="1" applyProtection="1">
      <alignment horizontal="center" vertical="center"/>
      <protection locked="0"/>
    </xf>
    <xf numFmtId="2" fontId="19" fillId="3" borderId="7" xfId="0" applyNumberFormat="1" applyFont="1" applyFill="1" applyBorder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 wrapText="1"/>
      <protection locked="0"/>
    </xf>
    <xf numFmtId="2" fontId="1" fillId="2" borderId="0" xfId="0" applyNumberFormat="1" applyFont="1" applyFill="1" applyAlignment="1" applyProtection="1">
      <alignment horizontal="center"/>
      <protection locked="0"/>
    </xf>
    <xf numFmtId="164" fontId="5" fillId="2" borderId="3" xfId="1" applyNumberFormat="1" applyFont="1" applyFill="1" applyBorder="1" applyAlignment="1" applyProtection="1">
      <alignment horizontal="center" vertical="center" wrapText="1"/>
    </xf>
    <xf numFmtId="164" fontId="17" fillId="2" borderId="0" xfId="0" applyNumberFormat="1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3" xfId="0" applyFont="1" applyFill="1" applyBorder="1" applyAlignment="1" applyProtection="1">
      <alignment horizontal="center" vertical="center" wrapText="1"/>
    </xf>
    <xf numFmtId="0" fontId="1" fillId="5" borderId="0" xfId="0" applyFont="1" applyFill="1" applyAlignment="1" applyProtection="1"/>
    <xf numFmtId="0" fontId="1" fillId="5" borderId="0" xfId="0" applyFont="1" applyFill="1" applyBorder="1" applyAlignment="1" applyProtection="1"/>
    <xf numFmtId="0" fontId="22" fillId="2" borderId="15" xfId="0" applyFont="1" applyFill="1" applyBorder="1" applyAlignment="1" applyProtection="1">
      <alignment vertical="center"/>
    </xf>
    <xf numFmtId="0" fontId="23" fillId="2" borderId="16" xfId="0" applyFont="1" applyFill="1" applyBorder="1" applyAlignment="1" applyProtection="1"/>
    <xf numFmtId="0" fontId="22" fillId="2" borderId="17" xfId="0" applyFont="1" applyFill="1" applyBorder="1" applyAlignment="1" applyProtection="1"/>
    <xf numFmtId="0" fontId="22" fillId="2" borderId="17" xfId="0" applyFont="1" applyFill="1" applyBorder="1" applyAlignment="1" applyProtection="1">
      <alignment horizontal="left"/>
    </xf>
    <xf numFmtId="0" fontId="23" fillId="2" borderId="18" xfId="0" applyFont="1" applyFill="1" applyBorder="1" applyAlignment="1" applyProtection="1"/>
    <xf numFmtId="0" fontId="23" fillId="2" borderId="18" xfId="0" applyFont="1" applyFill="1" applyBorder="1" applyAlignment="1" applyProtection="1">
      <alignment horizontal="left"/>
    </xf>
    <xf numFmtId="0" fontId="23" fillId="6" borderId="19" xfId="0" applyFont="1" applyFill="1" applyBorder="1" applyAlignment="1" applyProtection="1">
      <protection locked="0"/>
    </xf>
    <xf numFmtId="0" fontId="23" fillId="2" borderId="0" xfId="0" applyFont="1" applyFill="1" applyAlignment="1" applyProtection="1"/>
    <xf numFmtId="0" fontId="22" fillId="2" borderId="20" xfId="0" applyFont="1" applyFill="1" applyBorder="1" applyAlignment="1" applyProtection="1"/>
    <xf numFmtId="0" fontId="23" fillId="2" borderId="20" xfId="0" applyFont="1" applyFill="1" applyBorder="1" applyAlignment="1" applyProtection="1"/>
    <xf numFmtId="0" fontId="22" fillId="2" borderId="21" xfId="0" applyFont="1" applyFill="1" applyBorder="1" applyAlignment="1" applyProtection="1"/>
    <xf numFmtId="0" fontId="23" fillId="2" borderId="21" xfId="0" applyFont="1" applyFill="1" applyBorder="1" applyAlignment="1" applyProtection="1"/>
    <xf numFmtId="0" fontId="23" fillId="6" borderId="22" xfId="0" applyFont="1" applyFill="1" applyBorder="1" applyAlignment="1" applyProtection="1">
      <protection locked="0"/>
    </xf>
    <xf numFmtId="0" fontId="23" fillId="2" borderId="18" xfId="0" applyFont="1" applyFill="1" applyBorder="1" applyAlignment="1" applyProtection="1">
      <alignment horizontal="right"/>
    </xf>
    <xf numFmtId="0" fontId="22" fillId="2" borderId="23" xfId="0" applyFont="1" applyFill="1" applyBorder="1" applyAlignment="1" applyProtection="1">
      <alignment vertical="center"/>
    </xf>
    <xf numFmtId="0" fontId="1" fillId="2" borderId="24" xfId="0" applyFont="1" applyFill="1" applyBorder="1" applyAlignment="1" applyProtection="1"/>
    <xf numFmtId="0" fontId="23" fillId="2" borderId="24" xfId="0" applyFont="1" applyFill="1" applyBorder="1" applyAlignment="1" applyProtection="1"/>
    <xf numFmtId="0" fontId="23" fillId="2" borderId="25" xfId="0" applyFont="1" applyFill="1" applyBorder="1" applyAlignment="1" applyProtection="1"/>
    <xf numFmtId="0" fontId="23" fillId="2" borderId="0" xfId="0" applyFont="1" applyFill="1" applyBorder="1" applyAlignment="1" applyProtection="1"/>
    <xf numFmtId="0" fontId="23" fillId="2" borderId="26" xfId="0" applyFont="1" applyFill="1" applyBorder="1" applyAlignment="1" applyProtection="1"/>
    <xf numFmtId="164" fontId="23" fillId="2" borderId="0" xfId="0" applyNumberFormat="1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/>
    <xf numFmtId="0" fontId="23" fillId="2" borderId="28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  <protection locked="0"/>
    </xf>
    <xf numFmtId="0" fontId="2" fillId="2" borderId="0" xfId="0" applyFont="1" applyFill="1" applyBorder="1" applyAlignment="1" applyProtection="1"/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9" fontId="1" fillId="4" borderId="3" xfId="0" applyNumberFormat="1" applyFont="1" applyFill="1" applyBorder="1" applyAlignment="1" applyProtection="1">
      <alignment horizontal="center" vertical="center"/>
    </xf>
    <xf numFmtId="0" fontId="24" fillId="2" borderId="0" xfId="0" applyFont="1" applyFill="1" applyAlignment="1" applyProtection="1"/>
    <xf numFmtId="0" fontId="1" fillId="2" borderId="3" xfId="0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6" fillId="3" borderId="11" xfId="0" applyFont="1" applyFill="1" applyBorder="1" applyAlignment="1" applyProtection="1">
      <alignment horizontal="left"/>
      <protection locked="0"/>
    </xf>
    <xf numFmtId="2" fontId="4" fillId="3" borderId="0" xfId="0" applyNumberFormat="1" applyFont="1" applyFill="1" applyBorder="1" applyAlignment="1" applyProtection="1">
      <alignment horizontal="left"/>
      <protection locked="0"/>
    </xf>
    <xf numFmtId="2" fontId="4" fillId="3" borderId="1" xfId="0" applyNumberFormat="1" applyFont="1" applyFill="1" applyBorder="1" applyAlignment="1" applyProtection="1">
      <alignment horizontal="left"/>
      <protection locked="0"/>
    </xf>
    <xf numFmtId="164" fontId="18" fillId="2" borderId="3" xfId="0" applyNumberFormat="1" applyFont="1" applyFill="1" applyBorder="1" applyAlignment="1" applyProtection="1">
      <alignment horizontal="center" vertical="center"/>
    </xf>
    <xf numFmtId="164" fontId="18" fillId="2" borderId="7" xfId="0" applyNumberFormat="1" applyFont="1" applyFill="1" applyBorder="1" applyAlignment="1" applyProtection="1">
      <alignment horizontal="center" vertical="center"/>
    </xf>
    <xf numFmtId="164" fontId="18" fillId="2" borderId="3" xfId="0" quotePrefix="1" applyNumberFormat="1" applyFont="1" applyFill="1" applyBorder="1" applyAlignment="1" applyProtection="1">
      <alignment horizontal="center" vertical="center"/>
    </xf>
    <xf numFmtId="0" fontId="27" fillId="2" borderId="0" xfId="0" applyFont="1" applyFill="1" applyAlignment="1" applyProtection="1"/>
    <xf numFmtId="164" fontId="4" fillId="2" borderId="3" xfId="0" applyNumberFormat="1" applyFont="1" applyFill="1" applyBorder="1" applyAlignment="1" applyProtection="1">
      <alignment horizontal="center" vertical="center"/>
      <protection locked="0"/>
    </xf>
    <xf numFmtId="2" fontId="4" fillId="2" borderId="13" xfId="0" applyNumberFormat="1" applyFont="1" applyFill="1" applyBorder="1" applyAlignment="1" applyProtection="1">
      <alignment horizontal="left"/>
    </xf>
    <xf numFmtId="2" fontId="4" fillId="2" borderId="9" xfId="0" applyNumberFormat="1" applyFont="1" applyFill="1" applyBorder="1" applyAlignment="1" applyProtection="1">
      <alignment horizontal="left"/>
    </xf>
    <xf numFmtId="168" fontId="4" fillId="2" borderId="9" xfId="1" applyNumberFormat="1" applyFont="1" applyFill="1" applyBorder="1" applyAlignment="1" applyProtection="1">
      <alignment horizontal="center" vertical="center"/>
    </xf>
    <xf numFmtId="2" fontId="4" fillId="2" borderId="11" xfId="0" applyNumberFormat="1" applyFont="1" applyFill="1" applyBorder="1" applyAlignment="1" applyProtection="1">
      <alignment horizontal="center" vertical="center"/>
    </xf>
    <xf numFmtId="2" fontId="4" fillId="2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24" fillId="2" borderId="4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10" xfId="0" applyFont="1" applyFill="1" applyBorder="1" applyAlignment="1" applyProtection="1">
      <alignment horizontal="center" vertical="center" wrapText="1"/>
    </xf>
    <xf numFmtId="0" fontId="24" fillId="2" borderId="11" xfId="0" applyFont="1" applyFill="1" applyBorder="1" applyAlignment="1" applyProtection="1">
      <alignment horizontal="center" vertical="center" wrapText="1"/>
    </xf>
    <xf numFmtId="0" fontId="4" fillId="0" borderId="6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1" fillId="4" borderId="6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7" xfId="0" applyFont="1" applyFill="1" applyBorder="1" applyAlignment="1" applyProtection="1">
      <alignment horizontal="center" vertical="center"/>
    </xf>
    <xf numFmtId="164" fontId="17" fillId="2" borderId="0" xfId="0" applyNumberFormat="1" applyFont="1" applyFill="1" applyBorder="1" applyAlignment="1" applyProtection="1">
      <alignment horizontal="left"/>
    </xf>
    <xf numFmtId="164" fontId="16" fillId="3" borderId="1" xfId="0" applyNumberFormat="1" applyFont="1" applyFill="1" applyBorder="1" applyAlignment="1" applyProtection="1">
      <alignment horizontal="left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3" borderId="1" xfId="0" applyNumberFormat="1" applyFont="1" applyFill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left" vertical="top" wrapText="1"/>
      <protection locked="0"/>
    </xf>
    <xf numFmtId="0" fontId="1" fillId="3" borderId="5" xfId="0" applyFont="1" applyFill="1" applyBorder="1" applyAlignment="1" applyProtection="1">
      <alignment horizontal="left" vertical="top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3" borderId="0" xfId="0" applyFont="1" applyFill="1" applyBorder="1" applyAlignment="1" applyProtection="1">
      <alignment horizontal="left" vertical="top" wrapText="1"/>
      <protection locked="0"/>
    </xf>
    <xf numFmtId="0" fontId="1" fillId="3" borderId="13" xfId="0" applyFont="1" applyFill="1" applyBorder="1" applyAlignment="1" applyProtection="1">
      <alignment horizontal="left" vertical="top" wrapText="1"/>
      <protection locked="0"/>
    </xf>
    <xf numFmtId="0" fontId="1" fillId="3" borderId="10" xfId="0" applyFont="1" applyFill="1" applyBorder="1" applyAlignment="1" applyProtection="1">
      <alignment horizontal="left" vertical="top" wrapText="1"/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1" fillId="3" borderId="11" xfId="0" applyFont="1" applyFill="1" applyBorder="1" applyAlignment="1" applyProtection="1">
      <alignment horizontal="left" vertical="top" wrapText="1"/>
      <protection locked="0"/>
    </xf>
    <xf numFmtId="167" fontId="4" fillId="2" borderId="6" xfId="0" applyNumberFormat="1" applyFont="1" applyFill="1" applyBorder="1" applyAlignment="1" applyProtection="1">
      <alignment horizontal="left" vertical="center" wrapText="1"/>
    </xf>
    <xf numFmtId="167" fontId="4" fillId="2" borderId="2" xfId="0" applyNumberFormat="1" applyFont="1" applyFill="1" applyBorder="1" applyAlignment="1" applyProtection="1">
      <alignment horizontal="left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5" fontId="4" fillId="3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2" borderId="8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 wrapText="1"/>
    </xf>
    <xf numFmtId="0" fontId="4" fillId="2" borderId="14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CC0099"/>
      <color rgb="FFFF6600"/>
      <color rgb="FF006600"/>
      <color rgb="FF663300"/>
      <color rgb="FF0099FF"/>
      <color rgb="FF3366FF"/>
      <color rgb="FF00FFCC"/>
      <color rgb="FF66FFCC"/>
      <color rgb="FF00CC66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Multipunto (ppm)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'Garfica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66E-2"/>
                  <c:y val="-2.66666728881126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1E-433B-A0AF-D52BD413F616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'Garfica MP'!$B$4:$B$8</c:f>
              <c:strCache>
                <c:ptCount val="5"/>
                <c:pt idx="0">
                  <c:v>0,0</c:v>
                </c:pt>
                <c:pt idx="1">
                  <c:v>1,4</c:v>
                </c:pt>
                <c:pt idx="2">
                  <c:v>+</c:v>
                </c:pt>
                <c:pt idx="3">
                  <c:v>+</c:v>
                </c:pt>
                <c:pt idx="4">
                  <c:v>6,3</c:v>
                </c:pt>
              </c:strCache>
            </c:strRef>
          </c:xVal>
          <c:yVal>
            <c:numRef>
              <c:f>'Garfica MP'!$C$4:$C$8</c:f>
              <c:numCache>
                <c:formatCode>0.0</c:formatCode>
                <c:ptCount val="5"/>
                <c:pt idx="0">
                  <c:v>0</c:v>
                </c:pt>
                <c:pt idx="1">
                  <c:v>1.4</c:v>
                </c:pt>
                <c:pt idx="2">
                  <c:v>0</c:v>
                </c:pt>
                <c:pt idx="3">
                  <c:v>0</c:v>
                </c:pt>
                <c:pt idx="4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E-433B-A0AF-D52BD413F616}"/>
            </c:ext>
          </c:extLst>
        </c:ser>
        <c:ser>
          <c:idx val="1"/>
          <c:order val="1"/>
          <c:tx>
            <c:strRef>
              <c:f>'Garfica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1E-433B-A0AF-D52BD413F616}"/>
                </c:ext>
              </c:extLst>
            </c:dLbl>
            <c:dLbl>
              <c:idx val="1"/>
              <c:layout>
                <c:manualLayout>
                  <c:x val="-7.49255002128565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1E-433B-A0AF-D52BD413F616}"/>
                </c:ext>
              </c:extLst>
            </c:dLbl>
            <c:dLbl>
              <c:idx val="2"/>
              <c:layout>
                <c:manualLayout>
                  <c:x val="-6.470838654746702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1E-433B-A0AF-D52BD413F616}"/>
                </c:ext>
              </c:extLst>
            </c:dLbl>
            <c:dLbl>
              <c:idx val="3"/>
              <c:layout>
                <c:manualLayout>
                  <c:x val="-8.8548452516232445E-2"/>
                  <c:y val="1.1851621312714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1E-433B-A0AF-D52BD413F616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5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1E-433B-A0AF-D52BD413F616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510257716049384"/>
                  <c:y val="0.1126489898989899"/>
                </c:manualLayout>
              </c:layout>
              <c:numFmt formatCode="General" sourceLinked="0"/>
            </c:trendlineLbl>
          </c:trendline>
          <c:xVal>
            <c:strRef>
              <c:f>'Garfica MP'!$B$4:$B$8</c:f>
              <c:strCache>
                <c:ptCount val="5"/>
                <c:pt idx="0">
                  <c:v>0,0</c:v>
                </c:pt>
                <c:pt idx="1">
                  <c:v>1,4</c:v>
                </c:pt>
                <c:pt idx="2">
                  <c:v>+</c:v>
                </c:pt>
                <c:pt idx="3">
                  <c:v>+</c:v>
                </c:pt>
                <c:pt idx="4">
                  <c:v>6,3</c:v>
                </c:pt>
              </c:strCache>
            </c:strRef>
          </c:xVal>
          <c:yVal>
            <c:numRef>
              <c:f>'Garfica MP'!$D$4:$D$8</c:f>
              <c:numCache>
                <c:formatCode>General</c:formatCode>
                <c:ptCount val="5"/>
                <c:pt idx="0" formatCode="0.00">
                  <c:v>1E-3</c:v>
                </c:pt>
                <c:pt idx="1">
                  <c:v>1.35</c:v>
                </c:pt>
                <c:pt idx="2">
                  <c:v>0</c:v>
                </c:pt>
                <c:pt idx="3">
                  <c:v>0</c:v>
                </c:pt>
                <c:pt idx="4">
                  <c:v>6.2629999999999999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51E-433B-A0AF-D52BD413F616}"/>
            </c:ext>
          </c:extLst>
        </c:ser>
        <c:ser>
          <c:idx val="2"/>
          <c:order val="2"/>
          <c:tx>
            <c:strRef>
              <c:f>'Garfica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strRef>
              <c:f>'Garfica MP'!$B$4:$B$8</c:f>
              <c:strCache>
                <c:ptCount val="5"/>
                <c:pt idx="0">
                  <c:v>0,0</c:v>
                </c:pt>
                <c:pt idx="1">
                  <c:v>1,4</c:v>
                </c:pt>
                <c:pt idx="2">
                  <c:v>+</c:v>
                </c:pt>
                <c:pt idx="3">
                  <c:v>+</c:v>
                </c:pt>
                <c:pt idx="4">
                  <c:v>6,3</c:v>
                </c:pt>
              </c:strCache>
            </c:strRef>
          </c:xVal>
          <c:yVal>
            <c:numRef>
              <c:f>'Garfica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51E-433B-A0AF-D52BD413F616}"/>
            </c:ext>
          </c:extLst>
        </c:ser>
        <c:ser>
          <c:idx val="3"/>
          <c:order val="3"/>
          <c:tx>
            <c:strRef>
              <c:f>'Garfica MP'!$F$3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strRef>
              <c:f>'Garfica MP'!$B$4:$B$8</c:f>
              <c:strCache>
                <c:ptCount val="5"/>
                <c:pt idx="0">
                  <c:v>0,0</c:v>
                </c:pt>
                <c:pt idx="1">
                  <c:v>1,4</c:v>
                </c:pt>
                <c:pt idx="2">
                  <c:v>+</c:v>
                </c:pt>
                <c:pt idx="3">
                  <c:v>+</c:v>
                </c:pt>
                <c:pt idx="4">
                  <c:v>6,3</c:v>
                </c:pt>
              </c:strCache>
            </c:strRef>
          </c:xVal>
          <c:yVal>
            <c:numRef>
              <c:f>'Garfica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51E-433B-A0AF-D52BD413F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62336"/>
        <c:axId val="81664256"/>
      </c:scatterChart>
      <c:valAx>
        <c:axId val="81662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81664256"/>
        <c:crosses val="autoZero"/>
        <c:crossBetween val="midCat"/>
      </c:valAx>
      <c:valAx>
        <c:axId val="81664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81662336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CO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CO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500447530864214"/>
          <c:y val="0.54614873737373759"/>
          <c:w val="0.13923002919654198"/>
          <c:h val="0.16295693507306738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Zero-Span (ppm)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77E-2"/>
                  <c:y val="-4.58974358974359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FC-4656-98C4-7C74CC344CB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Z-S'!$C$4:$C$5</c:f>
              <c:numCache>
                <c:formatCode>0.0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FC-4656-98C4-7C74CC344CB7}"/>
            </c:ext>
          </c:extLst>
        </c:ser>
        <c:ser>
          <c:idx val="2"/>
          <c:order val="1"/>
          <c:tx>
            <c:strRef>
              <c:f>'Grafica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95E-2"/>
                  <c:y val="-0.11217948717948717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FC-4656-98C4-7C74CC344CB7}"/>
                </c:ext>
              </c:extLst>
            </c:dLbl>
            <c:dLbl>
              <c:idx val="1"/>
              <c:layout>
                <c:manualLayout>
                  <c:x val="-5.5789469830915504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FC-4656-98C4-7C74CC344C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Z-S'!$E$4:$E$5</c:f>
              <c:numCache>
                <c:formatCode>General</c:formatCode>
                <c:ptCount val="2"/>
                <c:pt idx="0" formatCode="0.00">
                  <c:v>-0.45700000000000002</c:v>
                </c:pt>
                <c:pt idx="1">
                  <c:v>6.633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FC-4656-98C4-7C74CC344CB7}"/>
            </c:ext>
          </c:extLst>
        </c:ser>
        <c:ser>
          <c:idx val="1"/>
          <c:order val="2"/>
          <c:tx>
            <c:strRef>
              <c:f>'Grafica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65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FC-4656-98C4-7C74CC344CB7}"/>
                </c:ext>
              </c:extLst>
            </c:dLbl>
            <c:dLbl>
              <c:idx val="1"/>
              <c:layout>
                <c:manualLayout>
                  <c:x val="-0.10467909084586169"/>
                  <c:y val="-5.400287704421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FC-4656-98C4-7C74CC344CB7}"/>
                </c:ext>
              </c:extLst>
            </c:dLbl>
            <c:dLbl>
              <c:idx val="2"/>
              <c:layout>
                <c:manualLayout>
                  <c:x val="-6.470838654746702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FC-4656-98C4-7C74CC344CB7}"/>
                </c:ext>
              </c:extLst>
            </c:dLbl>
            <c:dLbl>
              <c:idx val="3"/>
              <c:layout>
                <c:manualLayout>
                  <c:x val="-8.8548452516232445E-2"/>
                  <c:y val="1.1851621312714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FC-4656-98C4-7C74CC344CB7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5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FC-4656-98C4-7C74CC344CB7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Z-S'!$D$4:$D$5</c:f>
              <c:numCache>
                <c:formatCode>General</c:formatCode>
                <c:ptCount val="2"/>
                <c:pt idx="0" formatCode="0.00">
                  <c:v>1E-3</c:v>
                </c:pt>
                <c:pt idx="1">
                  <c:v>6.2629999999999999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FC-4656-98C4-7C74CC344CB7}"/>
            </c:ext>
          </c:extLst>
        </c:ser>
        <c:ser>
          <c:idx val="3"/>
          <c:order val="3"/>
          <c:tx>
            <c:strRef>
              <c:f>'Grafica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FC-4656-98C4-7C74CC344CB7}"/>
            </c:ext>
          </c:extLst>
        </c:ser>
        <c:ser>
          <c:idx val="4"/>
          <c:order val="4"/>
          <c:tx>
            <c:strRef>
              <c:f>'Grafica Z-S'!$G$3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6.3</c:v>
                </c:pt>
              </c:numCache>
            </c:numRef>
          </c:xVal>
          <c:yVal>
            <c:numRef>
              <c:f>'Grafica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FC-4656-98C4-7C74CC344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57568"/>
        <c:axId val="82159488"/>
      </c:scatterChart>
      <c:valAx>
        <c:axId val="8215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2159488"/>
        <c:crosses val="autoZero"/>
        <c:crossBetween val="midCat"/>
      </c:valAx>
      <c:valAx>
        <c:axId val="82159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8215756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CO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CO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CO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ayout>
        <c:manualLayout>
          <c:xMode val="edge"/>
          <c:yMode val="edge"/>
          <c:x val="0.67113101851851886"/>
          <c:y val="0.51538409090909088"/>
          <c:w val="0.24076433960399307"/>
          <c:h val="0.19251514233797704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CO</a:t>
            </a:r>
            <a:r>
              <a:rPr lang="es-CO" sz="1800" b="1" i="0" baseline="0">
                <a:effectLst/>
              </a:rPr>
              <a:t> Precisión (ppm)</a:t>
            </a:r>
            <a:endParaRPr lang="es-CO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526E-2"/>
          <c:y val="0.12467427813923086"/>
          <c:w val="0.8498034680530836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77E-2"/>
                  <c:y val="-4.58974358974359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FE6-4489-BCA1-FB924CD36D9E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PREC'!$C$4:$C$5</c:f>
              <c:numCache>
                <c:formatCode>0.0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E6-4489-BCA1-FB924CD36D9E}"/>
            </c:ext>
          </c:extLst>
        </c:ser>
        <c:ser>
          <c:idx val="1"/>
          <c:order val="1"/>
          <c:tx>
            <c:strRef>
              <c:f>'Grafica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65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FE6-4489-BCA1-FB924CD36D9E}"/>
                </c:ext>
              </c:extLst>
            </c:dLbl>
            <c:dLbl>
              <c:idx val="1"/>
              <c:layout>
                <c:manualLayout>
                  <c:x val="-0.10467909084586169"/>
                  <c:y val="-5.400287704421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E6-4489-BCA1-FB924CD36D9E}"/>
                </c:ext>
              </c:extLst>
            </c:dLbl>
            <c:dLbl>
              <c:idx val="2"/>
              <c:layout>
                <c:manualLayout>
                  <c:x val="-6.4708386547467023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E6-4489-BCA1-FB924CD36D9E}"/>
                </c:ext>
              </c:extLst>
            </c:dLbl>
            <c:dLbl>
              <c:idx val="3"/>
              <c:layout>
                <c:manualLayout>
                  <c:x val="-8.8548452516232445E-2"/>
                  <c:y val="1.1851621312714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E6-4489-BCA1-FB924CD36D9E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51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E6-4489-BCA1-FB924CD36D9E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PREC'!$D$4:$D$5</c:f>
              <c:numCache>
                <c:formatCode>General</c:formatCode>
                <c:ptCount val="2"/>
                <c:pt idx="0" formatCode="0.00">
                  <c:v>1E-3</c:v>
                </c:pt>
                <c:pt idx="1">
                  <c:v>1.35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FE6-4489-BCA1-FB924CD36D9E}"/>
            </c:ext>
          </c:extLst>
        </c:ser>
        <c:ser>
          <c:idx val="3"/>
          <c:order val="2"/>
          <c:tx>
            <c:strRef>
              <c:f>'Grafica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E6-4489-BCA1-FB924CD36D9E}"/>
            </c:ext>
          </c:extLst>
        </c:ser>
        <c:ser>
          <c:idx val="4"/>
          <c:order val="3"/>
          <c:tx>
            <c:strRef>
              <c:f>'Grafica PREC'!$F$3</c:f>
              <c:strCache>
                <c:ptCount val="1"/>
                <c:pt idx="0">
                  <c:v>2026-06-25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1.4</c:v>
                </c:pt>
              </c:numCache>
            </c:numRef>
          </c:xVal>
          <c:yVal>
            <c:numRef>
              <c:f>'Grafica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E6-4489-BCA1-FB924CD36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11200"/>
        <c:axId val="82213120"/>
      </c:scatterChart>
      <c:valAx>
        <c:axId val="8221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2213120"/>
        <c:crosses val="autoZero"/>
        <c:crossBetween val="midCat"/>
      </c:valAx>
      <c:valAx>
        <c:axId val="8221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82211200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CO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CO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CO"/>
          </a:p>
        </c:txPr>
      </c:legendEntry>
      <c:layout>
        <c:manualLayout>
          <c:xMode val="edge"/>
          <c:yMode val="edge"/>
          <c:x val="0.6723889639318098"/>
          <c:y val="0.44815793458509984"/>
          <c:w val="0.24076433960399307"/>
          <c:h val="0.19251514233797704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342899</xdr:colOff>
      <xdr:row>1</xdr:row>
      <xdr:rowOff>19050</xdr:rowOff>
    </xdr:from>
    <xdr:to>
      <xdr:col>2</xdr:col>
      <xdr:colOff>789997</xdr:colOff>
      <xdr:row>4</xdr:row>
      <xdr:rowOff>238125</xdr:rowOff>
    </xdr:to>
    <xdr:pic>
      <xdr:nvPicPr>
        <xdr:cNvPr id="3" name="Imagen 2" descr="tag-lab-calaire-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38149" y="114300"/>
          <a:ext cx="1656773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114300</xdr:rowOff>
    </xdr:from>
    <xdr:to>
      <xdr:col>8</xdr:col>
      <xdr:colOff>526874</xdr:colOff>
      <xdr:row>25</xdr:row>
      <xdr:rowOff>26175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0</xdr:row>
      <xdr:rowOff>95250</xdr:rowOff>
    </xdr:from>
    <xdr:to>
      <xdr:col>8</xdr:col>
      <xdr:colOff>507824</xdr:colOff>
      <xdr:row>24</xdr:row>
      <xdr:rowOff>7125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85725</xdr:rowOff>
    </xdr:from>
    <xdr:to>
      <xdr:col>8</xdr:col>
      <xdr:colOff>517350</xdr:colOff>
      <xdr:row>23</xdr:row>
      <xdr:rowOff>159525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35"/>
  <sheetViews>
    <sheetView tabSelected="1" topLeftCell="B48" zoomScaleNormal="100" zoomScaleSheetLayoutView="100" workbookViewId="0">
      <selection activeCell="B60" sqref="B60:J62"/>
    </sheetView>
  </sheetViews>
  <sheetFormatPr baseColWidth="10" defaultColWidth="11.453125" defaultRowHeight="12.5" x14ac:dyDescent="0.25"/>
  <cols>
    <col min="1" max="1" width="1.453125" style="2" customWidth="1"/>
    <col min="2" max="2" width="18.1796875" style="2" customWidth="1"/>
    <col min="3" max="3" width="17.1796875" style="2" customWidth="1"/>
    <col min="4" max="5" width="13.54296875" style="2" customWidth="1"/>
    <col min="6" max="6" width="14.453125" style="2" customWidth="1"/>
    <col min="7" max="10" width="13.54296875" style="2" customWidth="1"/>
    <col min="11" max="11" width="1.453125" style="3" customWidth="1"/>
    <col min="12" max="12" width="1" style="2" customWidth="1"/>
    <col min="13" max="16384" width="11.453125" style="2"/>
  </cols>
  <sheetData>
    <row r="1" spans="1:12" ht="7.5" customHeight="1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1"/>
      <c r="L1" s="138"/>
    </row>
    <row r="2" spans="1:12" ht="18.75" customHeight="1" x14ac:dyDescent="0.25">
      <c r="A2" s="30"/>
      <c r="B2" s="217"/>
      <c r="C2" s="217"/>
      <c r="D2" s="218" t="s">
        <v>14</v>
      </c>
      <c r="E2" s="219"/>
      <c r="F2" s="219"/>
      <c r="G2" s="219"/>
      <c r="H2" s="220"/>
      <c r="I2" s="201" t="s">
        <v>144</v>
      </c>
      <c r="J2" s="224"/>
      <c r="K2" s="30"/>
      <c r="L2" s="138"/>
    </row>
    <row r="3" spans="1:12" ht="12.75" customHeight="1" x14ac:dyDescent="0.25">
      <c r="A3" s="30"/>
      <c r="B3" s="217"/>
      <c r="C3" s="217"/>
      <c r="D3" s="221"/>
      <c r="E3" s="222"/>
      <c r="F3" s="222"/>
      <c r="G3" s="222"/>
      <c r="H3" s="223"/>
      <c r="I3" s="225" t="s">
        <v>141</v>
      </c>
      <c r="J3" s="226"/>
      <c r="K3" s="30"/>
      <c r="L3" s="138"/>
    </row>
    <row r="4" spans="1:12" ht="12.75" customHeight="1" x14ac:dyDescent="0.25">
      <c r="A4" s="30"/>
      <c r="B4" s="217"/>
      <c r="C4" s="217"/>
      <c r="D4" s="218" t="s">
        <v>80</v>
      </c>
      <c r="E4" s="219"/>
      <c r="F4" s="219"/>
      <c r="G4" s="219"/>
      <c r="H4" s="220"/>
      <c r="I4" s="227"/>
      <c r="J4" s="228"/>
      <c r="K4" s="30"/>
      <c r="L4" s="138"/>
    </row>
    <row r="5" spans="1:12" ht="19.5" customHeight="1" x14ac:dyDescent="0.25">
      <c r="A5" s="30"/>
      <c r="B5" s="217"/>
      <c r="C5" s="217"/>
      <c r="D5" s="221"/>
      <c r="E5" s="222"/>
      <c r="F5" s="222"/>
      <c r="G5" s="222"/>
      <c r="H5" s="223"/>
      <c r="I5" s="201" t="s">
        <v>13</v>
      </c>
      <c r="J5" s="224"/>
      <c r="K5" s="30"/>
      <c r="L5" s="138"/>
    </row>
    <row r="6" spans="1:12" ht="12.75" customHeight="1" x14ac:dyDescent="0.25">
      <c r="A6" s="30"/>
      <c r="B6" s="32"/>
      <c r="C6" s="32"/>
      <c r="D6" s="33"/>
      <c r="E6" s="33"/>
      <c r="F6" s="33"/>
      <c r="G6" s="33"/>
      <c r="H6" s="33"/>
      <c r="I6" s="34"/>
      <c r="J6" s="34"/>
      <c r="K6" s="30"/>
      <c r="L6" s="138"/>
    </row>
    <row r="7" spans="1:12" ht="15" customHeight="1" x14ac:dyDescent="0.3">
      <c r="A7" s="30"/>
      <c r="B7" s="35" t="s">
        <v>34</v>
      </c>
      <c r="C7" s="36"/>
      <c r="D7" s="36"/>
      <c r="E7" s="36"/>
      <c r="F7" s="36"/>
      <c r="G7" s="36"/>
      <c r="H7" s="33"/>
      <c r="I7" s="33"/>
      <c r="J7" s="33"/>
      <c r="K7" s="30"/>
      <c r="L7" s="138"/>
    </row>
    <row r="8" spans="1:12" ht="15" customHeight="1" x14ac:dyDescent="0.3">
      <c r="A8" s="30"/>
      <c r="B8" s="37" t="s">
        <v>6</v>
      </c>
      <c r="C8" s="11" t="s">
        <v>135</v>
      </c>
      <c r="D8" s="38" t="s">
        <v>15</v>
      </c>
      <c r="E8" s="11" t="s">
        <v>35</v>
      </c>
      <c r="F8" s="39" t="s">
        <v>33</v>
      </c>
      <c r="G8" s="11" t="s">
        <v>148</v>
      </c>
      <c r="H8" s="40"/>
      <c r="I8" s="41"/>
      <c r="J8" s="41"/>
      <c r="K8" s="30"/>
      <c r="L8" s="138"/>
    </row>
    <row r="9" spans="1:12" ht="15" customHeight="1" x14ac:dyDescent="0.3">
      <c r="A9" s="30"/>
      <c r="B9" s="42" t="s">
        <v>56</v>
      </c>
      <c r="C9" s="29">
        <v>0.59930555555555554</v>
      </c>
      <c r="D9" s="31"/>
      <c r="E9" s="43" t="s">
        <v>57</v>
      </c>
      <c r="F9" s="29">
        <v>0.66666666666666663</v>
      </c>
      <c r="G9" s="31"/>
      <c r="H9" s="44"/>
      <c r="I9" s="31"/>
      <c r="J9" s="31"/>
      <c r="K9" s="30"/>
      <c r="L9" s="138"/>
    </row>
    <row r="10" spans="1:12" ht="15" customHeight="1" x14ac:dyDescent="0.3">
      <c r="A10" s="30"/>
      <c r="B10" s="229" t="s">
        <v>16</v>
      </c>
      <c r="C10" s="230"/>
      <c r="D10" s="230"/>
      <c r="E10" s="231">
        <v>46198</v>
      </c>
      <c r="F10" s="231"/>
      <c r="G10" s="45"/>
      <c r="H10" s="46"/>
      <c r="I10" s="47"/>
      <c r="J10" s="47"/>
      <c r="K10" s="30"/>
      <c r="L10" s="138"/>
    </row>
    <row r="11" spans="1:12" ht="11.25" customHeight="1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47"/>
      <c r="K11" s="30"/>
      <c r="L11" s="138"/>
    </row>
    <row r="12" spans="1:12" s="3" customFormat="1" ht="12.75" customHeight="1" x14ac:dyDescent="0.35">
      <c r="A12" s="31"/>
      <c r="B12" s="48" t="s">
        <v>47</v>
      </c>
      <c r="C12" s="49"/>
      <c r="D12" s="49"/>
      <c r="E12" s="49"/>
      <c r="F12" s="49"/>
      <c r="G12" s="49"/>
      <c r="H12" s="49"/>
      <c r="I12" s="49"/>
      <c r="J12" s="50"/>
      <c r="K12" s="51"/>
      <c r="L12" s="139"/>
    </row>
    <row r="13" spans="1:12" s="3" customFormat="1" ht="12.75" customHeight="1" x14ac:dyDescent="0.3">
      <c r="A13" s="31"/>
      <c r="B13" s="48" t="s">
        <v>50</v>
      </c>
      <c r="C13" s="49"/>
      <c r="D13" s="49"/>
      <c r="E13" s="49"/>
      <c r="F13" s="49"/>
      <c r="G13" s="49"/>
      <c r="H13" s="49"/>
      <c r="I13" s="49"/>
      <c r="J13" s="50"/>
      <c r="K13" s="51"/>
      <c r="L13" s="139"/>
    </row>
    <row r="14" spans="1:12" s="3" customFormat="1" ht="11.25" customHeight="1" x14ac:dyDescent="0.3">
      <c r="A14" s="31"/>
      <c r="B14" s="48"/>
      <c r="C14" s="49"/>
      <c r="D14" s="49"/>
      <c r="E14" s="49"/>
      <c r="F14" s="49"/>
      <c r="G14" s="49"/>
      <c r="H14" s="49"/>
      <c r="I14" s="49"/>
      <c r="J14" s="50"/>
      <c r="K14" s="51"/>
      <c r="L14" s="139"/>
    </row>
    <row r="15" spans="1:12" ht="12.75" customHeight="1" x14ac:dyDescent="0.3">
      <c r="A15" s="30"/>
      <c r="B15" s="52" t="s">
        <v>36</v>
      </c>
      <c r="C15" s="36"/>
      <c r="D15" s="36"/>
      <c r="E15" s="36"/>
      <c r="F15" s="36"/>
      <c r="G15" s="36"/>
      <c r="H15" s="53"/>
      <c r="I15" s="53"/>
      <c r="J15" s="31"/>
      <c r="K15" s="30"/>
      <c r="L15" s="138"/>
    </row>
    <row r="16" spans="1:12" ht="15" customHeight="1" x14ac:dyDescent="0.3">
      <c r="A16" s="30"/>
      <c r="B16" s="37" t="s">
        <v>2</v>
      </c>
      <c r="C16" s="117" t="s">
        <v>18</v>
      </c>
      <c r="D16" s="39"/>
      <c r="E16" s="38" t="s">
        <v>3</v>
      </c>
      <c r="F16" s="102" t="s">
        <v>131</v>
      </c>
      <c r="G16" s="38" t="s">
        <v>5</v>
      </c>
      <c r="H16" s="40" t="s">
        <v>77</v>
      </c>
      <c r="I16" s="31"/>
      <c r="J16" s="31"/>
      <c r="K16" s="30"/>
      <c r="L16" s="138"/>
    </row>
    <row r="17" spans="1:21" ht="15" customHeight="1" x14ac:dyDescent="0.3">
      <c r="A17" s="30"/>
      <c r="B17" s="42" t="s">
        <v>20</v>
      </c>
      <c r="C17" s="22">
        <v>0.94299999999999995</v>
      </c>
      <c r="D17" s="31"/>
      <c r="E17" s="43" t="s">
        <v>22</v>
      </c>
      <c r="F17" s="176">
        <v>-1.7999999999999999E-2</v>
      </c>
      <c r="G17" s="43" t="s">
        <v>1</v>
      </c>
      <c r="H17" s="24">
        <v>509</v>
      </c>
      <c r="I17" s="31"/>
      <c r="J17" s="31"/>
      <c r="K17" s="30"/>
      <c r="L17" s="138"/>
    </row>
    <row r="18" spans="1:21" ht="15" customHeight="1" x14ac:dyDescent="0.3">
      <c r="A18" s="30"/>
      <c r="B18" s="55" t="s">
        <v>21</v>
      </c>
      <c r="C18" s="23">
        <v>0.93799999999999994</v>
      </c>
      <c r="D18" s="45"/>
      <c r="E18" s="56" t="s">
        <v>23</v>
      </c>
      <c r="F18" s="177">
        <v>-1.7999999999999999E-2</v>
      </c>
      <c r="G18" s="56" t="s">
        <v>76</v>
      </c>
      <c r="H18" s="175">
        <v>10</v>
      </c>
      <c r="I18" s="31"/>
      <c r="J18" s="31"/>
      <c r="K18" s="30"/>
      <c r="L18" s="138"/>
    </row>
    <row r="19" spans="1:21" ht="11.25" customHeight="1" x14ac:dyDescent="0.3">
      <c r="A19" s="30"/>
      <c r="B19" s="31"/>
      <c r="C19" s="31"/>
      <c r="D19" s="31"/>
      <c r="E19" s="31"/>
      <c r="F19" s="31"/>
      <c r="G19" s="31"/>
      <c r="H19" s="31"/>
      <c r="I19" s="31"/>
      <c r="J19" s="57"/>
      <c r="K19" s="30"/>
      <c r="L19" s="138"/>
    </row>
    <row r="20" spans="1:21" ht="12.75" customHeight="1" x14ac:dyDescent="0.3">
      <c r="A20" s="30"/>
      <c r="B20" s="58" t="s">
        <v>17</v>
      </c>
      <c r="C20" s="58"/>
      <c r="D20" s="58"/>
      <c r="E20" s="58"/>
      <c r="F20" s="58"/>
      <c r="G20" s="58"/>
      <c r="H20" s="57"/>
      <c r="I20" s="57"/>
      <c r="J20" s="30"/>
      <c r="K20" s="30"/>
      <c r="L20" s="138"/>
    </row>
    <row r="21" spans="1:21" ht="15" customHeight="1" x14ac:dyDescent="0.3">
      <c r="A21" s="30"/>
      <c r="B21" s="59" t="s">
        <v>7</v>
      </c>
      <c r="C21" s="60"/>
      <c r="D21" s="60"/>
      <c r="E21" s="39"/>
      <c r="F21" s="60"/>
      <c r="G21" s="54"/>
      <c r="H21" s="59" t="s">
        <v>10</v>
      </c>
      <c r="I21" s="60"/>
      <c r="J21" s="61"/>
      <c r="K21" s="30"/>
      <c r="L21" s="138"/>
    </row>
    <row r="22" spans="1:21" ht="15" customHeight="1" x14ac:dyDescent="0.3">
      <c r="A22" s="30"/>
      <c r="B22" s="135" t="s">
        <v>12</v>
      </c>
      <c r="C22" s="12" t="s">
        <v>18</v>
      </c>
      <c r="D22" s="136" t="s">
        <v>11</v>
      </c>
      <c r="E22" s="13" t="s">
        <v>105</v>
      </c>
      <c r="F22" s="136" t="s">
        <v>1</v>
      </c>
      <c r="G22" s="14">
        <v>554</v>
      </c>
      <c r="H22" s="42" t="s">
        <v>2</v>
      </c>
      <c r="I22" s="15" t="s">
        <v>149</v>
      </c>
      <c r="J22" s="44"/>
      <c r="K22" s="30"/>
      <c r="L22" s="138"/>
    </row>
    <row r="23" spans="1:21" ht="15" customHeight="1" x14ac:dyDescent="0.3">
      <c r="A23" s="30"/>
      <c r="B23" s="59" t="s">
        <v>4</v>
      </c>
      <c r="C23" s="62"/>
      <c r="D23" s="62"/>
      <c r="E23" s="39"/>
      <c r="F23" s="62"/>
      <c r="G23" s="54"/>
      <c r="H23" s="42" t="s">
        <v>1</v>
      </c>
      <c r="I23" s="16" t="s">
        <v>150</v>
      </c>
      <c r="J23" s="63"/>
      <c r="K23" s="30"/>
      <c r="L23" s="138"/>
    </row>
    <row r="24" spans="1:21" ht="15" customHeight="1" x14ac:dyDescent="0.3">
      <c r="A24" s="30"/>
      <c r="B24" s="135" t="s">
        <v>12</v>
      </c>
      <c r="C24" s="12" t="s">
        <v>18</v>
      </c>
      <c r="D24" s="136" t="s">
        <v>3</v>
      </c>
      <c r="E24" s="13" t="s">
        <v>147</v>
      </c>
      <c r="F24" s="136" t="s">
        <v>1</v>
      </c>
      <c r="G24" s="14">
        <v>220</v>
      </c>
      <c r="H24" s="55" t="s">
        <v>107</v>
      </c>
      <c r="I24" s="17">
        <v>44382</v>
      </c>
      <c r="J24" s="98" t="s">
        <v>53</v>
      </c>
      <c r="K24" s="30"/>
      <c r="L24" s="138"/>
    </row>
    <row r="25" spans="1:21" ht="11.25" customHeight="1" x14ac:dyDescent="0.3">
      <c r="A25" s="30"/>
      <c r="B25" s="64"/>
      <c r="C25" s="64"/>
      <c r="D25" s="64"/>
      <c r="E25" s="64"/>
      <c r="F25" s="64"/>
      <c r="G25" s="65"/>
      <c r="H25" s="65"/>
      <c r="I25" s="65"/>
      <c r="J25" s="31"/>
      <c r="K25" s="30"/>
      <c r="L25" s="138"/>
    </row>
    <row r="26" spans="1:21" ht="12.75" customHeight="1" x14ac:dyDescent="0.3">
      <c r="A26" s="30"/>
      <c r="B26" s="65" t="s">
        <v>37</v>
      </c>
      <c r="C26" s="64"/>
      <c r="D26" s="64"/>
      <c r="E26" s="64"/>
      <c r="F26" s="64"/>
      <c r="G26" s="65"/>
      <c r="H26" s="65"/>
      <c r="I26" s="65"/>
      <c r="J26" s="31"/>
      <c r="K26" s="30"/>
      <c r="L26" s="138"/>
    </row>
    <row r="27" spans="1:21" ht="15" customHeight="1" x14ac:dyDescent="0.3">
      <c r="A27" s="30"/>
      <c r="B27" s="66" t="s">
        <v>24</v>
      </c>
      <c r="C27" s="67"/>
      <c r="D27" s="26" t="s">
        <v>126</v>
      </c>
      <c r="E27" s="30"/>
      <c r="F27" s="88"/>
      <c r="G27" s="30"/>
      <c r="H27" s="30"/>
      <c r="I27" s="30"/>
      <c r="J27" s="68"/>
      <c r="K27" s="30"/>
      <c r="L27" s="138"/>
    </row>
    <row r="28" spans="1:21" ht="11.25" customHeight="1" x14ac:dyDescent="0.3">
      <c r="A28" s="30"/>
      <c r="B28" s="31"/>
      <c r="C28" s="31"/>
      <c r="D28" s="69"/>
      <c r="E28" s="30"/>
      <c r="F28" s="188" t="s">
        <v>59</v>
      </c>
      <c r="G28" s="30"/>
      <c r="H28" s="30"/>
      <c r="I28" s="30"/>
      <c r="J28" s="68"/>
      <c r="K28" s="30"/>
      <c r="L28" s="138"/>
    </row>
    <row r="29" spans="1:21" ht="12.75" customHeight="1" x14ac:dyDescent="0.3">
      <c r="A29" s="30"/>
      <c r="B29" s="188" t="s">
        <v>43</v>
      </c>
      <c r="C29" s="31"/>
      <c r="D29" s="69"/>
      <c r="E29" s="30"/>
      <c r="F29" s="70" t="s">
        <v>108</v>
      </c>
      <c r="G29" s="71" t="s">
        <v>140</v>
      </c>
      <c r="H29" s="184">
        <v>0.41</v>
      </c>
      <c r="I29" s="30"/>
      <c r="J29" s="68"/>
      <c r="K29" s="30"/>
      <c r="L29" s="138"/>
      <c r="N29" s="189" t="s">
        <v>110</v>
      </c>
      <c r="O29" s="190"/>
      <c r="P29" s="193" t="s">
        <v>111</v>
      </c>
      <c r="Q29" s="194"/>
      <c r="R29" s="193" t="s">
        <v>112</v>
      </c>
      <c r="S29" s="195"/>
      <c r="T29" s="195"/>
      <c r="U29" s="194"/>
    </row>
    <row r="30" spans="1:21" ht="15" customHeight="1" x14ac:dyDescent="0.3">
      <c r="A30" s="30"/>
      <c r="B30" s="70" t="s">
        <v>38</v>
      </c>
      <c r="C30" s="39"/>
      <c r="D30" s="185">
        <v>2.1000000000000001E-2</v>
      </c>
      <c r="E30" s="30"/>
      <c r="F30" s="72" t="s">
        <v>109</v>
      </c>
      <c r="G30" s="73" t="s">
        <v>140</v>
      </c>
      <c r="H30" s="183">
        <v>0.61</v>
      </c>
      <c r="I30" s="30"/>
      <c r="J30" s="68"/>
      <c r="K30" s="30"/>
      <c r="L30" s="138"/>
      <c r="N30" s="191"/>
      <c r="O30" s="192"/>
      <c r="P30" s="165" t="s">
        <v>113</v>
      </c>
      <c r="Q30" s="166" t="s">
        <v>114</v>
      </c>
      <c r="R30" s="196" t="s">
        <v>69</v>
      </c>
      <c r="S30" s="197"/>
      <c r="T30" s="197"/>
      <c r="U30" s="198"/>
    </row>
    <row r="31" spans="1:21" ht="15" customHeight="1" x14ac:dyDescent="0.3">
      <c r="A31" s="30"/>
      <c r="B31" s="72" t="s">
        <v>25</v>
      </c>
      <c r="C31" s="31"/>
      <c r="D31" s="27">
        <f>H18</f>
        <v>10</v>
      </c>
      <c r="E31" s="30"/>
      <c r="F31" s="72" t="s">
        <v>48</v>
      </c>
      <c r="G31" s="73" t="s">
        <v>140</v>
      </c>
      <c r="H31" s="74">
        <v>10.1</v>
      </c>
      <c r="I31" s="30"/>
      <c r="J31" s="68"/>
      <c r="K31" s="30"/>
      <c r="L31" s="138"/>
      <c r="N31" s="167" t="s">
        <v>115</v>
      </c>
      <c r="O31" s="167" t="s">
        <v>116</v>
      </c>
      <c r="P31" s="168">
        <v>0.8</v>
      </c>
      <c r="Q31" s="169">
        <v>0.2</v>
      </c>
      <c r="R31" s="170">
        <v>0.9</v>
      </c>
      <c r="S31" s="170">
        <v>0.7</v>
      </c>
      <c r="T31" s="170">
        <v>0.4</v>
      </c>
      <c r="U31" s="170">
        <v>0.2</v>
      </c>
    </row>
    <row r="32" spans="1:21" ht="15" customHeight="1" x14ac:dyDescent="0.3">
      <c r="A32" s="30"/>
      <c r="B32" s="75" t="s">
        <v>39</v>
      </c>
      <c r="C32" s="45"/>
      <c r="D32" s="186">
        <f>D31*D30</f>
        <v>0.21000000000000002</v>
      </c>
      <c r="E32" s="181">
        <v>0.25</v>
      </c>
      <c r="F32" s="75" t="s">
        <v>49</v>
      </c>
      <c r="G32" s="76" t="s">
        <v>140</v>
      </c>
      <c r="H32" s="77">
        <v>10.1</v>
      </c>
      <c r="I32" s="30"/>
      <c r="J32" s="68"/>
      <c r="K32" s="30"/>
      <c r="L32" s="138"/>
      <c r="N32" s="167" t="s">
        <v>77</v>
      </c>
      <c r="O32" s="174">
        <f>H18</f>
        <v>10</v>
      </c>
      <c r="P32" s="182">
        <v>6.3</v>
      </c>
      <c r="Q32" s="182">
        <v>1.4</v>
      </c>
      <c r="R32" s="182">
        <f>O32*$R$31</f>
        <v>9</v>
      </c>
      <c r="S32" s="182">
        <f>O32*$S$31</f>
        <v>7</v>
      </c>
      <c r="T32" s="182">
        <f>O32*$T$31</f>
        <v>4</v>
      </c>
      <c r="U32" s="182">
        <f>O32*$U$31</f>
        <v>2</v>
      </c>
    </row>
    <row r="33" spans="1:16" ht="11.25" customHeight="1" x14ac:dyDescent="0.3">
      <c r="A33" s="30"/>
      <c r="B33" s="41"/>
      <c r="C33" s="65"/>
      <c r="D33" s="31"/>
      <c r="E33" s="65"/>
      <c r="F33" s="78"/>
      <c r="G33" s="31"/>
      <c r="H33" s="68"/>
      <c r="I33" s="31"/>
      <c r="J33" s="57"/>
      <c r="K33" s="30"/>
      <c r="L33" s="138"/>
    </row>
    <row r="34" spans="1:16" ht="12.75" customHeight="1" x14ac:dyDescent="0.3">
      <c r="A34" s="30"/>
      <c r="B34" s="65" t="s">
        <v>60</v>
      </c>
      <c r="C34" s="65"/>
      <c r="D34" s="31"/>
      <c r="E34" s="65"/>
      <c r="F34" s="78"/>
      <c r="G34" s="31"/>
      <c r="H34" s="68"/>
      <c r="I34" s="31"/>
      <c r="J34" s="57"/>
      <c r="K34" s="30"/>
      <c r="L34" s="138"/>
    </row>
    <row r="35" spans="1:16" ht="12.75" customHeight="1" x14ac:dyDescent="0.3">
      <c r="A35" s="30"/>
      <c r="B35" s="232"/>
      <c r="C35" s="233"/>
      <c r="D35" s="79">
        <v>1</v>
      </c>
      <c r="E35" s="79">
        <v>2</v>
      </c>
      <c r="F35" s="80">
        <v>7</v>
      </c>
      <c r="G35" s="79">
        <v>6</v>
      </c>
      <c r="H35" s="79">
        <v>5</v>
      </c>
      <c r="I35" s="79">
        <v>4</v>
      </c>
      <c r="J35" s="81">
        <v>3</v>
      </c>
      <c r="K35" s="30"/>
      <c r="L35" s="138"/>
      <c r="N35" s="171" t="s">
        <v>122</v>
      </c>
      <c r="O35" s="30"/>
      <c r="P35" s="30"/>
    </row>
    <row r="36" spans="1:16" ht="45" customHeight="1" x14ac:dyDescent="0.25">
      <c r="A36" s="30"/>
      <c r="B36" s="234" t="s">
        <v>78</v>
      </c>
      <c r="C36" s="82" t="s">
        <v>8</v>
      </c>
      <c r="D36" s="83" t="s">
        <v>30</v>
      </c>
      <c r="E36" s="83" t="s">
        <v>29</v>
      </c>
      <c r="F36" s="103" t="str">
        <f>IF($D$27="MULTIPUNTO","20%          Multipunto",IF($D$27="ZERO/SPAN","+",IF($D$27="PRECISIÓN","20%           Precisión", IF($D$27="AJUSTE PREC","20%           Precisión","???" ))))</f>
        <v>20%           Precisión</v>
      </c>
      <c r="G36" s="103" t="str">
        <f>IF($D$27="MULTIPUNTO","40%          Multipunto",IF($D$27="ZERO/SPAN","+",IF($D$27="PRECISIÓN","+","+")))</f>
        <v>+</v>
      </c>
      <c r="H36" s="103" t="str">
        <f>IF($D$27="MULTIPUNTO","70%          Multipunto",IF($D$27="ZERO/SPAN","+",IF($D$27="PRECISIÓN","+","+")))</f>
        <v>+</v>
      </c>
      <c r="I36" s="103" t="str">
        <f>IF($D$27="MULTIPUNTO","90%      Multipunto      Dejado", IF($D$27="ZERO/SPAN","80%         SPAN        Dejado", IF($D$27="PRECISIÓN","+", IF($D$27="AJUSTE PREC","80%         SPAN        Dejado","???"))))</f>
        <v>80%         SPAN        Dejado</v>
      </c>
      <c r="J36" s="103" t="str">
        <f>IF($D$27="MULTIPUNTO","90%      Multipunto      Encontrado", IF($D$27="ZERO/SPAN","80%         SPAN        Encontrado", IF($D$27="PRECISIÓN","+", IF($D$27="AJUSTE PREC","80%         SPAN        Encontrado","???"))))</f>
        <v>80%         SPAN        Encontrado</v>
      </c>
      <c r="K36" s="30"/>
      <c r="L36" s="138"/>
      <c r="N36" s="137" t="s">
        <v>117</v>
      </c>
      <c r="O36" s="172" t="s">
        <v>118</v>
      </c>
      <c r="P36" s="172" t="s">
        <v>119</v>
      </c>
    </row>
    <row r="37" spans="1:16" ht="26.25" customHeight="1" x14ac:dyDescent="0.3">
      <c r="A37" s="30"/>
      <c r="B37" s="235"/>
      <c r="C37" s="84" t="s">
        <v>9</v>
      </c>
      <c r="D37" s="5">
        <v>0</v>
      </c>
      <c r="E37" s="5">
        <v>0</v>
      </c>
      <c r="F37" s="178">
        <f>IF($D$27="MULTIPUNTO",U32,IF($D$27="ZERO/SPAN","+",IF($D$27="PRECISIÓN",Q32,IF($D$27="AJUSTE PREC",Q32,"+"))))</f>
        <v>1.4</v>
      </c>
      <c r="G37" s="179" t="str">
        <f>IF($D$27="MULTIPUNTO",T32,IF($D$27="ZERO/SPAN","+",IF($D$27="PRECISIÓN","+","+")))</f>
        <v>+</v>
      </c>
      <c r="H37" s="180" t="str">
        <f>IF($D$27="MULTIPUNTO",S32,IF($D$27="ZERO/SPAN","+",IF($D$27="PRECISIÓN","+","+")))</f>
        <v>+</v>
      </c>
      <c r="I37" s="178">
        <f>IF($D$27="MULTIPUNTO",R32,IF($D$27="ZERO/SPAN",P32,IF($D$27="PRECISIÓN","+", IF($D$27="AJUSTE PREC",P32,"+"))))</f>
        <v>6.3</v>
      </c>
      <c r="J37" s="178">
        <f>IF($D$27="MULTIPUNTO",R32,IF($D$27="ZERO/SPAN",P32,IF($D$27="PRECISIÓN","+", IF($D$27="AJUSTE PREC",P32,"+"))))</f>
        <v>6.3</v>
      </c>
      <c r="K37" s="30"/>
      <c r="L37" s="138"/>
      <c r="N37" s="108">
        <f>J37</f>
        <v>6.3</v>
      </c>
      <c r="O37" s="172">
        <f>IFERROR(J37-(J37*($H$31/100)), "+++")</f>
        <v>5.6636999999999995</v>
      </c>
      <c r="P37" s="172">
        <f>IFERROR(J37+(J37*($H$31/100)), "+++")</f>
        <v>6.9363000000000001</v>
      </c>
    </row>
    <row r="38" spans="1:16" ht="26.25" customHeight="1" x14ac:dyDescent="0.25">
      <c r="A38" s="30"/>
      <c r="B38" s="236" t="s">
        <v>72</v>
      </c>
      <c r="C38" s="82" t="s">
        <v>27</v>
      </c>
      <c r="D38" s="101">
        <v>-0.45700000000000002</v>
      </c>
      <c r="E38" s="101">
        <v>1E-3</v>
      </c>
      <c r="F38" s="101">
        <v>1.35</v>
      </c>
      <c r="G38" s="101"/>
      <c r="H38" s="101"/>
      <c r="I38" s="101">
        <v>6.2629999999999999</v>
      </c>
      <c r="J38" s="101">
        <v>6.633</v>
      </c>
      <c r="K38" s="30"/>
      <c r="L38" s="138"/>
      <c r="N38" s="108">
        <f>F37</f>
        <v>1.4</v>
      </c>
      <c r="O38" s="172">
        <f>IFERROR(F37-(F37*($H$32/100)), "+++")</f>
        <v>1.2585999999999999</v>
      </c>
      <c r="P38" s="172">
        <f>IFERROR(F37+(F37*($H$32/100)), "+++")</f>
        <v>1.5413999999999999</v>
      </c>
    </row>
    <row r="39" spans="1:16" ht="26.25" customHeight="1" x14ac:dyDescent="0.25">
      <c r="A39" s="30"/>
      <c r="B39" s="237"/>
      <c r="C39" s="82" t="s">
        <v>26</v>
      </c>
      <c r="D39" s="128">
        <v>1.2999999999999999E-2</v>
      </c>
      <c r="E39" s="128">
        <v>4.0000000000000001E-3</v>
      </c>
      <c r="F39" s="129">
        <v>8.9999999999999993E-3</v>
      </c>
      <c r="G39" s="129"/>
      <c r="H39" s="128"/>
      <c r="I39" s="128">
        <v>8.0000000000000002E-3</v>
      </c>
      <c r="J39" s="128">
        <v>1.4E-2</v>
      </c>
      <c r="K39" s="30"/>
      <c r="L39" s="138"/>
      <c r="N39" s="80" t="s">
        <v>120</v>
      </c>
      <c r="O39" s="173">
        <f>H30*-1</f>
        <v>-0.61</v>
      </c>
      <c r="P39" s="173">
        <f>H30</f>
        <v>0.61</v>
      </c>
    </row>
    <row r="40" spans="1:16" ht="12.75" customHeight="1" x14ac:dyDescent="0.25">
      <c r="A40" s="30"/>
      <c r="B40" s="30"/>
      <c r="C40" s="30"/>
      <c r="K40" s="30"/>
      <c r="L40" s="138"/>
      <c r="N40" s="80" t="s">
        <v>121</v>
      </c>
      <c r="O40" s="173">
        <f>H29*-1</f>
        <v>-0.41</v>
      </c>
      <c r="P40" s="173">
        <f>H29</f>
        <v>0.41</v>
      </c>
    </row>
    <row r="41" spans="1:16" ht="15" customHeight="1" x14ac:dyDescent="0.25">
      <c r="A41" s="30"/>
      <c r="B41" s="85" t="s">
        <v>61</v>
      </c>
      <c r="C41" s="86"/>
      <c r="D41" s="86"/>
      <c r="E41" s="21"/>
      <c r="F41" s="85"/>
      <c r="G41" s="85"/>
      <c r="H41" s="85"/>
      <c r="I41" s="85"/>
      <c r="J41" s="85"/>
      <c r="K41" s="30"/>
      <c r="L41" s="138"/>
    </row>
    <row r="42" spans="1:16" ht="15" customHeight="1" x14ac:dyDescent="0.25">
      <c r="A42" s="30"/>
      <c r="B42" s="87" t="s">
        <v>28</v>
      </c>
      <c r="C42" s="82" t="s">
        <v>42</v>
      </c>
      <c r="D42" s="82" t="s">
        <v>41</v>
      </c>
      <c r="E42" s="87" t="s">
        <v>32</v>
      </c>
      <c r="F42" s="30"/>
      <c r="H42" s="89"/>
      <c r="I42" s="30"/>
      <c r="J42" s="88"/>
      <c r="K42" s="30"/>
      <c r="L42" s="138"/>
    </row>
    <row r="43" spans="1:16" ht="15" customHeight="1" x14ac:dyDescent="0.25">
      <c r="A43" s="30"/>
      <c r="B43" s="20" t="str">
        <f>IF(D27="MULTIPUNTO",CORREL(E38:I38,E37:I37),"---")</f>
        <v>---</v>
      </c>
      <c r="C43" s="25" t="str">
        <f>IF(D27="MULTIPUNTO",SLOPE(E38:I38,E37:I37),"---")</f>
        <v>---</v>
      </c>
      <c r="D43" s="25" t="str">
        <f>IF(D27="MULTIPUNTO",INTERCEPT(E38:I38,E37:I37),"---")</f>
        <v>---</v>
      </c>
      <c r="E43" s="20" t="str">
        <f>IF(D27="MULTIPUNTO",LINEST(E38:I38,E37:I37,0,FALSE),"---")</f>
        <v>---</v>
      </c>
      <c r="F43" s="90"/>
      <c r="G43" s="90"/>
      <c r="H43" s="6"/>
      <c r="I43" s="7"/>
      <c r="J43" s="7"/>
      <c r="K43" s="30"/>
      <c r="L43" s="138"/>
    </row>
    <row r="44" spans="1:16" ht="11.25" customHeight="1" x14ac:dyDescent="0.25">
      <c r="A44" s="30"/>
      <c r="B44" s="19"/>
      <c r="C44" s="19"/>
      <c r="D44" s="19"/>
      <c r="E44" s="19"/>
      <c r="F44" s="90"/>
      <c r="G44" s="90"/>
      <c r="H44" s="6"/>
      <c r="I44" s="7"/>
      <c r="J44" s="7"/>
      <c r="K44" s="30"/>
      <c r="L44" s="138"/>
    </row>
    <row r="45" spans="1:16" ht="15" customHeight="1" x14ac:dyDescent="0.25">
      <c r="A45" s="30"/>
      <c r="B45" s="85" t="s">
        <v>145</v>
      </c>
      <c r="C45" s="19"/>
      <c r="D45" s="19"/>
      <c r="E45" s="19"/>
      <c r="F45" s="90"/>
      <c r="G45" s="90"/>
      <c r="H45" s="6"/>
      <c r="I45" s="30"/>
      <c r="J45" s="30"/>
      <c r="K45" s="30"/>
      <c r="L45" s="138"/>
    </row>
    <row r="46" spans="1:16" ht="15" customHeight="1" x14ac:dyDescent="0.25">
      <c r="A46" s="30"/>
      <c r="B46" s="215" t="s">
        <v>79</v>
      </c>
      <c r="C46" s="216"/>
      <c r="D46" s="133" t="str">
        <f>IF(D27="MULTIPUNTO",F37,"+")</f>
        <v>+</v>
      </c>
      <c r="E46" s="133" t="str">
        <f>IF(D27="MULTIPUNTO",G37,"+")</f>
        <v>+</v>
      </c>
      <c r="F46" s="133" t="str">
        <f>IF(D27="MULTIPUNTO",H37,"+")</f>
        <v>+</v>
      </c>
      <c r="G46" s="133" t="str">
        <f>IF(D27="MULTIPUNTO",I37,"+")</f>
        <v>+</v>
      </c>
      <c r="H46" s="30"/>
      <c r="I46" s="30"/>
      <c r="J46" s="30"/>
      <c r="K46" s="30"/>
      <c r="L46" s="138"/>
    </row>
    <row r="47" spans="1:16" ht="15" customHeight="1" x14ac:dyDescent="0.25">
      <c r="A47" s="30"/>
      <c r="B47" s="201" t="s">
        <v>51</v>
      </c>
      <c r="C47" s="202"/>
      <c r="D47" s="99" t="str">
        <f>IFERROR(($C$43*F37)+$D$43,"---")</f>
        <v>---</v>
      </c>
      <c r="E47" s="99" t="str">
        <f>IFERROR(($C$43*G37)+$D$43,"---")</f>
        <v>---</v>
      </c>
      <c r="F47" s="99" t="str">
        <f>IFERROR(($C$43*H37)+$D$43,"---")</f>
        <v>---</v>
      </c>
      <c r="G47" s="99" t="str">
        <f>IFERROR(($C$43*I37)+$D$43,"---")</f>
        <v>---</v>
      </c>
      <c r="H47" s="30"/>
      <c r="I47" s="30"/>
      <c r="J47" s="30"/>
      <c r="K47" s="30"/>
      <c r="L47" s="138"/>
    </row>
    <row r="48" spans="1:16" ht="15" customHeight="1" x14ac:dyDescent="0.25">
      <c r="A48" s="30"/>
      <c r="B48" s="201" t="s">
        <v>31</v>
      </c>
      <c r="C48" s="202"/>
      <c r="D48" s="100" t="str">
        <f>IFERROR(ABS(F38-D47),"---")</f>
        <v>---</v>
      </c>
      <c r="E48" s="100" t="str">
        <f>IFERROR(ABS(G38-E47),"---")</f>
        <v>---</v>
      </c>
      <c r="F48" s="100" t="str">
        <f>IFERROR(ABS(H38-F47),"---")</f>
        <v>---</v>
      </c>
      <c r="G48" s="100" t="str">
        <f>IFERROR(ABS(I38-G47),"---")</f>
        <v>---</v>
      </c>
      <c r="H48" s="30"/>
      <c r="I48" s="30"/>
      <c r="J48" s="30"/>
      <c r="K48" s="30"/>
      <c r="L48" s="138"/>
    </row>
    <row r="49" spans="1:12" ht="15" customHeight="1" x14ac:dyDescent="0.25">
      <c r="A49" s="30"/>
      <c r="B49" s="201" t="s">
        <v>40</v>
      </c>
      <c r="C49" s="202"/>
      <c r="D49" s="28" t="str">
        <f>IFERROR((F38-D47)/D47,"---")</f>
        <v>---</v>
      </c>
      <c r="E49" s="18" t="str">
        <f>IFERROR((G38-E47)/E47,"---")</f>
        <v>---</v>
      </c>
      <c r="F49" s="18" t="str">
        <f>IFERROR((H38-F47)/F47,"---")</f>
        <v>---</v>
      </c>
      <c r="G49" s="18" t="str">
        <f>IFERROR((I38-G47)/G47,"---")</f>
        <v>---</v>
      </c>
      <c r="H49" s="30"/>
      <c r="I49" s="30"/>
      <c r="J49" s="21"/>
      <c r="K49" s="30"/>
      <c r="L49" s="138"/>
    </row>
    <row r="50" spans="1:12" ht="11.25" customHeight="1" x14ac:dyDescent="0.25">
      <c r="A50" s="30"/>
      <c r="B50" s="86"/>
      <c r="C50" s="4"/>
      <c r="D50" s="91"/>
      <c r="E50" s="31"/>
      <c r="F50" s="92"/>
      <c r="G50" s="92"/>
      <c r="H50" s="8"/>
      <c r="I50" s="9"/>
      <c r="J50" s="9"/>
      <c r="K50" s="30"/>
      <c r="L50" s="138"/>
    </row>
    <row r="51" spans="1:12" ht="15" customHeight="1" x14ac:dyDescent="0.25">
      <c r="A51" s="30"/>
      <c r="B51" s="85" t="s">
        <v>146</v>
      </c>
      <c r="C51" s="7"/>
      <c r="D51" s="10"/>
      <c r="E51" s="31"/>
      <c r="F51" s="92"/>
      <c r="G51" s="92"/>
      <c r="H51" s="8"/>
      <c r="I51" s="9"/>
      <c r="J51" s="9"/>
      <c r="K51" s="30"/>
      <c r="L51" s="138"/>
    </row>
    <row r="52" spans="1:12" ht="15" customHeight="1" x14ac:dyDescent="0.3">
      <c r="A52" s="30"/>
      <c r="B52" s="203" t="s">
        <v>68</v>
      </c>
      <c r="C52" s="204"/>
      <c r="D52" s="109" t="s">
        <v>64</v>
      </c>
      <c r="E52" s="79" t="s">
        <v>65</v>
      </c>
      <c r="F52" s="92"/>
      <c r="G52" s="92"/>
      <c r="H52" s="8"/>
      <c r="I52" s="9"/>
      <c r="J52" s="9"/>
      <c r="K52" s="30"/>
      <c r="L52" s="138"/>
    </row>
    <row r="53" spans="1:12" ht="15" customHeight="1" x14ac:dyDescent="0.25">
      <c r="A53" s="30"/>
      <c r="B53" s="105" t="s">
        <v>46</v>
      </c>
      <c r="C53" s="106">
        <f>IF(D27="ZERO/SPAN",((J38-J37)/J37), IF(D27="AJUSTE PREC",((J38-J37)/J37),"---"))</f>
        <v>5.2857142857142887E-2</v>
      </c>
      <c r="D53" s="108">
        <f>IF(D27="ZERO/SPAN",-H31, IF(D27="AJUSTE PREC",-H31,"---"))</f>
        <v>-10.1</v>
      </c>
      <c r="E53" s="108">
        <f>IF(D27="ZERO/SPAN",H31, IF(D27="AJUSTE PREC",H31,"---"))</f>
        <v>10.1</v>
      </c>
      <c r="F53" s="93"/>
      <c r="G53" s="93"/>
      <c r="H53" s="31"/>
      <c r="I53" s="94"/>
      <c r="J53" s="21"/>
      <c r="K53" s="30"/>
      <c r="L53" s="138"/>
    </row>
    <row r="54" spans="1:12" ht="15" customHeight="1" x14ac:dyDescent="0.25">
      <c r="A54" s="30"/>
      <c r="B54" s="105" t="s">
        <v>45</v>
      </c>
      <c r="C54" s="106">
        <f>IF(D27="ZERO/SPAN",((I38-I37)/I37), IF(D27="AJUSTE PREC",((I38-I37)/I37),"---"))</f>
        <v>-5.8730158730158607E-3</v>
      </c>
      <c r="D54" s="108">
        <f>IF(D27="ZERO/SPAN",-H31, IF(D27="AJUSTE PREC",-H31,"---"))</f>
        <v>-10.1</v>
      </c>
      <c r="E54" s="108">
        <f>IF(D27="ZERO/SPAN",H31, IF(D27="AJUSTE PREC",H31,"---"))</f>
        <v>10.1</v>
      </c>
      <c r="F54" s="21"/>
      <c r="G54" s="21"/>
      <c r="H54" s="31"/>
      <c r="I54" s="94"/>
      <c r="J54" s="21"/>
      <c r="K54" s="30"/>
      <c r="L54" s="138"/>
    </row>
    <row r="55" spans="1:12" ht="15" customHeight="1" x14ac:dyDescent="0.3">
      <c r="A55" s="30"/>
      <c r="B55" s="107" t="s">
        <v>44</v>
      </c>
      <c r="C55" s="106">
        <f>IF(D27="PRECISIÓN",((F38-F37)/F37), IF(D27="AJUSTE PREC",((F38-F37)/F37),"---"))</f>
        <v>-3.5714285714285587E-2</v>
      </c>
      <c r="D55" s="108">
        <f>IF(D27="PRECISIÓN",-H32, IF(D27="AJUSTE PREC",-H32,"---"))</f>
        <v>-10.1</v>
      </c>
      <c r="E55" s="108">
        <f>IF(D27="PRECISIÓN",H32, IF(D27="AJUSTE PREC",H32,"---"))</f>
        <v>10.1</v>
      </c>
      <c r="F55" s="21"/>
      <c r="G55" s="21"/>
      <c r="H55" s="30"/>
      <c r="I55" s="94"/>
      <c r="J55" s="21"/>
      <c r="K55" s="30"/>
      <c r="L55" s="138"/>
    </row>
    <row r="56" spans="1:12" ht="15" customHeight="1" x14ac:dyDescent="0.25">
      <c r="A56" s="30"/>
      <c r="B56" s="118" t="s">
        <v>67</v>
      </c>
      <c r="C56" s="104">
        <f>D38</f>
        <v>-0.45700000000000002</v>
      </c>
      <c r="D56" s="187">
        <f>-H30</f>
        <v>-0.61</v>
      </c>
      <c r="E56" s="187">
        <f>H30</f>
        <v>0.61</v>
      </c>
      <c r="F56" s="1"/>
      <c r="G56" s="1"/>
      <c r="H56" s="1"/>
      <c r="I56" s="1"/>
      <c r="J56" s="1"/>
      <c r="K56" s="30"/>
      <c r="L56" s="138"/>
    </row>
    <row r="57" spans="1:12" ht="15" customHeight="1" x14ac:dyDescent="0.25">
      <c r="A57" s="30"/>
      <c r="B57" s="118" t="s">
        <v>66</v>
      </c>
      <c r="C57" s="104">
        <f>E38</f>
        <v>1E-3</v>
      </c>
      <c r="D57" s="187">
        <f>-H29</f>
        <v>-0.41</v>
      </c>
      <c r="E57" s="187">
        <f>H29</f>
        <v>0.41</v>
      </c>
      <c r="F57" s="31"/>
      <c r="G57" s="31"/>
      <c r="H57" s="31"/>
      <c r="I57" s="31"/>
      <c r="J57" s="31"/>
      <c r="K57" s="30"/>
      <c r="L57" s="138"/>
    </row>
    <row r="58" spans="1:12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138"/>
    </row>
    <row r="59" spans="1:12" ht="13" x14ac:dyDescent="0.3">
      <c r="A59" s="30"/>
      <c r="B59" s="95" t="s">
        <v>0</v>
      </c>
      <c r="C59" s="163"/>
      <c r="D59" s="31"/>
      <c r="E59" s="31"/>
      <c r="F59" s="31"/>
      <c r="G59" s="31"/>
      <c r="H59" s="31"/>
      <c r="I59" s="31"/>
      <c r="J59" s="31"/>
      <c r="K59" s="30"/>
      <c r="L59" s="138"/>
    </row>
    <row r="60" spans="1:12" x14ac:dyDescent="0.25">
      <c r="A60" s="30"/>
      <c r="B60" s="206" t="s">
        <v>152</v>
      </c>
      <c r="C60" s="207"/>
      <c r="D60" s="207"/>
      <c r="E60" s="207"/>
      <c r="F60" s="207"/>
      <c r="G60" s="207"/>
      <c r="H60" s="207"/>
      <c r="I60" s="207"/>
      <c r="J60" s="208"/>
      <c r="K60" s="30"/>
      <c r="L60" s="138"/>
    </row>
    <row r="61" spans="1:12" x14ac:dyDescent="0.25">
      <c r="A61" s="30"/>
      <c r="B61" s="209"/>
      <c r="C61" s="210"/>
      <c r="D61" s="210"/>
      <c r="E61" s="210"/>
      <c r="F61" s="210"/>
      <c r="G61" s="210"/>
      <c r="H61" s="210"/>
      <c r="I61" s="210"/>
      <c r="J61" s="211"/>
      <c r="K61" s="30"/>
      <c r="L61" s="138"/>
    </row>
    <row r="62" spans="1:12" x14ac:dyDescent="0.25">
      <c r="A62" s="30"/>
      <c r="B62" s="212"/>
      <c r="C62" s="213"/>
      <c r="D62" s="213"/>
      <c r="E62" s="213"/>
      <c r="F62" s="213"/>
      <c r="G62" s="213"/>
      <c r="H62" s="213"/>
      <c r="I62" s="213"/>
      <c r="J62" s="214"/>
      <c r="K62" s="30"/>
      <c r="L62" s="138"/>
    </row>
    <row r="63" spans="1:12" x14ac:dyDescent="0.25">
      <c r="A63" s="30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138"/>
    </row>
    <row r="64" spans="1:12" ht="14" x14ac:dyDescent="0.3">
      <c r="A64" s="30"/>
      <c r="B64" s="95" t="s">
        <v>142</v>
      </c>
      <c r="C64" s="164"/>
      <c r="D64" s="205" t="s">
        <v>96</v>
      </c>
      <c r="E64" s="205"/>
      <c r="F64" s="205"/>
      <c r="G64" s="205"/>
      <c r="H64" s="205"/>
      <c r="I64" s="31"/>
      <c r="J64" s="31"/>
      <c r="K64" s="30"/>
      <c r="L64" s="138"/>
    </row>
    <row r="65" spans="1:12" ht="14" x14ac:dyDescent="0.3">
      <c r="A65" s="30"/>
      <c r="B65" s="96"/>
      <c r="C65" s="31"/>
      <c r="D65" s="134"/>
      <c r="E65" s="134"/>
      <c r="F65" s="134"/>
      <c r="G65" s="31"/>
      <c r="H65" s="31"/>
      <c r="I65" s="31"/>
      <c r="J65" s="30"/>
      <c r="K65" s="30"/>
      <c r="L65" s="138"/>
    </row>
    <row r="66" spans="1:12" ht="14" x14ac:dyDescent="0.3">
      <c r="A66" s="30"/>
      <c r="B66" s="95" t="s">
        <v>143</v>
      </c>
      <c r="C66" s="164"/>
      <c r="D66" s="200" t="s">
        <v>63</v>
      </c>
      <c r="E66" s="200"/>
      <c r="F66" s="200"/>
      <c r="G66" s="200"/>
      <c r="H66" s="200"/>
      <c r="I66" s="30"/>
      <c r="J66" s="30"/>
      <c r="K66" s="30"/>
      <c r="L66" s="138"/>
    </row>
    <row r="67" spans="1:12" ht="14" x14ac:dyDescent="0.3">
      <c r="A67" s="30"/>
      <c r="B67" s="96"/>
      <c r="C67" s="30"/>
      <c r="D67" s="199"/>
      <c r="E67" s="199"/>
      <c r="F67" s="199"/>
      <c r="G67" s="31"/>
      <c r="H67" s="30"/>
      <c r="I67" s="31"/>
      <c r="J67" s="30"/>
      <c r="K67" s="30"/>
      <c r="L67" s="138"/>
    </row>
    <row r="68" spans="1:12" ht="7.5" customHeight="1" x14ac:dyDescent="0.25">
      <c r="A68" s="30"/>
      <c r="B68" s="30"/>
      <c r="C68" s="30"/>
      <c r="D68" s="97"/>
      <c r="E68" s="30"/>
      <c r="F68" s="30"/>
      <c r="G68" s="30"/>
      <c r="H68" s="30"/>
      <c r="I68" s="30"/>
      <c r="J68" s="30"/>
      <c r="K68" s="31"/>
      <c r="L68" s="138"/>
    </row>
    <row r="69" spans="1:12" ht="5.25" customHeight="1" x14ac:dyDescent="0.25">
      <c r="A69" s="138"/>
      <c r="B69" s="138"/>
      <c r="C69" s="138"/>
      <c r="D69" s="138"/>
      <c r="E69" s="138"/>
      <c r="F69" s="138"/>
      <c r="G69" s="138"/>
      <c r="H69" s="138"/>
      <c r="I69" s="138"/>
      <c r="J69" s="138"/>
      <c r="K69" s="139"/>
      <c r="L69" s="138"/>
    </row>
    <row r="71" spans="1:12" ht="13" x14ac:dyDescent="0.25">
      <c r="B71" s="140" t="s">
        <v>34</v>
      </c>
      <c r="C71" s="141"/>
      <c r="D71" s="30"/>
      <c r="E71" s="154" t="s">
        <v>123</v>
      </c>
      <c r="F71" s="140"/>
      <c r="G71" s="30"/>
    </row>
    <row r="72" spans="1:12" ht="13" x14ac:dyDescent="0.3">
      <c r="B72" s="142" t="s">
        <v>6</v>
      </c>
      <c r="C72" s="143" t="s">
        <v>15</v>
      </c>
      <c r="D72" s="30"/>
      <c r="E72" s="142" t="s">
        <v>58</v>
      </c>
      <c r="F72" s="147"/>
      <c r="G72" s="30"/>
    </row>
    <row r="73" spans="1:12" x14ac:dyDescent="0.25">
      <c r="B73" s="144" t="s">
        <v>129</v>
      </c>
      <c r="C73" s="145" t="s">
        <v>81</v>
      </c>
      <c r="D73" s="30"/>
      <c r="E73" s="144" t="s">
        <v>124</v>
      </c>
      <c r="F73" s="147"/>
      <c r="G73" s="30"/>
    </row>
    <row r="74" spans="1:12" x14ac:dyDescent="0.25">
      <c r="B74" s="144" t="s">
        <v>84</v>
      </c>
      <c r="C74" s="144" t="s">
        <v>83</v>
      </c>
      <c r="D74" s="30"/>
      <c r="E74" s="144" t="s">
        <v>125</v>
      </c>
      <c r="F74" s="147"/>
      <c r="G74" s="30"/>
    </row>
    <row r="75" spans="1:12" x14ac:dyDescent="0.25">
      <c r="B75" s="144" t="s">
        <v>102</v>
      </c>
      <c r="C75" s="144" t="s">
        <v>35</v>
      </c>
      <c r="D75" s="30"/>
      <c r="E75" s="144" t="s">
        <v>69</v>
      </c>
      <c r="F75" s="147"/>
      <c r="G75" s="30"/>
    </row>
    <row r="76" spans="1:12" x14ac:dyDescent="0.25">
      <c r="B76" s="144" t="s">
        <v>101</v>
      </c>
      <c r="C76" s="144" t="s">
        <v>86</v>
      </c>
      <c r="D76" s="30"/>
      <c r="E76" s="144" t="s">
        <v>126</v>
      </c>
      <c r="F76" s="147"/>
      <c r="G76" s="30"/>
    </row>
    <row r="77" spans="1:12" x14ac:dyDescent="0.25">
      <c r="B77" s="144" t="s">
        <v>101</v>
      </c>
      <c r="C77" s="144" t="s">
        <v>87</v>
      </c>
      <c r="D77" s="30"/>
      <c r="E77" s="30"/>
      <c r="F77" s="30"/>
      <c r="G77" s="30"/>
    </row>
    <row r="78" spans="1:12" x14ac:dyDescent="0.25">
      <c r="B78" s="144" t="s">
        <v>82</v>
      </c>
      <c r="C78" s="144" t="s">
        <v>89</v>
      </c>
      <c r="D78" s="30"/>
      <c r="E78" s="30"/>
      <c r="F78" s="30"/>
      <c r="G78" s="30"/>
    </row>
    <row r="79" spans="1:12" x14ac:dyDescent="0.25">
      <c r="B79" s="144" t="s">
        <v>130</v>
      </c>
      <c r="C79" s="144" t="s">
        <v>91</v>
      </c>
      <c r="D79" s="30"/>
      <c r="E79" s="30"/>
      <c r="F79" s="30"/>
      <c r="G79" s="30"/>
    </row>
    <row r="80" spans="1:12" x14ac:dyDescent="0.25">
      <c r="B80" s="144" t="s">
        <v>98</v>
      </c>
      <c r="C80" s="144" t="s">
        <v>93</v>
      </c>
      <c r="D80" s="30"/>
      <c r="E80" s="30"/>
      <c r="F80" s="30"/>
      <c r="G80" s="30"/>
    </row>
    <row r="81" spans="2:5" x14ac:dyDescent="0.25">
      <c r="B81" s="144" t="s">
        <v>100</v>
      </c>
      <c r="C81" s="144" t="s">
        <v>95</v>
      </c>
      <c r="D81" s="30"/>
      <c r="E81" s="30"/>
    </row>
    <row r="82" spans="2:5" x14ac:dyDescent="0.25">
      <c r="B82" s="144" t="s">
        <v>99</v>
      </c>
      <c r="C82" s="146" t="s">
        <v>96</v>
      </c>
      <c r="D82" s="30"/>
      <c r="E82" s="30"/>
    </row>
    <row r="83" spans="2:5" x14ac:dyDescent="0.25">
      <c r="B83" s="144" t="s">
        <v>97</v>
      </c>
      <c r="C83" s="147"/>
      <c r="D83" s="30"/>
      <c r="E83" s="30"/>
    </row>
    <row r="84" spans="2:5" x14ac:dyDescent="0.25">
      <c r="B84" s="144" t="s">
        <v>90</v>
      </c>
      <c r="C84" s="147"/>
      <c r="D84" s="147"/>
      <c r="E84" s="147"/>
    </row>
    <row r="85" spans="2:5" x14ac:dyDescent="0.25">
      <c r="B85" s="144" t="s">
        <v>128</v>
      </c>
      <c r="C85" s="147"/>
      <c r="D85" s="147"/>
      <c r="E85" s="147"/>
    </row>
    <row r="86" spans="2:5" x14ac:dyDescent="0.25">
      <c r="B86" s="144" t="s">
        <v>88</v>
      </c>
      <c r="C86" s="147"/>
      <c r="D86" s="147"/>
      <c r="E86" s="147"/>
    </row>
    <row r="87" spans="2:5" x14ac:dyDescent="0.25">
      <c r="B87" s="144" t="s">
        <v>127</v>
      </c>
      <c r="C87" s="147"/>
      <c r="D87" s="147"/>
      <c r="E87" s="147"/>
    </row>
    <row r="88" spans="2:5" x14ac:dyDescent="0.25">
      <c r="B88" s="144" t="s">
        <v>52</v>
      </c>
      <c r="C88" s="147"/>
      <c r="D88" s="147"/>
      <c r="E88" s="147"/>
    </row>
    <row r="89" spans="2:5" x14ac:dyDescent="0.25">
      <c r="B89" s="144" t="s">
        <v>94</v>
      </c>
      <c r="C89" s="147"/>
      <c r="D89" s="147"/>
      <c r="E89" s="147"/>
    </row>
    <row r="90" spans="2:5" x14ac:dyDescent="0.25">
      <c r="B90" s="144" t="s">
        <v>92</v>
      </c>
      <c r="C90" s="147"/>
      <c r="D90" s="147"/>
      <c r="E90" s="147"/>
    </row>
    <row r="91" spans="2:5" x14ac:dyDescent="0.25">
      <c r="B91" s="144" t="s">
        <v>85</v>
      </c>
      <c r="C91" s="147"/>
      <c r="D91" s="147"/>
      <c r="E91" s="147"/>
    </row>
    <row r="92" spans="2:5" x14ac:dyDescent="0.25">
      <c r="B92" s="144" t="s">
        <v>133</v>
      </c>
      <c r="C92" s="147"/>
      <c r="D92" s="147"/>
      <c r="E92" s="147"/>
    </row>
    <row r="93" spans="2:5" x14ac:dyDescent="0.25">
      <c r="B93" s="144" t="s">
        <v>135</v>
      </c>
      <c r="C93" s="147"/>
      <c r="D93" s="147"/>
      <c r="E93" s="147"/>
    </row>
    <row r="94" spans="2:5" x14ac:dyDescent="0.25">
      <c r="B94" s="146" t="s">
        <v>96</v>
      </c>
      <c r="C94" s="147"/>
      <c r="D94" s="147"/>
      <c r="E94" s="147"/>
    </row>
    <row r="95" spans="2:5" x14ac:dyDescent="0.25">
      <c r="B95" s="147"/>
      <c r="C95" s="147"/>
      <c r="D95" s="147"/>
      <c r="E95" s="147"/>
    </row>
    <row r="96" spans="2:5" ht="13" x14ac:dyDescent="0.3">
      <c r="B96" s="148" t="s">
        <v>103</v>
      </c>
      <c r="C96" s="149"/>
      <c r="D96" s="147"/>
      <c r="E96" s="147"/>
    </row>
    <row r="97" spans="2:6" ht="13" x14ac:dyDescent="0.3">
      <c r="B97" s="150" t="s">
        <v>2</v>
      </c>
      <c r="C97" s="142" t="s">
        <v>3</v>
      </c>
      <c r="D97" s="147"/>
      <c r="E97" s="147"/>
    </row>
    <row r="98" spans="2:6" x14ac:dyDescent="0.25">
      <c r="B98" s="151" t="s">
        <v>18</v>
      </c>
      <c r="C98" s="144" t="s">
        <v>131</v>
      </c>
      <c r="D98" s="147"/>
      <c r="E98" s="147"/>
    </row>
    <row r="99" spans="2:6" x14ac:dyDescent="0.25">
      <c r="B99" s="151" t="s">
        <v>104</v>
      </c>
      <c r="C99" s="144" t="s">
        <v>132</v>
      </c>
      <c r="D99" s="147"/>
      <c r="E99" s="147"/>
    </row>
    <row r="100" spans="2:6" x14ac:dyDescent="0.25">
      <c r="B100" s="151" t="s">
        <v>134</v>
      </c>
      <c r="C100" s="153" t="s">
        <v>19</v>
      </c>
      <c r="D100" s="147"/>
      <c r="E100" s="147"/>
    </row>
    <row r="101" spans="2:6" x14ac:dyDescent="0.25">
      <c r="B101" s="152" t="s">
        <v>96</v>
      </c>
      <c r="C101" s="153">
        <v>700</v>
      </c>
      <c r="D101" s="147"/>
      <c r="E101" s="147"/>
    </row>
    <row r="102" spans="2:6" x14ac:dyDescent="0.25">
      <c r="B102" s="147"/>
      <c r="C102" s="153">
        <v>702</v>
      </c>
      <c r="D102" s="147"/>
      <c r="E102" s="147"/>
    </row>
    <row r="103" spans="2:6" x14ac:dyDescent="0.25">
      <c r="B103" s="147"/>
      <c r="C103" s="153" t="s">
        <v>105</v>
      </c>
      <c r="D103" s="147"/>
      <c r="E103" s="147"/>
    </row>
    <row r="104" spans="2:6" x14ac:dyDescent="0.25">
      <c r="B104" s="147"/>
      <c r="C104" s="153">
        <v>143</v>
      </c>
      <c r="D104" s="147"/>
      <c r="E104" s="147"/>
    </row>
    <row r="105" spans="2:6" x14ac:dyDescent="0.25">
      <c r="B105" s="147"/>
      <c r="C105" s="145">
        <v>701</v>
      </c>
      <c r="D105" s="147"/>
      <c r="E105" s="147"/>
    </row>
    <row r="106" spans="2:6" x14ac:dyDescent="0.25">
      <c r="B106" s="147"/>
      <c r="C106" s="145">
        <v>111</v>
      </c>
      <c r="D106" s="147"/>
      <c r="E106" s="147"/>
    </row>
    <row r="107" spans="2:6" x14ac:dyDescent="0.25">
      <c r="B107" s="147"/>
      <c r="C107" s="145">
        <v>737</v>
      </c>
      <c r="D107" s="147"/>
      <c r="E107" s="147"/>
    </row>
    <row r="108" spans="2:6" x14ac:dyDescent="0.25">
      <c r="B108" s="147"/>
      <c r="C108" s="145" t="s">
        <v>147</v>
      </c>
      <c r="D108" s="147"/>
      <c r="E108" s="147"/>
    </row>
    <row r="109" spans="2:6" x14ac:dyDescent="0.25">
      <c r="B109" s="147"/>
      <c r="C109" s="146" t="s">
        <v>96</v>
      </c>
      <c r="D109" s="147"/>
      <c r="E109" s="147"/>
    </row>
    <row r="110" spans="2:6" x14ac:dyDescent="0.25">
      <c r="B110" s="147"/>
      <c r="C110" s="147"/>
      <c r="D110" s="147"/>
      <c r="E110" s="147"/>
      <c r="F110" s="131"/>
    </row>
    <row r="111" spans="2:6" ht="13" x14ac:dyDescent="0.25">
      <c r="B111" s="154" t="s">
        <v>106</v>
      </c>
      <c r="C111" s="155"/>
      <c r="D111" s="156"/>
      <c r="E111" s="157"/>
      <c r="F111" s="132"/>
    </row>
    <row r="112" spans="2:6" x14ac:dyDescent="0.25">
      <c r="B112" s="151" t="s">
        <v>58</v>
      </c>
      <c r="C112" s="158"/>
      <c r="D112" s="158"/>
      <c r="E112" s="159"/>
      <c r="F112" s="130"/>
    </row>
    <row r="113" spans="2:5" x14ac:dyDescent="0.25">
      <c r="B113" s="151" t="s">
        <v>136</v>
      </c>
      <c r="C113" s="160"/>
      <c r="D113" s="158"/>
      <c r="E113" s="159"/>
    </row>
    <row r="114" spans="2:5" x14ac:dyDescent="0.25">
      <c r="B114" s="151" t="s">
        <v>62</v>
      </c>
      <c r="C114" s="158"/>
      <c r="D114" s="158"/>
      <c r="E114" s="159"/>
    </row>
    <row r="115" spans="2:5" x14ac:dyDescent="0.25">
      <c r="B115" s="151" t="s">
        <v>137</v>
      </c>
      <c r="C115" s="158"/>
      <c r="D115" s="158"/>
      <c r="E115" s="159"/>
    </row>
    <row r="116" spans="2:5" x14ac:dyDescent="0.25">
      <c r="B116" s="151" t="s">
        <v>138</v>
      </c>
      <c r="C116" s="158"/>
      <c r="D116" s="158"/>
      <c r="E116" s="159"/>
    </row>
    <row r="117" spans="2:5" x14ac:dyDescent="0.25">
      <c r="B117" s="152" t="s">
        <v>151</v>
      </c>
      <c r="C117" s="158"/>
      <c r="D117" s="158"/>
      <c r="E117" s="159"/>
    </row>
    <row r="118" spans="2:5" x14ac:dyDescent="0.25">
      <c r="B118" s="151" t="s">
        <v>63</v>
      </c>
      <c r="C118" s="158"/>
      <c r="D118" s="158"/>
      <c r="E118" s="159"/>
    </row>
    <row r="119" spans="2:5" x14ac:dyDescent="0.25">
      <c r="B119" s="151" t="s">
        <v>138</v>
      </c>
      <c r="C119" s="158"/>
      <c r="D119" s="158"/>
      <c r="E119" s="159"/>
    </row>
    <row r="120" spans="2:5" x14ac:dyDescent="0.25">
      <c r="B120" s="151" t="s">
        <v>139</v>
      </c>
      <c r="C120" s="158"/>
      <c r="D120" s="158"/>
      <c r="E120" s="159"/>
    </row>
    <row r="121" spans="2:5" x14ac:dyDescent="0.25">
      <c r="B121" s="151" t="s">
        <v>136</v>
      </c>
      <c r="C121" s="158"/>
      <c r="D121" s="158"/>
      <c r="E121" s="159"/>
    </row>
    <row r="122" spans="2:5" x14ac:dyDescent="0.25">
      <c r="B122" s="152" t="s">
        <v>96</v>
      </c>
      <c r="C122" s="161"/>
      <c r="D122" s="161"/>
      <c r="E122" s="162"/>
    </row>
    <row r="133" spans="3:6" x14ac:dyDescent="0.25">
      <c r="C133" s="97"/>
      <c r="D133" s="97"/>
      <c r="E133" s="112"/>
      <c r="F133" s="112"/>
    </row>
    <row r="134" spans="3:6" x14ac:dyDescent="0.25">
      <c r="C134" s="111"/>
      <c r="D134" s="111"/>
      <c r="E134" s="111"/>
      <c r="F134" s="111"/>
    </row>
    <row r="135" spans="3:6" x14ac:dyDescent="0.25">
      <c r="C135" s="110"/>
      <c r="D135" s="110"/>
      <c r="E135" s="110"/>
      <c r="F135" s="110"/>
    </row>
  </sheetData>
  <sheetProtection password="CC4A" sheet="1" selectLockedCells="1"/>
  <sortState ref="B73:B91">
    <sortCondition ref="B91"/>
  </sortState>
  <mergeCells count="24">
    <mergeCell ref="B46:C46"/>
    <mergeCell ref="B2:C5"/>
    <mergeCell ref="D2:H3"/>
    <mergeCell ref="I2:J2"/>
    <mergeCell ref="I3:J4"/>
    <mergeCell ref="D4:H5"/>
    <mergeCell ref="I5:J5"/>
    <mergeCell ref="B10:D10"/>
    <mergeCell ref="E10:F10"/>
    <mergeCell ref="B35:C35"/>
    <mergeCell ref="B36:B37"/>
    <mergeCell ref="B38:B39"/>
    <mergeCell ref="B47:C47"/>
    <mergeCell ref="B48:C48"/>
    <mergeCell ref="B49:C49"/>
    <mergeCell ref="B52:C52"/>
    <mergeCell ref="D64:H64"/>
    <mergeCell ref="B60:J62"/>
    <mergeCell ref="N29:O30"/>
    <mergeCell ref="P29:Q29"/>
    <mergeCell ref="R29:U29"/>
    <mergeCell ref="R30:U30"/>
    <mergeCell ref="D67:F67"/>
    <mergeCell ref="D66:H66"/>
  </mergeCells>
  <dataValidations count="12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I24 E10:F10" xr:uid="{00000000-0002-0000-0000-000002000000}">
      <formula1>40939</formula1>
    </dataValidation>
    <dataValidation type="list" allowBlank="1" showErrorMessage="1" prompt="_x000a_" sqref="D27" xr:uid="{00000000-0002-0000-0000-000003000000}">
      <formula1>$E$72:$E$76</formula1>
    </dataValidation>
    <dataValidation type="list" allowBlank="1" showInputMessage="1" showErrorMessage="1" sqref="F16" xr:uid="{00000000-0002-0000-0000-000004000000}">
      <formula1>$C$98:$C$99</formula1>
    </dataValidation>
    <dataValidation type="list" allowBlank="1" showErrorMessage="1" promptTitle="Selecionar" sqref="C8" xr:uid="{00000000-0002-0000-0000-000005000000}">
      <formula1>$B$73:$B$94</formula1>
    </dataValidation>
    <dataValidation type="list" allowBlank="1" showErrorMessage="1" sqref="E8" xr:uid="{00000000-0002-0000-0000-000006000000}">
      <formula1>$C$73:$C$82</formula1>
    </dataValidation>
    <dataValidation type="list" allowBlank="1" showErrorMessage="1" sqref="C24 C22" xr:uid="{00000000-0002-0000-0000-000007000000}">
      <formula1>$B$98:$B$101</formula1>
    </dataValidation>
    <dataValidation type="list" allowBlank="1" showErrorMessage="1" sqref="E24" xr:uid="{00000000-0002-0000-0000-000008000000}">
      <formula1>$C$105:$C$109</formula1>
    </dataValidation>
    <dataValidation type="list" allowBlank="1" showErrorMessage="1" sqref="E22" xr:uid="{00000000-0002-0000-0000-000009000000}">
      <formula1>$C$100:$C$104</formula1>
    </dataValidation>
    <dataValidation type="list" allowBlank="1" showErrorMessage="1" prompt="_x000a_" sqref="D66:H66" xr:uid="{00000000-0002-0000-0000-00000A000000}">
      <formula1>$B$118:$B$122</formula1>
    </dataValidation>
    <dataValidation type="list" allowBlank="1" showErrorMessage="1" prompt="_x000a_" sqref="D64:H64" xr:uid="{00000000-0002-0000-0000-00000B000000}">
      <formula1>$B$112:$B$117</formula1>
    </dataValidation>
  </dataValidations>
  <pageMargins left="0.82" right="0.59055118110236227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5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34" id="{BF118282-6C9D-4AE5-AE19-58E13EEEA2E4}">
            <x14:iconSet iconSet="3Symbols2" custom="1">
              <x14:cfvo type="percent">
                <xm:f>0</xm:f>
              </x14:cfvo>
              <x14:cfvo type="num">
                <xm:f>0.7</xm:f>
              </x14:cfvo>
              <x14:cfvo type="num" gte="0">
                <xm:f>1.3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C17:C18</xm:sqref>
        </x14:conditionalFormatting>
        <x14:conditionalFormatting xmlns:xm="http://schemas.microsoft.com/office/excel/2006/main">
          <x14:cfRule type="iconSet" priority="33" id="{6D93A18D-C35D-4F00-BDD7-5B3B2AC691A7}">
            <x14:iconSet iconSet="3Symbols2" custom="1">
              <x14:cfvo type="percent">
                <xm:f>0</xm:f>
              </x14:cfvo>
              <x14:cfvo type="num">
                <xm:f>-0.5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F17:F18</xm:sqref>
        </x14:conditionalFormatting>
        <x14:conditionalFormatting xmlns:xm="http://schemas.microsoft.com/office/excel/2006/main">
          <x14:cfRule type="iconSet" priority="32" id="{C10FE621-6346-405E-B03A-0D16E37EBA1B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31" id="{34835625-CCCD-464A-96B5-B255CFC2457A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</xm:sqref>
        </x14:conditionalFormatting>
        <x14:conditionalFormatting xmlns:xm="http://schemas.microsoft.com/office/excel/2006/main">
          <x14:cfRule type="iconSet" priority="30" id="{04812711-72E3-413E-A010-C2286A70134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F39:G39</xm:sqref>
        </x14:conditionalFormatting>
        <x14:conditionalFormatting xmlns:xm="http://schemas.microsoft.com/office/excel/2006/main">
          <x14:cfRule type="iconSet" priority="29" id="{B360CB72-9DFA-4C0E-A2C9-7C994AEC813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H39</xm:sqref>
        </x14:conditionalFormatting>
        <x14:conditionalFormatting xmlns:xm="http://schemas.microsoft.com/office/excel/2006/main">
          <x14:cfRule type="iconSet" priority="26" id="{D214FAD3-FC12-488E-9041-F09175DE8FAD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E39</xm:sqref>
        </x14:conditionalFormatting>
        <x14:conditionalFormatting xmlns:xm="http://schemas.microsoft.com/office/excel/2006/main">
          <x14:cfRule type="iconSet" priority="24" id="{854919EC-CE77-4384-96DE-994AB7D35C7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23" id="{794141FB-C7F2-4673-9278-EF14AEA4224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22" id="{6631F9EA-FB04-43DD-816B-260973A56C2D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21" id="{F1658CC3-19E1-4000-AA01-E47C49CA2BB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20" id="{20E2E4BE-0C73-43CF-A1AA-FF87A1F178E9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19" id="{ADB149F0-71D2-4342-826E-322FD65002B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E38</xm:sqref>
        </x14:conditionalFormatting>
        <x14:conditionalFormatting xmlns:xm="http://schemas.microsoft.com/office/excel/2006/main">
          <x14:cfRule type="iconSet" priority="15" id="{C22805C4-B673-4F05-BFC8-C5D26BA9C48A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 gte="0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14" id="{55A81F86-AA9E-4427-8993-C79541FDF5C0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C57</xm:sqref>
        </x14:conditionalFormatting>
        <x14:conditionalFormatting xmlns:xm="http://schemas.microsoft.com/office/excel/2006/main">
          <x14:cfRule type="iconSet" priority="9" id="{3CD3C9E7-E6FB-4A51-BD4D-3A73789BFB46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5" id="{F70C3980-F1DA-4FF4-8C43-A06B79A9C792}">
            <x14:iconSet iconSet="3Symbols2" custom="1">
              <x14:cfvo type="percent">
                <xm:f>0</xm:f>
              </x14:cfvo>
              <x14:cfvo type="formula">
                <xm:f>$F$37-$D$32</xm:f>
              </x14:cfvo>
              <x14:cfvo type="formula" gte="0">
                <xm:f>$F$37+$D$32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4" id="{64B25055-24B1-470C-B5DE-FC015D4FF03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I39</xm:sqref>
        </x14:conditionalFormatting>
        <x14:conditionalFormatting xmlns:xm="http://schemas.microsoft.com/office/excel/2006/main">
          <x14:cfRule type="iconSet" priority="3" id="{5B206A94-7F62-4D89-ACD5-C1396F74A9CD}">
            <x14:iconSet iconSet="3Symbols2" custom="1">
              <x14:cfvo type="percent">
                <xm:f>0</xm:f>
              </x14:cfvo>
              <x14:cfvo type="formula">
                <xm:f>$I$37-$H$31</xm:f>
              </x14:cfvo>
              <x14:cfvo type="formula" gte="0">
                <xm:f>$I$37+$H$31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2" id="{A8E0A309-8B84-4232-A304-7CB9CA2BED68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J39</xm:sqref>
        </x14:conditionalFormatting>
        <x14:conditionalFormatting xmlns:xm="http://schemas.microsoft.com/office/excel/2006/main">
          <x14:cfRule type="iconSet" priority="1" id="{E5E3D8B6-5089-4264-B761-0089C94F9079}">
            <x14:iconSet iconSet="3Symbols2" custom="1">
              <x14:cfvo type="percent">
                <xm:f>0</xm:f>
              </x14:cfvo>
              <x14:cfvo type="formula">
                <xm:f>$J$37-$H$31</xm:f>
              </x14:cfvo>
              <x14:cfvo type="formula" gte="0">
                <xm:f>$J$37+$H$31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9"/>
  <sheetViews>
    <sheetView zoomScaleNormal="100" workbookViewId="0">
      <selection activeCell="C4" sqref="C4"/>
    </sheetView>
  </sheetViews>
  <sheetFormatPr baseColWidth="10" defaultColWidth="11.453125" defaultRowHeight="12.5" x14ac:dyDescent="0.25"/>
  <cols>
    <col min="1" max="16384" width="11.453125" style="114"/>
  </cols>
  <sheetData>
    <row r="2" spans="2:6" x14ac:dyDescent="0.25">
      <c r="B2" s="119"/>
      <c r="C2" s="119" t="s">
        <v>73</v>
      </c>
      <c r="D2" s="119" t="s">
        <v>74</v>
      </c>
      <c r="E2" s="120"/>
      <c r="F2" s="120"/>
    </row>
    <row r="3" spans="2:6" x14ac:dyDescent="0.25">
      <c r="B3" s="120"/>
      <c r="C3" s="121" t="s">
        <v>55</v>
      </c>
      <c r="D3" s="121" t="s">
        <v>54</v>
      </c>
      <c r="E3" s="120" t="s">
        <v>75</v>
      </c>
      <c r="F3" s="122">
        <f>FORMATO!E10</f>
        <v>46198</v>
      </c>
    </row>
    <row r="4" spans="2:6" x14ac:dyDescent="0.25">
      <c r="B4" s="123">
        <f>C4</f>
        <v>0</v>
      </c>
      <c r="C4" s="123">
        <v>0</v>
      </c>
      <c r="D4" s="124">
        <f>FORMATO!E38</f>
        <v>1E-3</v>
      </c>
      <c r="E4" s="120"/>
      <c r="F4" s="120"/>
    </row>
    <row r="5" spans="2:6" x14ac:dyDescent="0.25">
      <c r="B5" s="123">
        <f>C5</f>
        <v>1.4</v>
      </c>
      <c r="C5" s="123">
        <f>FORMATO!F37</f>
        <v>1.4</v>
      </c>
      <c r="D5" s="119">
        <f>FORMATO!F38</f>
        <v>1.35</v>
      </c>
      <c r="E5" s="120"/>
      <c r="F5" s="120"/>
    </row>
    <row r="6" spans="2:6" x14ac:dyDescent="0.25">
      <c r="B6" s="123" t="str">
        <f>C6</f>
        <v>+</v>
      </c>
      <c r="C6" s="123" t="str">
        <f>FORMATO!G37</f>
        <v>+</v>
      </c>
      <c r="D6" s="119">
        <f>FORMATO!G38</f>
        <v>0</v>
      </c>
      <c r="E6" s="120"/>
      <c r="F6" s="120"/>
    </row>
    <row r="7" spans="2:6" x14ac:dyDescent="0.25">
      <c r="B7" s="123" t="str">
        <f>C7</f>
        <v>+</v>
      </c>
      <c r="C7" s="123" t="str">
        <f>FORMATO!H37</f>
        <v>+</v>
      </c>
      <c r="D7" s="119">
        <f>FORMATO!H38</f>
        <v>0</v>
      </c>
      <c r="E7" s="120"/>
      <c r="F7" s="120"/>
    </row>
    <row r="8" spans="2:6" x14ac:dyDescent="0.25">
      <c r="B8" s="123">
        <f>C8</f>
        <v>6.3</v>
      </c>
      <c r="C8" s="123">
        <f>FORMATO!I37</f>
        <v>6.3</v>
      </c>
      <c r="D8" s="119">
        <f>FORMATO!I38</f>
        <v>6.2629999999999999</v>
      </c>
      <c r="E8" s="120"/>
      <c r="F8" s="120"/>
    </row>
    <row r="9" spans="2:6" x14ac:dyDescent="0.25">
      <c r="B9" s="113"/>
      <c r="C9" s="113"/>
      <c r="D9" s="113"/>
    </row>
  </sheetData>
  <sheetProtection algorithmName="SHA-512" hashValue="ziHCNkJ452LbSGQ5ejLgJSc+RbHBh4OVMOwh2BhYxqb74ilDisg39jZl4vQ9UWTtlCa8lpmLOZZcb5jyzW+c4w==" saltValue="tQUnuLUsHQR0KvInDXEmEA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5"/>
  <sheetViews>
    <sheetView workbookViewId="0">
      <selection activeCell="H3" sqref="H3"/>
    </sheetView>
  </sheetViews>
  <sheetFormatPr baseColWidth="10" defaultColWidth="11.453125" defaultRowHeight="12.5" x14ac:dyDescent="0.25"/>
  <cols>
    <col min="1" max="16384" width="11.453125" style="114"/>
  </cols>
  <sheetData>
    <row r="1" spans="1:8" x14ac:dyDescent="0.25">
      <c r="A1" s="115"/>
    </row>
    <row r="3" spans="1:8" ht="25.5" x14ac:dyDescent="0.3">
      <c r="B3" s="120"/>
      <c r="C3" s="121" t="s">
        <v>55</v>
      </c>
      <c r="D3" s="125" t="s">
        <v>70</v>
      </c>
      <c r="E3" s="125" t="s">
        <v>71</v>
      </c>
      <c r="F3" s="120" t="s">
        <v>75</v>
      </c>
      <c r="G3" s="122">
        <f>FORMATO!E10</f>
        <v>46198</v>
      </c>
      <c r="H3" s="116"/>
    </row>
    <row r="4" spans="1:8" x14ac:dyDescent="0.25">
      <c r="B4" s="120">
        <f>C4</f>
        <v>0</v>
      </c>
      <c r="C4" s="126">
        <f>FORMATO!E37</f>
        <v>0</v>
      </c>
      <c r="D4" s="127">
        <f>FORMATO!E38</f>
        <v>1E-3</v>
      </c>
      <c r="E4" s="127">
        <f>FORMATO!D38</f>
        <v>-0.45700000000000002</v>
      </c>
      <c r="F4" s="120"/>
      <c r="G4" s="120"/>
    </row>
    <row r="5" spans="1:8" x14ac:dyDescent="0.25">
      <c r="B5" s="120">
        <f>C5</f>
        <v>6.3</v>
      </c>
      <c r="C5" s="126">
        <f>FORMATO!I37</f>
        <v>6.3</v>
      </c>
      <c r="D5" s="120">
        <f>FORMATO!I38</f>
        <v>6.2629999999999999</v>
      </c>
      <c r="E5" s="120">
        <f>FORMATO!J38</f>
        <v>6.633</v>
      </c>
      <c r="F5" s="120"/>
      <c r="G5" s="120"/>
    </row>
  </sheetData>
  <sheetProtection algorithmName="SHA-512" hashValue="i+7r8b84GIex4HpXDi1zTcEHwialL/vf8Q/PV+XOR20Ge/uqyUclNktnOZ19hNjcwydOsdlPDg9Zw9d6WkQIlQ==" saltValue="YgWV+YzZXhE86RT9v7GGWA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F5"/>
  <sheetViews>
    <sheetView workbookViewId="0">
      <selection activeCell="C4" sqref="C4:C5"/>
    </sheetView>
  </sheetViews>
  <sheetFormatPr baseColWidth="10" defaultColWidth="11.453125" defaultRowHeight="12.5" x14ac:dyDescent="0.25"/>
  <cols>
    <col min="1" max="16384" width="11.453125" style="114"/>
  </cols>
  <sheetData>
    <row r="3" spans="2:6" ht="25" x14ac:dyDescent="0.25">
      <c r="B3" s="120"/>
      <c r="C3" s="121" t="s">
        <v>55</v>
      </c>
      <c r="D3" s="125" t="s">
        <v>70</v>
      </c>
      <c r="E3" s="120" t="s">
        <v>75</v>
      </c>
      <c r="F3" s="122">
        <f>FORMATO!E10</f>
        <v>46198</v>
      </c>
    </row>
    <row r="4" spans="2:6" x14ac:dyDescent="0.25">
      <c r="B4" s="120">
        <f>C4</f>
        <v>0</v>
      </c>
      <c r="C4" s="126">
        <f>FORMATO!E37</f>
        <v>0</v>
      </c>
      <c r="D4" s="127">
        <f>FORMATO!E38</f>
        <v>1E-3</v>
      </c>
      <c r="E4" s="120"/>
      <c r="F4" s="120"/>
    </row>
    <row r="5" spans="2:6" x14ac:dyDescent="0.25">
      <c r="B5" s="120">
        <f>C5</f>
        <v>1.4</v>
      </c>
      <c r="C5" s="126">
        <f>FORMATO!F37</f>
        <v>1.4</v>
      </c>
      <c r="D5" s="120">
        <f>FORMATO!F38</f>
        <v>1.35</v>
      </c>
      <c r="E5" s="120"/>
      <c r="F5" s="120"/>
    </row>
  </sheetData>
  <sheetProtection algorithmName="SHA-512" hashValue="smP2CY0td48D5TdJ9BNlqHutFlWFHTOYafpLxMz5xFuX1y3v3OpTqEWePHUS04uXOXLeM2Mk6hVuGHO4X3w1PQ==" saltValue="DZvGF/wOhmMCCx/8/o/sNg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Garfica MP</vt:lpstr>
      <vt:lpstr>Grafica Z-S</vt:lpstr>
      <vt:lpstr>Grafica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Unalmed</cp:lastModifiedBy>
  <cp:lastPrinted>2014-01-02T17:03:17Z</cp:lastPrinted>
  <dcterms:created xsi:type="dcterms:W3CDTF">2005-04-27T21:21:30Z</dcterms:created>
  <dcterms:modified xsi:type="dcterms:W3CDTF">2026-06-25T21:18:16Z</dcterms:modified>
</cp:coreProperties>
</file>