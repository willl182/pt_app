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nformatica\Desktop\"/>
    </mc:Choice>
  </mc:AlternateContent>
  <xr:revisionPtr revIDLastSave="0" documentId="13_ncr:1_{4D2C7868-C3AA-4315-B1DA-D9500BD3A41B}" xr6:coauthVersionLast="47" xr6:coauthVersionMax="47" xr10:uidLastSave="{00000000-0000-0000-0000-000000000000}"/>
  <workbookProtection workbookAlgorithmName="SHA-512" workbookHashValue="kvo0wHyZp8uJa1Fe0N9+/Hb1lebzVod9SCj6hwRJmjSWlEugSKAgfNqvvBBl/gI7Wm/AAT3omdyhEJMz0jJT7A==" workbookSaltValue="qyXAXP4wdYVs+24+RrjIQg==" workbookSpinCount="100000" lockStructure="1"/>
  <bookViews>
    <workbookView xWindow="-120" yWindow="-120" windowWidth="20730" windowHeight="11040" xr2:uid="{00000000-000D-0000-FFFF-FFFF00000000}"/>
  </bookViews>
  <sheets>
    <sheet name="FORMATO" sheetId="4" r:id="rId1"/>
    <sheet name="Garfica MP" sheetId="6" r:id="rId2"/>
    <sheet name="Grafica Z-S" sheetId="7" r:id="rId3"/>
    <sheet name="Grafica PREC" sheetId="8" r:id="rId4"/>
  </sheets>
  <definedNames>
    <definedName name="_xlnm._FilterDatabase" localSheetId="0" hidden="1">FORMATO!$B$71:$C$92</definedName>
    <definedName name="_xlnm.Print_Area" localSheetId="0">FORMATO!$A$1:$J$67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46" i="4" l="1"/>
  <c r="O53" i="4" l="1"/>
  <c r="P53" i="4"/>
  <c r="Q53" i="4"/>
  <c r="R53" i="4"/>
  <c r="S53" i="4"/>
  <c r="T53" i="4"/>
  <c r="N53" i="4"/>
  <c r="J36" i="4" l="1"/>
  <c r="T43" i="4" l="1"/>
  <c r="I36" i="4"/>
  <c r="S43" i="4" s="1"/>
  <c r="F36" i="4"/>
  <c r="P43" i="4" s="1"/>
  <c r="J39" i="4" l="1"/>
  <c r="I39" i="4"/>
  <c r="H39" i="4"/>
  <c r="G39" i="4"/>
  <c r="F39" i="4"/>
  <c r="E39" i="4"/>
  <c r="D39" i="4"/>
  <c r="T52" i="4"/>
  <c r="J38" i="4" s="1"/>
  <c r="S52" i="4"/>
  <c r="I38" i="4" s="1"/>
  <c r="R52" i="4"/>
  <c r="H38" i="4" s="1"/>
  <c r="Q52" i="4"/>
  <c r="G38" i="4" s="1"/>
  <c r="P52" i="4"/>
  <c r="F38" i="4" s="1"/>
  <c r="O52" i="4"/>
  <c r="E38" i="4" s="1"/>
  <c r="N52" i="4"/>
  <c r="D38" i="4" s="1"/>
  <c r="E55" i="4" l="1"/>
  <c r="D55" i="4"/>
  <c r="E54" i="4"/>
  <c r="E53" i="4"/>
  <c r="D54" i="4"/>
  <c r="D53" i="4"/>
  <c r="C55" i="4"/>
  <c r="C54" i="4"/>
  <c r="C53" i="4"/>
  <c r="P40" i="4"/>
  <c r="O40" i="4"/>
  <c r="P39" i="4"/>
  <c r="O39" i="4"/>
  <c r="P46" i="4" l="1"/>
  <c r="F37" i="4" s="1"/>
  <c r="Q32" i="4"/>
  <c r="Q46" i="4"/>
  <c r="G37" i="4" s="1"/>
  <c r="P32" i="4"/>
  <c r="H37" i="4"/>
  <c r="E57" i="4"/>
  <c r="D57" i="4"/>
  <c r="E56" i="4"/>
  <c r="D56" i="4"/>
  <c r="N38" i="4" l="1"/>
  <c r="P38" i="4"/>
  <c r="O38" i="4"/>
  <c r="T46" i="4"/>
  <c r="J37" i="4" s="1"/>
  <c r="S46" i="4"/>
  <c r="I37" i="4" s="1"/>
  <c r="D5" i="8"/>
  <c r="D4" i="8"/>
  <c r="C5" i="8"/>
  <c r="B5" i="8" s="1"/>
  <c r="C4" i="8"/>
  <c r="B4" i="8" s="1"/>
  <c r="F3" i="8"/>
  <c r="P37" i="4" l="1"/>
  <c r="N37" i="4"/>
  <c r="O37" i="4"/>
  <c r="E5" i="7"/>
  <c r="D5" i="7"/>
  <c r="E4" i="7"/>
  <c r="F3" i="6"/>
  <c r="G3" i="7"/>
  <c r="D4" i="7"/>
  <c r="C5" i="7"/>
  <c r="B5" i="7" s="1"/>
  <c r="C4" i="7"/>
  <c r="B4" i="7" s="1"/>
  <c r="D8" i="6" l="1"/>
  <c r="D7" i="6"/>
  <c r="D6" i="6"/>
  <c r="D5" i="6"/>
  <c r="D4" i="6"/>
  <c r="C8" i="6"/>
  <c r="C7" i="6"/>
  <c r="C6" i="6"/>
  <c r="C5" i="6"/>
  <c r="B8" i="6" l="1"/>
  <c r="B7" i="6"/>
  <c r="B6" i="6"/>
  <c r="B5" i="6"/>
  <c r="B4" i="6"/>
  <c r="C57" i="4"/>
  <c r="C56" i="4"/>
  <c r="F46" i="4"/>
  <c r="E46" i="4"/>
  <c r="H36" i="4"/>
  <c r="R43" i="4" s="1"/>
  <c r="G36" i="4"/>
  <c r="Q43" i="4" s="1"/>
  <c r="D46" i="4" l="1"/>
  <c r="G46" i="4"/>
  <c r="E43" i="4"/>
  <c r="D43" i="4"/>
  <c r="C43" i="4"/>
  <c r="B43" i="4"/>
  <c r="D31" i="4"/>
  <c r="D32" i="4" s="1"/>
  <c r="D47" i="4" l="1"/>
  <c r="E47" i="4"/>
  <c r="F47" i="4"/>
  <c r="G47" i="4"/>
  <c r="D49" i="4" l="1"/>
  <c r="D48" i="4"/>
  <c r="G49" i="4"/>
  <c r="G48" i="4"/>
  <c r="F48" i="4"/>
  <c r="F49" i="4"/>
  <c r="E48" i="4"/>
  <c r="E49" i="4"/>
</calcChain>
</file>

<file path=xl/sharedStrings.xml><?xml version="1.0" encoding="utf-8"?>
<sst xmlns="http://schemas.openxmlformats.org/spreadsheetml/2006/main" count="203" uniqueCount="158">
  <si>
    <t>Observaciones:</t>
  </si>
  <si>
    <t>Serie:</t>
  </si>
  <si>
    <t>Marca:</t>
  </si>
  <si>
    <t>Modelo:</t>
  </si>
  <si>
    <t>Generador Aire Cero</t>
  </si>
  <si>
    <t>Gas:</t>
  </si>
  <si>
    <t>Estación:</t>
  </si>
  <si>
    <t>Calibrador Dinámico</t>
  </si>
  <si>
    <t>Punto de Calibración</t>
  </si>
  <si>
    <t>Concentración de Salida</t>
  </si>
  <si>
    <t xml:space="preserve">Modelo: </t>
  </si>
  <si>
    <t xml:space="preserve">Marca: </t>
  </si>
  <si>
    <t>Pagina 1 de 1</t>
  </si>
  <si>
    <t>LABORATORIO DE CALIDAD DEL AIRE</t>
  </si>
  <si>
    <t>Municipio:</t>
  </si>
  <si>
    <t>Fecha de Calibración y/o Verificación (aaaa-mm-dd):</t>
  </si>
  <si>
    <t>3. PATRONES DE CALIBRACIÓN</t>
  </si>
  <si>
    <t>700E</t>
  </si>
  <si>
    <r>
      <t>Offset inicial</t>
    </r>
    <r>
      <rPr>
        <sz val="10"/>
        <rFont val="Arial"/>
        <family val="2"/>
      </rPr>
      <t>:</t>
    </r>
  </si>
  <si>
    <t>Offset final:</t>
  </si>
  <si>
    <t>Seleccionar el tipo de evaluación:</t>
  </si>
  <si>
    <t>Rango de Analizador:</t>
  </si>
  <si>
    <t>Estabilidad</t>
  </si>
  <si>
    <t>Lectura</t>
  </si>
  <si>
    <t xml:space="preserve">r </t>
  </si>
  <si>
    <t>ZERO
Dejado</t>
  </si>
  <si>
    <t>ZERO
Encontrado</t>
  </si>
  <si>
    <t>Punto de Diferencia</t>
  </si>
  <si>
    <t>Punto de Calibración (ppb)</t>
  </si>
  <si>
    <t>Reg. Lineal</t>
  </si>
  <si>
    <t>Código Servicio:</t>
  </si>
  <si>
    <t>1. INFORMACIÓN DEL SITIO</t>
  </si>
  <si>
    <t>MEDELLÍN</t>
  </si>
  <si>
    <t>2. INFORMACIÓN ANALIZADOR</t>
  </si>
  <si>
    <t xml:space="preserve">4. TIPO DE CALIBRACIÓN: </t>
  </si>
  <si>
    <t>Valor Criterio Aceptación:</t>
  </si>
  <si>
    <t>Valor de Aceptación (punto de diferencia):</t>
  </si>
  <si>
    <t>Porcentaje de Diferencia</t>
  </si>
  <si>
    <t>Intercepto</t>
  </si>
  <si>
    <t>Pendiente</t>
  </si>
  <si>
    <t>5. CRITERIO DE ACEPTACIÓN MULTIPUNTO:</t>
  </si>
  <si>
    <t>Precisión:</t>
  </si>
  <si>
    <t>Span Dejado:</t>
  </si>
  <si>
    <t>Span Encontrado: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</si>
  <si>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</t>
    </r>
    <r>
      <rPr>
        <b/>
        <sz val="9"/>
        <color rgb="FFFF0000"/>
        <rFont val="Arial"/>
        <family val="2"/>
      </rPr>
      <t>X</t>
    </r>
    <r>
      <rPr>
        <sz val="9"/>
        <rFont val="Arial"/>
        <family val="2"/>
      </rPr>
      <t>" en el valor digitado, es un dato fuera del criterio de aceptación; sí  aparece "</t>
    </r>
    <r>
      <rPr>
        <b/>
        <sz val="11"/>
        <color theme="6" tint="-0.499984740745262"/>
        <rFont val="Calibri"/>
        <family val="2"/>
      </rPr>
      <t>√</t>
    </r>
    <r>
      <rPr>
        <sz val="9"/>
        <rFont val="Arial"/>
        <family val="2"/>
      </rPr>
      <t>" el valor esta dentro del criterio de aceptación</t>
    </r>
  </si>
  <si>
    <t>Span (%):</t>
  </si>
  <si>
    <t>Precisión (%):</t>
  </si>
  <si>
    <r>
      <rPr>
        <b/>
        <sz val="9"/>
        <rFont val="Arial"/>
        <family val="2"/>
      </rPr>
      <t>Convención</t>
    </r>
    <r>
      <rPr>
        <sz val="9"/>
        <rFont val="Arial"/>
        <family val="2"/>
      </rPr>
      <t>: Cuando aparece "+" el valor de la celda ingresado no aplica. Cuando aparece "---" el valor de la celda calculado no aplica</t>
    </r>
  </si>
  <si>
    <t>MULTIPUNTO</t>
  </si>
  <si>
    <t>Ajuste a Mejor Concentración</t>
  </si>
  <si>
    <t>MED-PJIC</t>
  </si>
  <si>
    <t>(aaaa-mm-dd)</t>
  </si>
  <si>
    <t>Analizador</t>
  </si>
  <si>
    <t>Patrón</t>
  </si>
  <si>
    <t>Hora de inicio (24h):</t>
  </si>
  <si>
    <t>Hora de finalización (24h):</t>
  </si>
  <si>
    <t>? ? ?</t>
  </si>
  <si>
    <t>Sin Vo. Bo.</t>
  </si>
  <si>
    <t>Rango (ppb):</t>
  </si>
  <si>
    <t>6. CRITERIO DE ZERO/SPAN; PRECISIÓN:</t>
  </si>
  <si>
    <t>7. RESULTADOS</t>
  </si>
  <si>
    <t>8. CÁLCULOS</t>
  </si>
  <si>
    <t>Valores:</t>
  </si>
  <si>
    <t>Mínimo</t>
  </si>
  <si>
    <t>Máximo</t>
  </si>
  <si>
    <t>Zero Encontrado:</t>
  </si>
  <si>
    <t>Zero Dejado:</t>
  </si>
  <si>
    <t>x</t>
  </si>
  <si>
    <t>y</t>
  </si>
  <si>
    <t>Fecha:</t>
  </si>
  <si>
    <r>
      <t>LECTURA ANALIZADOR</t>
    </r>
    <r>
      <rPr>
        <sz val="10"/>
        <rFont val="Arial"/>
        <family val="2"/>
      </rPr>
      <t xml:space="preserve">
</t>
    </r>
    <r>
      <rPr>
        <b/>
        <sz val="10"/>
        <rFont val="Arial"/>
        <family val="2"/>
      </rPr>
      <t>(ppb)</t>
    </r>
  </si>
  <si>
    <t>Analizador Dejado</t>
  </si>
  <si>
    <t>Analizador Encontrado</t>
  </si>
  <si>
    <t>O3</t>
  </si>
  <si>
    <t xml:space="preserve">PATRÓN
O3
(ppb) </t>
  </si>
  <si>
    <t>GIRARDOTA</t>
  </si>
  <si>
    <t>GIR-IECO</t>
  </si>
  <si>
    <t>BELLO</t>
  </si>
  <si>
    <t>BEL-USBV</t>
  </si>
  <si>
    <t>MED-UNNV</t>
  </si>
  <si>
    <t>ITAGUI</t>
  </si>
  <si>
    <t>CALDAS</t>
  </si>
  <si>
    <t>MED-MANT</t>
  </si>
  <si>
    <t>SABANETA</t>
  </si>
  <si>
    <t>MED-EXSA</t>
  </si>
  <si>
    <t>ESTRELLA</t>
  </si>
  <si>
    <t>MED-UNFM</t>
  </si>
  <si>
    <t>BARBOSA</t>
  </si>
  <si>
    <t>MED-UDEM</t>
  </si>
  <si>
    <t>COPACABANA</t>
  </si>
  <si>
    <t>***Editar***</t>
  </si>
  <si>
    <t>ITA-CJUS</t>
  </si>
  <si>
    <t>ITA-CRSV</t>
  </si>
  <si>
    <t>ITA-CONC</t>
  </si>
  <si>
    <t>CAL-PMER</t>
  </si>
  <si>
    <t>CAL-LASA</t>
  </si>
  <si>
    <t>2. y 3.</t>
  </si>
  <si>
    <t>THERMO</t>
  </si>
  <si>
    <t>Nombre del Responsable</t>
  </si>
  <si>
    <t xml:space="preserve">Vencimiento: </t>
  </si>
  <si>
    <t>Fotómetro</t>
  </si>
  <si>
    <t>Zero &lt;24h (ppb):</t>
  </si>
  <si>
    <t>Zero &gt;24h (ppb):</t>
  </si>
  <si>
    <t>Cada 15 días</t>
  </si>
  <si>
    <t>Cada 3 meses</t>
  </si>
  <si>
    <t>SPAN</t>
  </si>
  <si>
    <t>PRECISION</t>
  </si>
  <si>
    <t>Tipo Gas</t>
  </si>
  <si>
    <t>RANGO</t>
  </si>
  <si>
    <t>VALOR
GAS</t>
  </si>
  <si>
    <t>MIN.</t>
  </si>
  <si>
    <t>MAX.</t>
  </si>
  <si>
    <t>Zero Enc</t>
  </si>
  <si>
    <t>Zero Dej</t>
  </si>
  <si>
    <t>VALORE ESPERADOS O3</t>
  </si>
  <si>
    <t>INGRESO DE DATOS</t>
  </si>
  <si>
    <t>=Calibrador</t>
  </si>
  <si>
    <t>=Lectura Analizador</t>
  </si>
  <si>
    <t>=Promedio</t>
  </si>
  <si>
    <t>*Tomar datos cada 5 segundos una vez el analizador estabilice las lecturas</t>
  </si>
  <si>
    <t>ECOTECH</t>
  </si>
  <si>
    <t>8301L</t>
  </si>
  <si>
    <t>49C</t>
  </si>
  <si>
    <t>T700</t>
  </si>
  <si>
    <t>ZERO/SPAN</t>
  </si>
  <si>
    <t>PRECISIÓN</t>
  </si>
  <si>
    <t>MED-MIRA</t>
  </si>
  <si>
    <t>BAR-PDLA</t>
  </si>
  <si>
    <t>MED-LAYE</t>
  </si>
  <si>
    <t>GIR-SOSN</t>
  </si>
  <si>
    <t>EST-METR</t>
  </si>
  <si>
    <t>CALIBRACIÓN Y/O VERIFICACIÓN DE ANALIZADOR DE GAS  AUTOMÁTICO OZONO (O3) E&amp;T</t>
  </si>
  <si>
    <t>AJUSTE PREC</t>
  </si>
  <si>
    <t>4. TIPO DE CALIBRACION</t>
  </si>
  <si>
    <t>Gain inicial:</t>
  </si>
  <si>
    <t>Gain final:</t>
  </si>
  <si>
    <t>=Estabilidad</t>
  </si>
  <si>
    <t>Hugo Santana - Ingeniero Infraestructura</t>
  </si>
  <si>
    <t>Tiberio Benavides H. - Coordinador Servicios Metrología</t>
  </si>
  <si>
    <t xml:space="preserve">&lt; ± </t>
  </si>
  <si>
    <t>Código: F-PSEY-49</t>
  </si>
  <si>
    <t xml:space="preserve">Nombre del Responsable; Rol: </t>
  </si>
  <si>
    <t xml:space="preserve">Vo. Bo.; Rol: </t>
  </si>
  <si>
    <t>10. ACEPTACIÓN ZERO/SPAN - PRECISIÓN</t>
  </si>
  <si>
    <t>9. ACEPTACIÓN MULTIPUNTO</t>
  </si>
  <si>
    <t>Versión: 05</t>
  </si>
  <si>
    <t>Puntos de Calibración</t>
  </si>
  <si>
    <t>Fabián Moreno C. - Coordinador Servicios de Ensayo</t>
  </si>
  <si>
    <t>Fabián Moreno C. - Ingeniero de Aseguramiento de Calidad en Campo</t>
  </si>
  <si>
    <t>AADCO</t>
  </si>
  <si>
    <t>MED-UNNP</t>
  </si>
  <si>
    <t>HORIBA</t>
  </si>
  <si>
    <t>731H</t>
  </si>
  <si>
    <t>TAPI</t>
  </si>
  <si>
    <t>T700U</t>
  </si>
  <si>
    <t>59756-324</t>
  </si>
  <si>
    <t>751H</t>
  </si>
  <si>
    <t>Reparación bomba interna, cambio de rodamiento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</si>
</sst>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000"/>
    <numFmt numFmtId="166" formatCode="yyyy\-mm\-dd;@"/>
    <numFmt numFmtId="167" formatCode="0.000"/>
    <numFmt numFmtId="168" formatCode="0.0000"/>
    <numFmt numFmtId="169" formatCode="h:mm:ss;@"/>
    <numFmt numFmtId="170" formatCode="0.0%"/>
  </numFmts>
  <fonts count="31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11"/>
      <color theme="6" tint="-0.499984740745262"/>
      <name val="Calibri"/>
      <family val="2"/>
    </font>
    <font>
      <b/>
      <sz val="10"/>
      <color rgb="FF660066"/>
      <name val="Arial"/>
      <family val="2"/>
    </font>
    <font>
      <sz val="10"/>
      <color rgb="FF660066"/>
      <name val="Arial"/>
      <family val="2"/>
    </font>
    <font>
      <b/>
      <u/>
      <sz val="10"/>
      <color rgb="FF006600"/>
      <name val="Arial"/>
      <family val="2"/>
    </font>
    <font>
      <b/>
      <sz val="10"/>
      <color rgb="FFC00000"/>
      <name val="Arial"/>
      <family val="2"/>
    </font>
    <font>
      <b/>
      <sz val="10"/>
      <color rgb="FF0070C0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55">
    <xf numFmtId="0" fontId="0" fillId="0" borderId="0" xfId="0"/>
    <xf numFmtId="2" fontId="6" fillId="2" borderId="0" xfId="0" applyNumberFormat="1" applyFont="1" applyFill="1" applyBorder="1" applyAlignment="1" applyProtection="1">
      <alignment horizontal="centerContinuous" vertical="center"/>
    </xf>
    <xf numFmtId="0" fontId="1" fillId="2" borderId="0" xfId="0" applyFont="1" applyFill="1" applyAlignment="1" applyProtection="1">
      <protection locked="0"/>
    </xf>
    <xf numFmtId="0" fontId="1" fillId="2" borderId="0" xfId="0" applyFont="1" applyFill="1" applyBorder="1" applyAlignment="1" applyProtection="1">
      <protection locked="0"/>
    </xf>
    <xf numFmtId="0" fontId="4" fillId="2" borderId="0" xfId="0" applyFont="1" applyFill="1" applyBorder="1" applyAlignment="1" applyProtection="1">
      <alignment horizontal="center" vertical="center" wrapText="1"/>
    </xf>
    <xf numFmtId="164" fontId="1" fillId="2" borderId="0" xfId="0" applyNumberFormat="1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vertical="center"/>
    </xf>
    <xf numFmtId="164" fontId="9" fillId="2" borderId="0" xfId="1" applyNumberFormat="1" applyFont="1" applyFill="1" applyBorder="1" applyAlignment="1" applyProtection="1">
      <alignment vertical="center" wrapText="1"/>
    </xf>
    <xf numFmtId="0" fontId="10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 wrapText="1"/>
    </xf>
    <xf numFmtId="0" fontId="4" fillId="3" borderId="5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protection locked="0"/>
    </xf>
    <xf numFmtId="0" fontId="4" fillId="3" borderId="1" xfId="0" applyFont="1" applyFill="1" applyBorder="1" applyAlignment="1" applyProtection="1">
      <alignment horizontal="left"/>
      <protection locked="0"/>
    </xf>
    <xf numFmtId="0" fontId="4" fillId="3" borderId="11" xfId="0" applyFont="1" applyFill="1" applyBorder="1" applyAlignment="1" applyProtection="1">
      <alignment horizontal="left"/>
      <protection locked="0"/>
    </xf>
    <xf numFmtId="0" fontId="4" fillId="3" borderId="0" xfId="0" applyFont="1" applyFill="1" applyBorder="1" applyAlignment="1" applyProtection="1">
      <alignment horizontal="left"/>
      <protection locked="0"/>
    </xf>
    <xf numFmtId="166" fontId="4" fillId="3" borderId="1" xfId="0" applyNumberFormat="1" applyFont="1" applyFill="1" applyBorder="1" applyAlignment="1" applyProtection="1">
      <alignment horizontal="left"/>
      <protection locked="0"/>
    </xf>
    <xf numFmtId="10" fontId="4" fillId="2" borderId="7" xfId="1" applyNumberFormat="1" applyFont="1" applyFill="1" applyBorder="1" applyAlignment="1" applyProtection="1">
      <alignment horizontal="center" vertical="center" wrapText="1"/>
    </xf>
    <xf numFmtId="168" fontId="4" fillId="2" borderId="0" xfId="0" applyNumberFormat="1" applyFont="1" applyFill="1" applyBorder="1" applyAlignment="1" applyProtection="1">
      <alignment horizontal="center" vertical="center" wrapText="1"/>
    </xf>
    <xf numFmtId="168" fontId="4" fillId="2" borderId="3" xfId="0" applyNumberFormat="1" applyFont="1" applyFill="1" applyBorder="1" applyAlignment="1" applyProtection="1">
      <alignment horizontal="center" vertical="center" wrapText="1"/>
    </xf>
    <xf numFmtId="2" fontId="6" fillId="2" borderId="0" xfId="0" applyNumberFormat="1" applyFont="1" applyFill="1" applyBorder="1" applyAlignment="1" applyProtection="1">
      <alignment horizontal="center" vertical="center"/>
    </xf>
    <xf numFmtId="1" fontId="5" fillId="2" borderId="3" xfId="1" applyNumberFormat="1" applyFont="1" applyFill="1" applyBorder="1" applyAlignment="1" applyProtection="1">
      <alignment horizontal="center" vertical="center" wrapText="1"/>
    </xf>
    <xf numFmtId="167" fontId="4" fillId="3" borderId="0" xfId="0" applyNumberFormat="1" applyFont="1" applyFill="1" applyBorder="1" applyAlignment="1" applyProtection="1">
      <alignment horizontal="left"/>
      <protection locked="0"/>
    </xf>
    <xf numFmtId="167" fontId="4" fillId="3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0" fontId="4" fillId="3" borderId="13" xfId="0" applyFont="1" applyFill="1" applyBorder="1" applyAlignment="1" applyProtection="1">
      <alignment horizontal="left"/>
      <protection locked="0"/>
    </xf>
    <xf numFmtId="168" fontId="4" fillId="2" borderId="6" xfId="0" applyNumberFormat="1" applyFont="1" applyFill="1" applyBorder="1" applyAlignment="1" applyProtection="1">
      <alignment horizontal="center" vertical="center" wrapText="1"/>
    </xf>
    <xf numFmtId="164" fontId="16" fillId="3" borderId="7" xfId="0" applyNumberFormat="1" applyFont="1" applyFill="1" applyBorder="1" applyAlignment="1" applyProtection="1">
      <protection locked="0"/>
    </xf>
    <xf numFmtId="1" fontId="4" fillId="2" borderId="13" xfId="0" applyNumberFormat="1" applyFont="1" applyFill="1" applyBorder="1" applyAlignment="1" applyProtection="1">
      <alignment horizontal="center" vertical="center"/>
    </xf>
    <xf numFmtId="164" fontId="4" fillId="2" borderId="11" xfId="0" applyNumberFormat="1" applyFont="1" applyFill="1" applyBorder="1" applyAlignment="1" applyProtection="1">
      <alignment horizontal="center" vertical="center"/>
    </xf>
    <xf numFmtId="10" fontId="4" fillId="2" borderId="3" xfId="1" applyNumberFormat="1" applyFont="1" applyFill="1" applyBorder="1" applyAlignment="1" applyProtection="1">
      <alignment horizontal="center" vertical="center" wrapText="1"/>
    </xf>
    <xf numFmtId="169" fontId="4" fillId="3" borderId="0" xfId="0" applyNumberFormat="1" applyFont="1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11" fillId="2" borderId="0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/>
    </xf>
    <xf numFmtId="0" fontId="4" fillId="2" borderId="1" xfId="0" applyFont="1" applyFill="1" applyBorder="1" applyAlignment="1" applyProtection="1">
      <alignment wrapText="1"/>
    </xf>
    <xf numFmtId="0" fontId="1" fillId="2" borderId="4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>
      <alignment horizontal="right"/>
    </xf>
    <xf numFmtId="0" fontId="1" fillId="2" borderId="5" xfId="0" applyFont="1" applyFill="1" applyBorder="1" applyAlignment="1" applyProtection="1"/>
    <xf numFmtId="0" fontId="4" fillId="2" borderId="9" xfId="0" applyFont="1" applyFill="1" applyBorder="1" applyAlignment="1" applyProtection="1"/>
    <xf numFmtId="0" fontId="4" fillId="2" borderId="0" xfId="0" applyFont="1" applyFill="1" applyBorder="1" applyAlignment="1" applyProtection="1"/>
    <xf numFmtId="0" fontId="1" fillId="2" borderId="12" xfId="0" applyFont="1" applyFill="1" applyBorder="1" applyAlignment="1" applyProtection="1">
      <alignment horizontal="right"/>
    </xf>
    <xf numFmtId="0" fontId="1" fillId="2" borderId="0" xfId="0" applyFont="1" applyFill="1" applyBorder="1" applyAlignment="1" applyProtection="1">
      <alignment horizontal="right"/>
    </xf>
    <xf numFmtId="0" fontId="1" fillId="2" borderId="13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1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2" fillId="2" borderId="0" xfId="0" applyFont="1" applyFill="1" applyBorder="1" applyAlignment="1" applyProtection="1">
      <alignment horizontal="left"/>
    </xf>
    <xf numFmtId="0" fontId="12" fillId="2" borderId="0" xfId="0" applyFont="1" applyFill="1" applyBorder="1" applyAlignment="1" applyProtection="1">
      <alignment horizontal="centerContinuous" wrapText="1"/>
    </xf>
    <xf numFmtId="0" fontId="4" fillId="2" borderId="0" xfId="0" applyFont="1" applyFill="1" applyBorder="1" applyAlignment="1" applyProtection="1">
      <alignment horizontal="centerContinuous" wrapText="1"/>
    </xf>
    <xf numFmtId="0" fontId="1" fillId="2" borderId="0" xfId="0" applyFont="1" applyFill="1" applyBorder="1" applyAlignment="1" applyProtection="1">
      <alignment horizontal="centerContinuous"/>
    </xf>
    <xf numFmtId="0" fontId="4" fillId="2" borderId="1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wrapText="1"/>
    </xf>
    <xf numFmtId="0" fontId="1" fillId="2" borderId="9" xfId="0" applyFont="1" applyFill="1" applyBorder="1" applyAlignment="1" applyProtection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4" fillId="2" borderId="0" xfId="0" applyFont="1" applyFill="1" applyBorder="1" applyAlignment="1" applyProtection="1">
      <alignment horizontal="center"/>
    </xf>
    <xf numFmtId="0" fontId="4" fillId="2" borderId="1" xfId="0" applyFont="1" applyFill="1" applyBorder="1" applyAlignment="1" applyProtection="1"/>
    <xf numFmtId="0" fontId="4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wrapText="1"/>
    </xf>
    <xf numFmtId="0" fontId="4" fillId="2" borderId="9" xfId="0" applyFont="1" applyFill="1" applyBorder="1" applyAlignment="1" applyProtection="1">
      <alignment wrapText="1"/>
    </xf>
    <xf numFmtId="0" fontId="4" fillId="2" borderId="5" xfId="0" applyFont="1" applyFill="1" applyBorder="1" applyAlignment="1" applyProtection="1"/>
    <xf numFmtId="0" fontId="4" fillId="2" borderId="13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horizontal="left"/>
    </xf>
    <xf numFmtId="0" fontId="1" fillId="2" borderId="6" xfId="0" applyFont="1" applyFill="1" applyBorder="1" applyAlignment="1" applyProtection="1"/>
    <xf numFmtId="0" fontId="1" fillId="2" borderId="2" xfId="0" applyFont="1" applyFill="1" applyBorder="1" applyAlignment="1" applyProtection="1"/>
    <xf numFmtId="9" fontId="1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/>
    <xf numFmtId="0" fontId="4" fillId="2" borderId="5" xfId="0" applyFont="1" applyFill="1" applyBorder="1" applyAlignment="1" applyProtection="1">
      <alignment horizontal="right"/>
    </xf>
    <xf numFmtId="0" fontId="1" fillId="2" borderId="12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0" fontId="4" fillId="2" borderId="13" xfId="0" applyFont="1" applyFill="1" applyBorder="1" applyAlignment="1" applyProtection="1">
      <alignment horizontal="left"/>
    </xf>
    <xf numFmtId="0" fontId="1" fillId="2" borderId="10" xfId="0" applyFont="1" applyFill="1" applyBorder="1" applyAlignment="1" applyProtection="1"/>
    <xf numFmtId="0" fontId="4" fillId="2" borderId="1" xfId="0" applyFont="1" applyFill="1" applyBorder="1" applyAlignment="1" applyProtection="1">
      <alignment horizontal="right"/>
    </xf>
    <xf numFmtId="0" fontId="4" fillId="2" borderId="11" xfId="0" applyFont="1" applyFill="1" applyBorder="1" applyAlignment="1" applyProtection="1">
      <alignment horizontal="left"/>
    </xf>
    <xf numFmtId="0" fontId="4" fillId="2" borderId="0" xfId="0" applyFont="1" applyFill="1" applyBorder="1" applyAlignment="1" applyProtection="1">
      <alignment wrapText="1"/>
    </xf>
    <xf numFmtId="0" fontId="4" fillId="2" borderId="3" xfId="0" applyFont="1" applyFill="1" applyBorder="1" applyAlignment="1" applyProtection="1">
      <alignment horizont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4" fillId="2" borderId="0" xfId="0" applyFont="1" applyFill="1" applyBorder="1" applyAlignment="1" applyProtection="1">
      <alignment vertical="center"/>
    </xf>
    <xf numFmtId="0" fontId="4" fillId="2" borderId="0" xfId="0" applyFont="1" applyFill="1" applyBorder="1" applyAlignment="1" applyProtection="1">
      <alignment vertical="center" wrapText="1"/>
    </xf>
    <xf numFmtId="0" fontId="4" fillId="2" borderId="3" xfId="0" applyFont="1" applyFill="1" applyBorder="1" applyAlignment="1" applyProtection="1">
      <alignment horizontal="center" vertical="center" wrapText="1"/>
    </xf>
    <xf numFmtId="2" fontId="4" fillId="2" borderId="0" xfId="0" applyNumberFormat="1" applyFont="1" applyFill="1" applyBorder="1" applyAlignment="1" applyProtection="1">
      <alignment vertical="center"/>
    </xf>
    <xf numFmtId="2" fontId="4" fillId="2" borderId="0" xfId="0" applyNumberFormat="1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top" wrapText="1"/>
    </xf>
    <xf numFmtId="164" fontId="4" fillId="2" borderId="0" xfId="0" applyNumberFormat="1" applyFont="1" applyFill="1" applyBorder="1" applyAlignment="1" applyProtection="1">
      <alignment vertical="top" wrapText="1"/>
    </xf>
    <xf numFmtId="165" fontId="4" fillId="2" borderId="0" xfId="0" applyNumberFormat="1" applyFont="1" applyFill="1" applyBorder="1" applyAlignment="1" applyProtection="1">
      <alignment horizontal="left" vertical="top"/>
    </xf>
    <xf numFmtId="0" fontId="4" fillId="2" borderId="0" xfId="0" applyFont="1" applyFill="1" applyAlignment="1" applyProtection="1"/>
    <xf numFmtId="0" fontId="2" fillId="2" borderId="0" xfId="0" applyFont="1" applyFill="1" applyAlignment="1" applyProtection="1"/>
    <xf numFmtId="0" fontId="1" fillId="2" borderId="0" xfId="0" applyFont="1" applyFill="1" applyAlignment="1" applyProtection="1">
      <alignment horizontal="center"/>
    </xf>
    <xf numFmtId="166" fontId="1" fillId="2" borderId="11" xfId="0" applyNumberFormat="1" applyFont="1" applyFill="1" applyBorder="1" applyAlignment="1" applyProtection="1">
      <alignment horizontal="left"/>
    </xf>
    <xf numFmtId="164" fontId="20" fillId="2" borderId="3" xfId="0" applyNumberFormat="1" applyFont="1" applyFill="1" applyBorder="1" applyAlignment="1" applyProtection="1">
      <alignment horizontal="center" vertical="center"/>
    </xf>
    <xf numFmtId="164" fontId="19" fillId="2" borderId="3" xfId="0" applyNumberFormat="1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left"/>
      <protection locked="0"/>
    </xf>
    <xf numFmtId="164" fontId="4" fillId="2" borderId="3" xfId="0" applyNumberFormat="1" applyFont="1" applyFill="1" applyBorder="1" applyAlignment="1" applyProtection="1">
      <alignment horizontal="center" vertical="center" wrapText="1"/>
    </xf>
    <xf numFmtId="0" fontId="4" fillId="2" borderId="3" xfId="0" applyFont="1" applyFill="1" applyBorder="1" applyAlignment="1" applyProtection="1">
      <alignment vertical="center"/>
    </xf>
    <xf numFmtId="164" fontId="4" fillId="2" borderId="3" xfId="0" applyNumberFormat="1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/>
    <xf numFmtId="0" fontId="0" fillId="2" borderId="0" xfId="0" applyFill="1"/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0" fontId="21" fillId="2" borderId="0" xfId="0" applyFon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 applyProtection="1">
      <alignment horizontal="center"/>
    </xf>
    <xf numFmtId="166" fontId="21" fillId="2" borderId="0" xfId="0" applyNumberFormat="1" applyFont="1" applyFill="1" applyBorder="1" applyAlignment="1" applyProtection="1"/>
    <xf numFmtId="1" fontId="21" fillId="2" borderId="0" xfId="0" applyNumberFormat="1" applyFont="1" applyFill="1" applyAlignment="1">
      <alignment horizontal="center"/>
    </xf>
    <xf numFmtId="164" fontId="21" fillId="2" borderId="0" xfId="0" applyNumberFormat="1" applyFont="1" applyFill="1" applyAlignment="1">
      <alignment horizontal="center"/>
    </xf>
    <xf numFmtId="0" fontId="21" fillId="2" borderId="0" xfId="0" applyFont="1" applyFill="1" applyAlignment="1" applyProtection="1">
      <alignment horizontal="center" wrapText="1"/>
    </xf>
    <xf numFmtId="164" fontId="21" fillId="2" borderId="0" xfId="0" applyNumberFormat="1" applyFont="1" applyFill="1"/>
    <xf numFmtId="2" fontId="21" fillId="2" borderId="0" xfId="0" applyNumberFormat="1" applyFont="1" applyFill="1"/>
    <xf numFmtId="1" fontId="21" fillId="2" borderId="0" xfId="0" applyNumberFormat="1" applyFont="1" applyFill="1"/>
    <xf numFmtId="0" fontId="4" fillId="2" borderId="3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/>
    <xf numFmtId="164" fontId="17" fillId="2" borderId="0" xfId="0" applyNumberFormat="1" applyFont="1" applyFill="1" applyBorder="1" applyAlignment="1" applyProtection="1">
      <alignment horizontal="left"/>
    </xf>
    <xf numFmtId="0" fontId="1" fillId="4" borderId="0" xfId="0" applyFont="1" applyFill="1" applyAlignment="1" applyProtection="1"/>
    <xf numFmtId="0" fontId="1" fillId="4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left"/>
      <protection locked="0"/>
    </xf>
    <xf numFmtId="0" fontId="22" fillId="2" borderId="15" xfId="0" applyFont="1" applyFill="1" applyBorder="1" applyAlignment="1" applyProtection="1">
      <alignment vertical="center"/>
    </xf>
    <xf numFmtId="0" fontId="23" fillId="2" borderId="16" xfId="0" applyFont="1" applyFill="1" applyBorder="1" applyAlignment="1" applyProtection="1"/>
    <xf numFmtId="0" fontId="22" fillId="2" borderId="17" xfId="0" applyFont="1" applyFill="1" applyBorder="1" applyAlignment="1" applyProtection="1"/>
    <xf numFmtId="0" fontId="22" fillId="2" borderId="17" xfId="0" applyFont="1" applyFill="1" applyBorder="1" applyAlignment="1" applyProtection="1">
      <alignment horizontal="left"/>
    </xf>
    <xf numFmtId="0" fontId="23" fillId="2" borderId="18" xfId="0" applyFont="1" applyFill="1" applyBorder="1" applyAlignment="1" applyProtection="1"/>
    <xf numFmtId="0" fontId="23" fillId="2" borderId="18" xfId="0" applyFont="1" applyFill="1" applyBorder="1" applyAlignment="1" applyProtection="1">
      <alignment horizontal="left"/>
    </xf>
    <xf numFmtId="0" fontId="23" fillId="5" borderId="19" xfId="0" applyFont="1" applyFill="1" applyBorder="1" applyAlignment="1" applyProtection="1">
      <protection locked="0"/>
    </xf>
    <xf numFmtId="0" fontId="23" fillId="2" borderId="0" xfId="0" applyFont="1" applyFill="1" applyAlignment="1" applyProtection="1"/>
    <xf numFmtId="0" fontId="22" fillId="2" borderId="20" xfId="0" applyFont="1" applyFill="1" applyBorder="1" applyAlignment="1" applyProtection="1"/>
    <xf numFmtId="0" fontId="23" fillId="2" borderId="20" xfId="0" applyFont="1" applyFill="1" applyBorder="1" applyAlignment="1" applyProtection="1"/>
    <xf numFmtId="0" fontId="22" fillId="2" borderId="21" xfId="0" applyFont="1" applyFill="1" applyBorder="1" applyAlignment="1" applyProtection="1"/>
    <xf numFmtId="0" fontId="23" fillId="2" borderId="21" xfId="0" applyFont="1" applyFill="1" applyBorder="1" applyAlignment="1" applyProtection="1"/>
    <xf numFmtId="0" fontId="23" fillId="5" borderId="22" xfId="0" applyFont="1" applyFill="1" applyBorder="1" applyAlignment="1" applyProtection="1">
      <protection locked="0"/>
    </xf>
    <xf numFmtId="0" fontId="23" fillId="2" borderId="18" xfId="0" applyFont="1" applyFill="1" applyBorder="1" applyAlignment="1" applyProtection="1">
      <alignment horizontal="right"/>
    </xf>
    <xf numFmtId="0" fontId="22" fillId="2" borderId="23" xfId="0" applyFont="1" applyFill="1" applyBorder="1" applyAlignment="1" applyProtection="1">
      <alignment vertical="center"/>
    </xf>
    <xf numFmtId="0" fontId="1" fillId="2" borderId="24" xfId="0" applyFont="1" applyFill="1" applyBorder="1" applyAlignment="1" applyProtection="1"/>
    <xf numFmtId="0" fontId="23" fillId="2" borderId="24" xfId="0" applyFont="1" applyFill="1" applyBorder="1" applyAlignment="1" applyProtection="1"/>
    <xf numFmtId="0" fontId="23" fillId="2" borderId="25" xfId="0" applyFont="1" applyFill="1" applyBorder="1" applyAlignment="1" applyProtection="1"/>
    <xf numFmtId="0" fontId="23" fillId="2" borderId="0" xfId="0" applyFont="1" applyFill="1" applyBorder="1" applyAlignment="1" applyProtection="1"/>
    <xf numFmtId="0" fontId="23" fillId="2" borderId="26" xfId="0" applyFont="1" applyFill="1" applyBorder="1" applyAlignment="1" applyProtection="1"/>
    <xf numFmtId="0" fontId="23" fillId="2" borderId="0" xfId="0" applyFont="1" applyFill="1" applyBorder="1" applyAlignment="1" applyProtection="1">
      <alignment horizontal="center"/>
    </xf>
    <xf numFmtId="0" fontId="23" fillId="2" borderId="27" xfId="0" applyFont="1" applyFill="1" applyBorder="1" applyAlignment="1" applyProtection="1"/>
    <xf numFmtId="0" fontId="23" fillId="2" borderId="28" xfId="0" applyFont="1" applyFill="1" applyBorder="1" applyAlignment="1" applyProtection="1"/>
    <xf numFmtId="0" fontId="4" fillId="2" borderId="3" xfId="0" applyFont="1" applyFill="1" applyBorder="1" applyAlignment="1" applyProtection="1">
      <alignment horizontal="center" vertical="center" wrapText="1"/>
    </xf>
    <xf numFmtId="164" fontId="4" fillId="2" borderId="9" xfId="0" applyNumberFormat="1" applyFont="1" applyFill="1" applyBorder="1" applyAlignment="1" applyProtection="1">
      <alignment horizontal="left"/>
    </xf>
    <xf numFmtId="164" fontId="4" fillId="2" borderId="13" xfId="0" applyNumberFormat="1" applyFont="1" applyFill="1" applyBorder="1" applyAlignment="1" applyProtection="1">
      <alignment horizontal="left"/>
    </xf>
    <xf numFmtId="0" fontId="1" fillId="0" borderId="3" xfId="0" applyFont="1" applyBorder="1" applyAlignment="1" applyProtection="1">
      <alignment horizontal="center" vertical="center"/>
    </xf>
    <xf numFmtId="9" fontId="1" fillId="6" borderId="3" xfId="0" applyNumberFormat="1" applyFont="1" applyFill="1" applyBorder="1" applyAlignment="1" applyProtection="1">
      <alignment horizontal="center" vertical="center"/>
    </xf>
    <xf numFmtId="9" fontId="1" fillId="7" borderId="3" xfId="0" applyNumberFormat="1" applyFont="1" applyFill="1" applyBorder="1" applyAlignment="1" applyProtection="1">
      <alignment horizontal="center" vertical="center"/>
    </xf>
    <xf numFmtId="9" fontId="1" fillId="8" borderId="3" xfId="0" applyNumberFormat="1" applyFont="1" applyFill="1" applyBorder="1" applyAlignment="1" applyProtection="1">
      <alignment horizontal="center" vertical="center"/>
    </xf>
    <xf numFmtId="0" fontId="1" fillId="6" borderId="3" xfId="0" applyFont="1" applyFill="1" applyBorder="1" applyAlignment="1" applyProtection="1">
      <alignment horizontal="center" vertical="center"/>
    </xf>
    <xf numFmtId="0" fontId="1" fillId="7" borderId="3" xfId="0" applyFont="1" applyFill="1" applyBorder="1" applyAlignment="1" applyProtection="1">
      <alignment horizontal="center" vertical="center"/>
    </xf>
    <xf numFmtId="0" fontId="1" fillId="8" borderId="3" xfId="0" applyFont="1" applyFill="1" applyBorder="1" applyAlignment="1" applyProtection="1">
      <alignment horizontal="center" vertical="center"/>
    </xf>
    <xf numFmtId="0" fontId="24" fillId="2" borderId="0" xfId="0" applyFont="1" applyFill="1" applyBorder="1" applyProtection="1"/>
    <xf numFmtId="0" fontId="0" fillId="2" borderId="0" xfId="0" applyFill="1" applyBorder="1" applyProtection="1"/>
    <xf numFmtId="0" fontId="1" fillId="2" borderId="3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</xf>
    <xf numFmtId="0" fontId="26" fillId="2" borderId="0" xfId="0" applyFont="1" applyFill="1" applyBorder="1" applyAlignment="1" applyProtection="1">
      <alignment horizontal="center" vertical="center"/>
    </xf>
    <xf numFmtId="0" fontId="27" fillId="2" borderId="0" xfId="0" applyFont="1" applyFill="1" applyBorder="1" applyAlignment="1" applyProtection="1">
      <alignment horizontal="center" vertical="center"/>
    </xf>
    <xf numFmtId="1" fontId="28" fillId="2" borderId="0" xfId="0" applyNumberFormat="1" applyFont="1" applyFill="1" applyBorder="1" applyAlignment="1" applyProtection="1">
      <alignment horizontal="center" vertical="center"/>
    </xf>
    <xf numFmtId="0" fontId="25" fillId="2" borderId="0" xfId="0" applyFont="1" applyFill="1" applyAlignment="1" applyProtection="1"/>
    <xf numFmtId="1" fontId="4" fillId="2" borderId="3" xfId="0" applyNumberFormat="1" applyFont="1" applyFill="1" applyBorder="1" applyAlignment="1" applyProtection="1">
      <alignment horizontal="center" vertical="center"/>
    </xf>
    <xf numFmtId="164" fontId="1" fillId="2" borderId="3" xfId="0" applyNumberFormat="1" applyFont="1" applyFill="1" applyBorder="1" applyAlignment="1" applyProtection="1">
      <alignment horizontal="center" vertical="center"/>
    </xf>
    <xf numFmtId="2" fontId="4" fillId="2" borderId="3" xfId="1" applyNumberFormat="1" applyFont="1" applyFill="1" applyBorder="1" applyAlignment="1" applyProtection="1">
      <alignment horizontal="center" vertical="center"/>
    </xf>
    <xf numFmtId="0" fontId="29" fillId="0" borderId="3" xfId="0" applyFont="1" applyBorder="1" applyAlignment="1" applyProtection="1">
      <alignment horizontal="center" vertical="center"/>
    </xf>
    <xf numFmtId="0" fontId="30" fillId="3" borderId="11" xfId="0" applyFont="1" applyFill="1" applyBorder="1" applyAlignment="1" applyProtection="1">
      <alignment horizontal="left"/>
      <protection locked="0"/>
    </xf>
    <xf numFmtId="0" fontId="25" fillId="2" borderId="0" xfId="0" applyFont="1" applyFill="1" applyAlignment="1" applyProtection="1">
      <protection locked="0"/>
    </xf>
    <xf numFmtId="49" fontId="1" fillId="2" borderId="3" xfId="0" applyNumberFormat="1" applyFont="1" applyFill="1" applyBorder="1" applyAlignment="1" applyProtection="1"/>
    <xf numFmtId="49" fontId="1" fillId="2" borderId="0" xfId="0" applyNumberFormat="1" applyFont="1" applyFill="1" applyAlignment="1" applyProtection="1"/>
    <xf numFmtId="0" fontId="4" fillId="3" borderId="0" xfId="0" applyFont="1" applyFill="1" applyBorder="1" applyAlignment="1" applyProtection="1">
      <protection locked="0"/>
    </xf>
    <xf numFmtId="164" fontId="5" fillId="3" borderId="3" xfId="0" applyNumberFormat="1" applyFont="1" applyFill="1" applyBorder="1" applyAlignment="1" applyProtection="1">
      <alignment horizontal="center" vertical="center"/>
    </xf>
    <xf numFmtId="164" fontId="18" fillId="3" borderId="3" xfId="0" applyNumberFormat="1" applyFont="1" applyFill="1" applyBorder="1" applyAlignment="1" applyProtection="1">
      <alignment horizontal="center" vertical="center"/>
    </xf>
    <xf numFmtId="164" fontId="18" fillId="3" borderId="7" xfId="0" applyNumberFormat="1" applyFont="1" applyFill="1" applyBorder="1" applyAlignment="1" applyProtection="1">
      <alignment horizontal="center" vertical="center"/>
    </xf>
    <xf numFmtId="164" fontId="5" fillId="9" borderId="3" xfId="0" applyNumberFormat="1" applyFont="1" applyFill="1" applyBorder="1" applyAlignment="1" applyProtection="1">
      <alignment horizontal="center" vertical="center"/>
    </xf>
    <xf numFmtId="164" fontId="18" fillId="9" borderId="3" xfId="0" applyNumberFormat="1" applyFont="1" applyFill="1" applyBorder="1" applyAlignment="1" applyProtection="1">
      <alignment horizontal="center" vertical="center"/>
    </xf>
    <xf numFmtId="164" fontId="20" fillId="2" borderId="3" xfId="0" applyNumberFormat="1" applyFont="1" applyFill="1" applyBorder="1" applyAlignment="1" applyProtection="1">
      <alignment horizontal="center" vertical="center"/>
      <protection locked="0"/>
    </xf>
    <xf numFmtId="164" fontId="20" fillId="2" borderId="7" xfId="0" applyNumberFormat="1" applyFont="1" applyFill="1" applyBorder="1" applyAlignment="1" applyProtection="1">
      <alignment horizontal="center" vertical="center"/>
      <protection locked="0"/>
    </xf>
    <xf numFmtId="164" fontId="20" fillId="2" borderId="8" xfId="0" applyNumberFormat="1" applyFont="1" applyFill="1" applyBorder="1" applyAlignment="1" applyProtection="1">
      <alignment horizontal="center" vertical="center"/>
      <protection locked="0"/>
    </xf>
    <xf numFmtId="164" fontId="20" fillId="2" borderId="9" xfId="0" applyNumberFormat="1" applyFont="1" applyFill="1" applyBorder="1" applyAlignment="1" applyProtection="1">
      <alignment horizontal="center" vertical="center"/>
      <protection locked="0"/>
    </xf>
    <xf numFmtId="0" fontId="4" fillId="9" borderId="6" xfId="0" applyFont="1" applyFill="1" applyBorder="1" applyAlignment="1" applyProtection="1">
      <alignment horizontal="center" vertical="center" wrapText="1"/>
    </xf>
    <xf numFmtId="0" fontId="13" fillId="9" borderId="3" xfId="0" applyFont="1" applyFill="1" applyBorder="1" applyAlignment="1" applyProtection="1">
      <alignment horizontal="center" vertical="center" wrapText="1"/>
    </xf>
    <xf numFmtId="0" fontId="4" fillId="9" borderId="6" xfId="0" applyFont="1" applyFill="1" applyBorder="1" applyAlignment="1" applyProtection="1">
      <alignment horizontal="center" wrapText="1"/>
    </xf>
    <xf numFmtId="164" fontId="16" fillId="9" borderId="3" xfId="0" applyNumberFormat="1" applyFont="1" applyFill="1" applyBorder="1" applyAlignment="1" applyProtection="1">
      <alignment horizontal="center" vertical="center" wrapText="1"/>
    </xf>
    <xf numFmtId="49" fontId="4" fillId="2" borderId="30" xfId="0" applyNumberFormat="1" applyFont="1" applyFill="1" applyBorder="1" applyAlignment="1" applyProtection="1"/>
    <xf numFmtId="2" fontId="19" fillId="3" borderId="33" xfId="0" applyNumberFormat="1" applyFont="1" applyFill="1" applyBorder="1" applyAlignment="1" applyProtection="1">
      <alignment horizontal="center" vertical="center"/>
    </xf>
    <xf numFmtId="2" fontId="19" fillId="3" borderId="34" xfId="0" applyNumberFormat="1" applyFont="1" applyFill="1" applyBorder="1" applyAlignment="1" applyProtection="1">
      <alignment horizontal="center" vertical="center"/>
    </xf>
    <xf numFmtId="2" fontId="19" fillId="3" borderId="35" xfId="0" applyNumberFormat="1" applyFont="1" applyFill="1" applyBorder="1" applyAlignment="1" applyProtection="1">
      <alignment horizontal="center" vertical="center"/>
    </xf>
    <xf numFmtId="170" fontId="4" fillId="2" borderId="9" xfId="1" applyNumberFormat="1" applyFont="1" applyFill="1" applyBorder="1" applyAlignment="1" applyProtection="1">
      <alignment horizontal="center" vertical="center"/>
    </xf>
    <xf numFmtId="2" fontId="19" fillId="3" borderId="3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/>
    <xf numFmtId="0" fontId="4" fillId="0" borderId="0" xfId="0" applyFont="1" applyFill="1" applyBorder="1" applyAlignment="1" applyProtection="1">
      <alignment vertical="center"/>
    </xf>
    <xf numFmtId="164" fontId="20" fillId="3" borderId="32" xfId="0" applyNumberFormat="1" applyFont="1" applyFill="1" applyBorder="1" applyAlignment="1" applyProtection="1">
      <alignment horizontal="center" vertical="center"/>
    </xf>
    <xf numFmtId="164" fontId="20" fillId="3" borderId="31" xfId="0" applyNumberFormat="1" applyFont="1" applyFill="1" applyBorder="1" applyAlignment="1" applyProtection="1">
      <alignment horizontal="center" vertical="center"/>
    </xf>
    <xf numFmtId="164" fontId="20" fillId="3" borderId="3" xfId="0" applyNumberFormat="1" applyFont="1" applyFill="1" applyBorder="1" applyAlignment="1" applyProtection="1">
      <alignment horizontal="center" vertical="center"/>
    </xf>
    <xf numFmtId="0" fontId="23" fillId="5" borderId="18" xfId="0" applyFont="1" applyFill="1" applyBorder="1" applyAlignment="1" applyProtection="1">
      <protection locked="0"/>
    </xf>
    <xf numFmtId="0" fontId="4" fillId="2" borderId="6" xfId="0" applyFont="1" applyFill="1" applyBorder="1" applyAlignment="1" applyProtection="1">
      <alignment horizontal="left" vertical="center" wrapText="1"/>
    </xf>
    <xf numFmtId="0" fontId="4" fillId="2" borderId="7" xfId="0" applyFont="1" applyFill="1" applyBorder="1" applyAlignment="1" applyProtection="1">
      <alignment horizontal="left" vertical="center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9" xfId="0" applyFont="1" applyFill="1" applyBorder="1" applyAlignment="1" applyProtection="1">
      <alignment horizontal="left" vertical="center" wrapText="1"/>
    </xf>
    <xf numFmtId="0" fontId="4" fillId="0" borderId="10" xfId="0" applyFont="1" applyFill="1" applyBorder="1" applyAlignment="1" applyProtection="1">
      <alignment horizontal="left" vertical="center" wrapText="1"/>
    </xf>
    <xf numFmtId="0" fontId="4" fillId="0" borderId="11" xfId="0" applyFont="1" applyFill="1" applyBorder="1" applyAlignment="1" applyProtection="1">
      <alignment horizontal="left" vertical="center" wrapText="1"/>
    </xf>
    <xf numFmtId="0" fontId="3" fillId="2" borderId="4" xfId="0" applyFont="1" applyFill="1" applyBorder="1" applyAlignment="1" applyProtection="1">
      <alignment horizontal="center" vertical="center" wrapText="1"/>
    </xf>
    <xf numFmtId="0" fontId="3" fillId="2" borderId="5" xfId="0" applyFont="1" applyFill="1" applyBorder="1" applyAlignment="1" applyProtection="1">
      <alignment horizontal="center" vertical="center" wrapText="1"/>
    </xf>
    <xf numFmtId="0" fontId="3" fillId="2" borderId="9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</xf>
    <xf numFmtId="0" fontId="3" fillId="2" borderId="11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9" borderId="3" xfId="0" applyFont="1" applyFill="1" applyBorder="1" applyAlignment="1" applyProtection="1">
      <alignment horizontal="center" vertical="center" wrapText="1"/>
    </xf>
    <xf numFmtId="0" fontId="4" fillId="9" borderId="8" xfId="0" applyFont="1" applyFill="1" applyBorder="1" applyAlignment="1" applyProtection="1">
      <alignment horizontal="center" vertical="center"/>
    </xf>
    <xf numFmtId="0" fontId="4" fillId="9" borderId="8" xfId="0" applyFont="1" applyFill="1" applyBorder="1" applyAlignment="1" applyProtection="1">
      <alignment horizontal="center" vertical="center" wrapText="1"/>
    </xf>
    <xf numFmtId="0" fontId="4" fillId="9" borderId="14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right"/>
    </xf>
    <xf numFmtId="0" fontId="1" fillId="2" borderId="1" xfId="0" applyFont="1" applyFill="1" applyBorder="1" applyAlignment="1" applyProtection="1">
      <alignment horizontal="right"/>
    </xf>
    <xf numFmtId="166" fontId="4" fillId="3" borderId="1" xfId="0" applyNumberFormat="1" applyFont="1" applyFill="1" applyBorder="1" applyAlignment="1" applyProtection="1">
      <alignment horizontal="center"/>
      <protection locked="0"/>
    </xf>
    <xf numFmtId="0" fontId="4" fillId="2" borderId="6" xfId="0" applyFont="1" applyFill="1" applyBorder="1" applyAlignment="1" applyProtection="1">
      <alignment horizontal="right" vertical="center"/>
    </xf>
    <xf numFmtId="0" fontId="4" fillId="2" borderId="7" xfId="0" applyFont="1" applyFill="1" applyBorder="1" applyAlignment="1" applyProtection="1">
      <alignment horizontal="right" vertical="center"/>
    </xf>
    <xf numFmtId="164" fontId="16" fillId="3" borderId="1" xfId="0" applyNumberFormat="1" applyFont="1" applyFill="1" applyBorder="1" applyAlignment="1" applyProtection="1">
      <alignment horizontal="left"/>
      <protection locked="0"/>
    </xf>
    <xf numFmtId="164" fontId="16" fillId="3" borderId="1" xfId="0" applyNumberFormat="1" applyFont="1" applyFill="1" applyBorder="1" applyAlignment="1" applyProtection="1">
      <alignment horizontal="left"/>
    </xf>
    <xf numFmtId="168" fontId="4" fillId="2" borderId="6" xfId="0" applyNumberFormat="1" applyFont="1" applyFill="1" applyBorder="1" applyAlignment="1" applyProtection="1">
      <alignment horizontal="left" vertical="center" wrapText="1"/>
    </xf>
    <xf numFmtId="168" fontId="4" fillId="2" borderId="2" xfId="0" applyNumberFormat="1" applyFont="1" applyFill="1" applyBorder="1" applyAlignment="1" applyProtection="1">
      <alignment horizontal="left" vertical="center" wrapText="1"/>
    </xf>
    <xf numFmtId="0" fontId="4" fillId="2" borderId="2" xfId="0" applyFont="1" applyFill="1" applyBorder="1" applyAlignment="1" applyProtection="1">
      <alignment horizontal="left" vertical="center" wrapText="1"/>
    </xf>
    <xf numFmtId="0" fontId="1" fillId="3" borderId="4" xfId="0" applyFont="1" applyFill="1" applyBorder="1" applyAlignment="1" applyProtection="1">
      <alignment horizontal="left" vertical="top" wrapText="1"/>
      <protection locked="0"/>
    </xf>
    <xf numFmtId="0" fontId="1" fillId="3" borderId="5" xfId="0" applyFont="1" applyFill="1" applyBorder="1" applyAlignment="1" applyProtection="1">
      <alignment horizontal="left" vertical="top" wrapText="1"/>
      <protection locked="0"/>
    </xf>
    <xf numFmtId="0" fontId="1" fillId="3" borderId="9" xfId="0" applyFont="1" applyFill="1" applyBorder="1" applyAlignment="1" applyProtection="1">
      <alignment horizontal="left" vertical="top" wrapText="1"/>
      <protection locked="0"/>
    </xf>
    <xf numFmtId="0" fontId="1" fillId="3" borderId="12" xfId="0" applyFont="1" applyFill="1" applyBorder="1" applyAlignment="1" applyProtection="1">
      <alignment horizontal="left" vertical="top" wrapText="1"/>
      <protection locked="0"/>
    </xf>
    <xf numFmtId="0" fontId="1" fillId="3" borderId="0" xfId="0" applyFont="1" applyFill="1" applyBorder="1" applyAlignment="1" applyProtection="1">
      <alignment horizontal="left" vertical="top" wrapText="1"/>
      <protection locked="0"/>
    </xf>
    <xf numFmtId="0" fontId="1" fillId="3" borderId="13" xfId="0" applyFont="1" applyFill="1" applyBorder="1" applyAlignment="1" applyProtection="1">
      <alignment horizontal="left" vertical="top" wrapText="1"/>
      <protection locked="0"/>
    </xf>
    <xf numFmtId="0" fontId="1" fillId="3" borderId="10" xfId="0" applyFont="1" applyFill="1" applyBorder="1" applyAlignment="1" applyProtection="1">
      <alignment horizontal="left" vertical="top" wrapText="1"/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1" fillId="3" borderId="11" xfId="0" applyFont="1" applyFill="1" applyBorder="1" applyAlignment="1" applyProtection="1">
      <alignment horizontal="left" vertical="top" wrapText="1"/>
      <protection locked="0"/>
    </xf>
    <xf numFmtId="0" fontId="4" fillId="0" borderId="6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1" fillId="8" borderId="6" xfId="0" applyFont="1" applyFill="1" applyBorder="1" applyAlignment="1" applyProtection="1">
      <alignment horizontal="center" vertical="center"/>
    </xf>
    <xf numFmtId="0" fontId="1" fillId="8" borderId="2" xfId="0" applyFont="1" applyFill="1" applyBorder="1" applyAlignment="1" applyProtection="1">
      <alignment horizontal="center" vertical="center"/>
    </xf>
    <xf numFmtId="0" fontId="1" fillId="8" borderId="7" xfId="0" applyFont="1" applyFill="1" applyBorder="1" applyAlignment="1" applyProtection="1">
      <alignment horizontal="center" vertical="center"/>
    </xf>
    <xf numFmtId="0" fontId="25" fillId="2" borderId="4" xfId="0" applyFont="1" applyFill="1" applyBorder="1" applyAlignment="1" applyProtection="1">
      <alignment horizontal="center" vertical="center" wrapText="1"/>
    </xf>
    <xf numFmtId="0" fontId="25" fillId="2" borderId="9" xfId="0" applyFont="1" applyFill="1" applyBorder="1" applyAlignment="1" applyProtection="1">
      <alignment horizontal="center" vertical="center" wrapText="1"/>
    </xf>
    <xf numFmtId="0" fontId="25" fillId="2" borderId="10" xfId="0" applyFont="1" applyFill="1" applyBorder="1" applyAlignment="1" applyProtection="1">
      <alignment horizontal="center" vertical="center" wrapText="1"/>
    </xf>
    <xf numFmtId="0" fontId="25" fillId="2" borderId="11" xfId="0" applyFont="1" applyFill="1" applyBorder="1" applyAlignment="1" applyProtection="1">
      <alignment horizontal="center" vertical="center" wrapText="1"/>
    </xf>
    <xf numFmtId="164" fontId="16" fillId="3" borderId="3" xfId="0" applyNumberFormat="1" applyFont="1" applyFill="1" applyBorder="1" applyAlignment="1" applyProtection="1">
      <alignment horizontal="center" vertical="center" wrapText="1"/>
    </xf>
    <xf numFmtId="49" fontId="1" fillId="2" borderId="8" xfId="0" applyNumberFormat="1" applyFont="1" applyFill="1" applyBorder="1" applyAlignment="1" applyProtection="1">
      <alignment horizontal="left" vertical="center" wrapText="1"/>
    </xf>
    <xf numFmtId="49" fontId="1" fillId="2" borderId="29" xfId="0" applyNumberFormat="1" applyFont="1" applyFill="1" applyBorder="1" applyAlignment="1" applyProtection="1">
      <alignment horizontal="left" vertical="center" wrapText="1"/>
    </xf>
    <xf numFmtId="0" fontId="13" fillId="3" borderId="3" xfId="0" applyFont="1" applyFill="1" applyBorder="1" applyAlignment="1" applyProtection="1">
      <alignment horizontal="center" vertical="center" wrapText="1"/>
    </xf>
    <xf numFmtId="164" fontId="4" fillId="3" borderId="0" xfId="0" applyNumberFormat="1" applyFont="1" applyFill="1" applyAlignment="1" applyProtection="1">
      <alignment horizontal="left"/>
      <protection locked="0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colors>
    <mruColors>
      <color rgb="FFCC0099"/>
      <color rgb="FF006600"/>
      <color rgb="FF663300"/>
      <color rgb="FF0099FF"/>
      <color rgb="FF3399FF"/>
      <color rgb="FF0066FF"/>
      <color rgb="FF00CC66"/>
      <color rgb="FF009900"/>
      <color rgb="FF339933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O3</a:t>
            </a:r>
            <a:r>
              <a:rPr lang="es-CO" sz="1800" b="1" i="0" baseline="0">
                <a:effectLst/>
              </a:rPr>
              <a:t> Multipunto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'Garfica MP'!$C$3</c:f>
              <c:strCache>
                <c:ptCount val="1"/>
                <c:pt idx="0">
                  <c:v>Patrón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00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5977011494252873E-2"/>
                  <c:y val="-2.66666728881126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39-4676-B70D-59988F912F57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'Garfica MP'!$B$4:$B$8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xVal>
          <c:yVal>
            <c:numRef>
              <c:f>'Garfica MP'!$C$4:$C$8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9-4676-B70D-59988F912F57}"/>
            </c:ext>
          </c:extLst>
        </c:ser>
        <c:ser>
          <c:idx val="1"/>
          <c:order val="1"/>
          <c:tx>
            <c:strRef>
              <c:f>'Garfica MP'!$D$3</c:f>
              <c:strCache>
                <c:ptCount val="1"/>
                <c:pt idx="0">
                  <c:v>Analizador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66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0"/>
                  <c:y val="-8.0000018664337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39-4676-B70D-59988F912F57}"/>
                </c:ext>
              </c:extLst>
            </c:dLbl>
            <c:dLbl>
              <c:idx val="1"/>
              <c:layout>
                <c:manualLayout>
                  <c:x val="-8.0034057045551305E-2"/>
                  <c:y val="-2.962963654234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39-4676-B70D-59988F912F57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39-4676-B70D-59988F912F57}"/>
                </c:ext>
              </c:extLst>
            </c:dLbl>
            <c:dLbl>
              <c:idx val="3"/>
              <c:layout>
                <c:manualLayout>
                  <c:x val="-9.7062713904057019E-2"/>
                  <c:y val="2.962730350009996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39-4676-B70D-59988F912F57}"/>
                </c:ext>
              </c:extLst>
            </c:dLbl>
            <c:dLbl>
              <c:idx val="4"/>
              <c:layout>
                <c:manualLayout>
                  <c:x val="-7.66283524904214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39-4676-B70D-59988F912F57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6633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1"/>
            <c:dispEq val="1"/>
            <c:trendlineLbl>
              <c:layout>
                <c:manualLayout>
                  <c:x val="-0.46311435185185185"/>
                  <c:y val="3.5679292929292929E-2"/>
                </c:manualLayout>
              </c:layout>
              <c:numFmt formatCode="General" sourceLinked="0"/>
            </c:trendlineLbl>
          </c:trendline>
          <c:xVal>
            <c:numRef>
              <c:f>'Garfica MP'!$B$4:$B$8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xVal>
          <c:yVal>
            <c:numRef>
              <c:f>'Garfica MP'!$D$4:$D$8</c:f>
              <c:numCache>
                <c:formatCode>0.0</c:formatCode>
                <c:ptCount val="5"/>
                <c:pt idx="0">
                  <c:v>-0.2</c:v>
                </c:pt>
                <c:pt idx="1">
                  <c:v>39.660000000000004</c:v>
                </c:pt>
                <c:pt idx="2">
                  <c:v>80.440000000000012</c:v>
                </c:pt>
                <c:pt idx="3">
                  <c:v>140</c:v>
                </c:pt>
                <c:pt idx="4">
                  <c:v>180.16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39-4676-B70D-59988F912F57}"/>
            </c:ext>
          </c:extLst>
        </c:ser>
        <c:ser>
          <c:idx val="2"/>
          <c:order val="2"/>
          <c:tx>
            <c:strRef>
              <c:f>'Garfica MP'!$E$3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'Garfica MP'!$B$4:$B$8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xVal>
          <c:yVal>
            <c:numRef>
              <c:f>'Garfica MP'!$E$4:$E$8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39-4676-B70D-59988F912F57}"/>
            </c:ext>
          </c:extLst>
        </c:ser>
        <c:ser>
          <c:idx val="3"/>
          <c:order val="3"/>
          <c:tx>
            <c:strRef>
              <c:f>'Garfica MP'!$F$3</c:f>
              <c:strCache>
                <c:ptCount val="1"/>
                <c:pt idx="0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'Garfica MP'!$B$4:$B$8</c:f>
              <c:numCache>
                <c:formatCode>0</c:formatCode>
                <c:ptCount val="5"/>
                <c:pt idx="0">
                  <c:v>0</c:v>
                </c:pt>
                <c:pt idx="1">
                  <c:v>38</c:v>
                </c:pt>
                <c:pt idx="2">
                  <c:v>79.8</c:v>
                </c:pt>
                <c:pt idx="3">
                  <c:v>139.6</c:v>
                </c:pt>
                <c:pt idx="4">
                  <c:v>180</c:v>
                </c:pt>
              </c:numCache>
            </c:numRef>
          </c:xVal>
          <c:yVal>
            <c:numRef>
              <c:f>'Garfica MP'!$F$4:$F$8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39-4676-B70D-59988F91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53268608"/>
        <c:axId val="-1053283296"/>
      </c:scatterChart>
      <c:valAx>
        <c:axId val="-105326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Valores Patrón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1053283296"/>
        <c:crosses val="autoZero"/>
        <c:crossBetween val="midCat"/>
      </c:valAx>
      <c:valAx>
        <c:axId val="-1053283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O"/>
                  <a:t>Lectura del Equipo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-1053268608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delete val="1"/>
      </c:legendEntry>
      <c:layout>
        <c:manualLayout>
          <c:xMode val="edge"/>
          <c:yMode val="edge"/>
          <c:x val="0.77304459876543208"/>
          <c:y val="0.5301133838383838"/>
          <c:w val="0.13923002919654198"/>
          <c:h val="0.16295693507306735"/>
        </c:manualLayout>
      </c:layout>
      <c:overlay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O3 </a:t>
            </a:r>
            <a:r>
              <a:rPr lang="es-CO" sz="1800" b="1" i="0" baseline="0">
                <a:effectLst/>
              </a:rPr>
              <a:t>Zero-Span (ppb)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Z-S'!$C$3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0.10844691358024688"/>
                  <c:y val="-3.62762626262626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79-4561-A6D1-6206F730DC3F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Z-S'!$C$4:$C$5</c:f>
              <c:numCache>
                <c:formatCode>0.0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79-4561-A6D1-6206F730DC3F}"/>
            </c:ext>
          </c:extLst>
        </c:ser>
        <c:ser>
          <c:idx val="2"/>
          <c:order val="1"/>
          <c:tx>
            <c:strRef>
              <c:f>'Grafica Z-S'!$D$3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star"/>
            <c:size val="7"/>
            <c:spPr>
              <a:noFill/>
              <a:ln w="12700">
                <a:solidFill>
                  <a:srgbClr val="7030A0"/>
                </a:solidFill>
              </a:ln>
            </c:spPr>
          </c:marker>
          <c:dLbls>
            <c:dLbl>
              <c:idx val="0"/>
              <c:layout>
                <c:manualLayout>
                  <c:x val="3.9051603905160388E-2"/>
                  <c:y val="-0.11217948717948718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79-4561-A6D1-6206F730DC3F}"/>
                </c:ext>
              </c:extLst>
            </c:dLbl>
            <c:dLbl>
              <c:idx val="1"/>
              <c:layout>
                <c:manualLayout>
                  <c:x val="-5.5789469830915487E-3"/>
                  <c:y val="-4.1666666666666664E-2"/>
                </c:manualLayout>
              </c:layout>
              <c:spPr>
                <a:solidFill>
                  <a:sysClr val="window" lastClr="FFFFFF">
                    <a:lumMod val="85000"/>
                  </a:sysClr>
                </a:solidFill>
              </c:spPr>
              <c:txPr>
                <a:bodyPr/>
                <a:lstStyle/>
                <a:p>
                  <a:pPr>
                    <a:defRPr b="1">
                      <a:solidFill>
                        <a:srgbClr val="7030A0"/>
                      </a:solidFill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79-4561-A6D1-6206F730DC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Z-S'!$D$4:$D$5</c:f>
              <c:numCache>
                <c:formatCode>General</c:formatCode>
                <c:ptCount val="2"/>
                <c:pt idx="0" formatCode="0.0">
                  <c:v>-0.2</c:v>
                </c:pt>
                <c:pt idx="1">
                  <c:v>180.16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79-4561-A6D1-6206F730DC3F}"/>
            </c:ext>
          </c:extLst>
        </c:ser>
        <c:ser>
          <c:idx val="1"/>
          <c:order val="2"/>
          <c:tx>
            <c:strRef>
              <c:f>'Grafica Z-S'!$E$3</c:f>
              <c:strCache>
                <c:ptCount val="1"/>
                <c:pt idx="0">
                  <c:v>Analizador Encontrado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79-4561-A6D1-6206F730DC3F}"/>
                </c:ext>
              </c:extLst>
            </c:dLbl>
            <c:dLbl>
              <c:idx val="1"/>
              <c:layout>
                <c:manualLayout>
                  <c:x val="-0.1046790908458617"/>
                  <c:y val="-5.40028770442156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79-4561-A6D1-6206F730DC3F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79-4561-A6D1-6206F730DC3F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79-4561-A6D1-6206F730DC3F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79-4561-A6D1-6206F730DC3F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Z-S'!$E$4:$E$5</c:f>
              <c:numCache>
                <c:formatCode>0.0</c:formatCode>
                <c:ptCount val="2"/>
                <c:pt idx="0">
                  <c:v>-0.36000000000000004</c:v>
                </c:pt>
                <c:pt idx="1">
                  <c:v>179.66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B79-4561-A6D1-6206F730DC3F}"/>
            </c:ext>
          </c:extLst>
        </c:ser>
        <c:ser>
          <c:idx val="3"/>
          <c:order val="3"/>
          <c:tx>
            <c:strRef>
              <c:f>'Grafica Z-S'!$F$3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B79-4561-A6D1-6206F730DC3F}"/>
            </c:ext>
          </c:extLst>
        </c:ser>
        <c:ser>
          <c:idx val="4"/>
          <c:order val="4"/>
          <c:tx>
            <c:strRef>
              <c:f>'Grafica Z-S'!$G$3</c:f>
              <c:strCache>
                <c:ptCount val="1"/>
                <c:pt idx="0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Z-S'!$B$4:$B$5</c:f>
              <c:numCache>
                <c:formatCode>General</c:formatCode>
                <c:ptCount val="2"/>
                <c:pt idx="0">
                  <c:v>0</c:v>
                </c:pt>
                <c:pt idx="1">
                  <c:v>180</c:v>
                </c:pt>
              </c:numCache>
            </c:numRef>
          </c:xVal>
          <c:yVal>
            <c:numRef>
              <c:f>'Grafica Z-S'!$G$4:$G$5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B79-4561-A6D1-6206F730D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53277856"/>
        <c:axId val="-1078698816"/>
      </c:scatterChart>
      <c:valAx>
        <c:axId val="-1053277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078698816"/>
        <c:crosses val="autoZero"/>
        <c:crossBetween val="midCat"/>
      </c:valAx>
      <c:valAx>
        <c:axId val="-1078698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0.0" sourceLinked="1"/>
        <c:majorTickMark val="none"/>
        <c:minorTickMark val="none"/>
        <c:tickLblPos val="nextTo"/>
        <c:crossAx val="-1053277856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7030A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4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7897052469135799"/>
          <c:y val="0.52821237373737373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CO" sz="1800" b="1" i="0" baseline="0">
                <a:effectLst/>
              </a:rPr>
              <a:t>Información  Calibración </a:t>
            </a:r>
            <a:r>
              <a:rPr lang="es-CO" sz="1800" b="1" i="0" u="sng" baseline="0">
                <a:effectLst/>
              </a:rPr>
              <a:t>O3</a:t>
            </a:r>
            <a:r>
              <a:rPr lang="es-CO" sz="1800" b="1" i="0" baseline="0">
                <a:effectLst/>
              </a:rPr>
              <a:t> Precisión (ppb)</a:t>
            </a:r>
            <a:endParaRPr lang="es-CO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122018751487484E-2"/>
          <c:y val="0.12467427813923083"/>
          <c:w val="0.84980346805308338"/>
          <c:h val="0.738268821993309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'Grafica PREC'!$C$3</c:f>
              <c:strCache>
                <c:ptCount val="1"/>
                <c:pt idx="0">
                  <c:v>Patrón</c:v>
                </c:pt>
              </c:strCache>
            </c:strRef>
          </c:tx>
          <c:spPr>
            <a:ln w="12700">
              <a:solidFill>
                <a:srgbClr val="006600"/>
              </a:solidFill>
            </a:ln>
          </c:spPr>
          <c:marker>
            <c:spPr>
              <a:solidFill>
                <a:srgbClr val="006600"/>
              </a:solidFill>
              <a:ln w="12700">
                <a:solidFill>
                  <a:srgbClr val="006600"/>
                </a:solidFill>
              </a:ln>
            </c:spPr>
          </c:marker>
          <c:dLbls>
            <c:dLbl>
              <c:idx val="0"/>
              <c:layout>
                <c:manualLayout>
                  <c:x val="8.6888281224261191E-2"/>
                  <c:y val="-4.5897435897435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2E-45F2-9C15-EA5EB758E401}"/>
                </c:ext>
              </c:extLst>
            </c:dLbl>
            <c:dLbl>
              <c:idx val="1"/>
              <c:layout>
                <c:manualLayout>
                  <c:x val="-5.5788005578800556E-3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2E-45F2-9C15-EA5EB758E401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00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xVal>
          <c:yVal>
            <c:numRef>
              <c:f>'Grafica PREC'!$C$4:$C$5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2E-45F2-9C15-EA5EB758E401}"/>
            </c:ext>
          </c:extLst>
        </c:ser>
        <c:ser>
          <c:idx val="1"/>
          <c:order val="1"/>
          <c:tx>
            <c:strRef>
              <c:f>'Grafica PREC'!$D$3</c:f>
              <c:strCache>
                <c:ptCount val="1"/>
                <c:pt idx="0">
                  <c:v>Analizador Dejado</c:v>
                </c:pt>
              </c:strCache>
            </c:strRef>
          </c:tx>
          <c:spPr>
            <a:ln w="12700">
              <a:solidFill>
                <a:srgbClr val="FF6600"/>
              </a:solidFill>
            </a:ln>
          </c:spPr>
          <c:marker>
            <c:symbol val="circle"/>
            <c:size val="4"/>
            <c:spPr>
              <a:solidFill>
                <a:srgbClr val="FF6600"/>
              </a:solidFill>
              <a:ln w="12700">
                <a:solidFill>
                  <a:srgbClr val="FF6600"/>
                </a:solidFill>
              </a:ln>
            </c:spPr>
          </c:marker>
          <c:dLbls>
            <c:dLbl>
              <c:idx val="0"/>
              <c:layout>
                <c:manualLayout>
                  <c:x val="-5.5788005578800556E-3"/>
                  <c:y val="-0.112051534423581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2E-45F2-9C15-EA5EB758E401}"/>
                </c:ext>
              </c:extLst>
            </c:dLbl>
            <c:dLbl>
              <c:idx val="1"/>
              <c:layout>
                <c:manualLayout>
                  <c:x val="-0.10281949065990183"/>
                  <c:y val="-1.8746719160104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2E-45F2-9C15-EA5EB758E401}"/>
                </c:ext>
              </c:extLst>
            </c:dLbl>
            <c:dLbl>
              <c:idx val="2"/>
              <c:layout>
                <c:manualLayout>
                  <c:x val="-6.4708386547467009E-2"/>
                  <c:y val="-5.92592730846948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2E-45F2-9C15-EA5EB758E401}"/>
                </c:ext>
              </c:extLst>
            </c:dLbl>
            <c:dLbl>
              <c:idx val="3"/>
              <c:layout>
                <c:manualLayout>
                  <c:x val="-8.8548452516232404E-2"/>
                  <c:y val="1.1851621312714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2E-45F2-9C15-EA5EB758E401}"/>
                </c:ext>
              </c:extLst>
            </c:dLbl>
            <c:dLbl>
              <c:idx val="4"/>
              <c:layout>
                <c:manualLayout>
                  <c:x val="-7.662835249042145E-2"/>
                  <c:y val="-8.888890962704247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2E-45F2-9C15-EA5EB758E401}"/>
                </c:ext>
              </c:extLst>
            </c:dLbl>
            <c:spPr>
              <a:solidFill>
                <a:sysClr val="window" lastClr="FFFFFF">
                  <a:lumMod val="85000"/>
                </a:sysClr>
              </a:solidFill>
            </c:spPr>
            <c:txPr>
              <a:bodyPr/>
              <a:lstStyle/>
              <a:p>
                <a:pPr>
                  <a:defRPr b="1">
                    <a:solidFill>
                      <a:srgbClr val="FF6600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xVal>
          <c:yVal>
            <c:numRef>
              <c:f>'Grafica PREC'!$D$4:$D$5</c:f>
              <c:numCache>
                <c:formatCode>General</c:formatCode>
                <c:ptCount val="2"/>
                <c:pt idx="0" formatCode="0.00">
                  <c:v>-0.2</c:v>
                </c:pt>
                <c:pt idx="1">
                  <c:v>39.660000000000004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2E-45F2-9C15-EA5EB758E401}"/>
            </c:ext>
          </c:extLst>
        </c:ser>
        <c:ser>
          <c:idx val="3"/>
          <c:order val="2"/>
          <c:tx>
            <c:strRef>
              <c:f>'Grafica PREC'!$E$3</c:f>
              <c:strCache>
                <c:ptCount val="1"/>
                <c:pt idx="0">
                  <c:v>Fecha: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xVal>
          <c:yVal>
            <c:numRef>
              <c:f>'Grafica PREC'!$E$4:$E$5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2E-45F2-9C15-EA5EB758E401}"/>
            </c:ext>
          </c:extLst>
        </c:ser>
        <c:ser>
          <c:idx val="4"/>
          <c:order val="3"/>
          <c:tx>
            <c:strRef>
              <c:f>'Grafica PREC'!$F$3</c:f>
              <c:strCache>
                <c:ptCount val="1"/>
                <c:pt idx="0">
                  <c:v>2026-07-14</c:v>
                </c:pt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'Grafica PREC'!$B$4:$B$5</c:f>
              <c:numCache>
                <c:formatCode>General</c:formatCode>
                <c:ptCount val="2"/>
                <c:pt idx="0">
                  <c:v>0</c:v>
                </c:pt>
                <c:pt idx="1">
                  <c:v>38</c:v>
                </c:pt>
              </c:numCache>
            </c:numRef>
          </c:xVal>
          <c:yVal>
            <c:numRef>
              <c:f>'Grafica PREC'!$F$4:$F$5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2E-45F2-9C15-EA5EB758E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8703712"/>
        <c:axId val="-1078706976"/>
      </c:scatterChart>
      <c:valAx>
        <c:axId val="-107870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O" sz="1000" b="1" i="0" baseline="0">
                    <a:effectLst/>
                  </a:rPr>
                  <a:t>Valores Patrón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078706976"/>
        <c:crosses val="autoZero"/>
        <c:crossBetween val="midCat"/>
      </c:valAx>
      <c:valAx>
        <c:axId val="-1078706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 sz="1000" b="1" i="0" baseline="0">
                    <a:effectLst/>
                  </a:rPr>
                  <a:t>Lectura del Equipo</a:t>
                </a:r>
                <a:endParaRPr lang="es-CO" sz="1000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1078703712"/>
        <c:crosses val="autoZero"/>
        <c:crossBetween val="midCat"/>
      </c:valAx>
      <c:spPr>
        <a:solidFill>
          <a:schemeClr val="bg1">
            <a:lumMod val="85000"/>
          </a:schemeClr>
        </a:solidFill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rgbClr val="006600"/>
                </a:solidFill>
              </a:defRPr>
            </a:pPr>
            <a:endParaRPr lang="es-E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FF6600"/>
                </a:solidFill>
              </a:defRPr>
            </a:pPr>
            <a:endParaRPr lang="es-ES"/>
          </a:p>
        </c:txPr>
      </c:legendEntry>
      <c:legendEntry>
        <c:idx val="2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egendEntry>
        <c:idx val="3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s-ES"/>
          </a:p>
        </c:txPr>
      </c:legendEntry>
      <c:layout>
        <c:manualLayout>
          <c:xMode val="edge"/>
          <c:yMode val="edge"/>
          <c:x val="0.68289027777777778"/>
          <c:y val="0.57311136363636361"/>
          <c:w val="0.24076433960399302"/>
          <c:h val="0.19251514233797701"/>
        </c:manualLayout>
      </c:layout>
      <c:overlay val="0"/>
      <c:spPr>
        <a:solidFill>
          <a:sysClr val="window" lastClr="FFFFFF">
            <a:lumMod val="85000"/>
          </a:sysClr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0099FF"/>
    </a:solidFill>
    <a:ln w="254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228600</xdr:colOff>
      <xdr:row>14</xdr:row>
      <xdr:rowOff>61912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96025" y="25003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ES" sz="1100"/>
        </a:p>
      </xdr:txBody>
    </xdr:sp>
    <xdr:clientData/>
  </xdr:oneCellAnchor>
  <xdr:twoCellAnchor editAs="oneCell">
    <xdr:from>
      <xdr:col>1</xdr:col>
      <xdr:colOff>371474</xdr:colOff>
      <xdr:row>1</xdr:row>
      <xdr:rowOff>38100</xdr:rowOff>
    </xdr:from>
    <xdr:to>
      <xdr:col>2</xdr:col>
      <xdr:colOff>752474</xdr:colOff>
      <xdr:row>4</xdr:row>
      <xdr:rowOff>226015</xdr:rowOff>
    </xdr:to>
    <xdr:pic>
      <xdr:nvPicPr>
        <xdr:cNvPr id="5" name="Imagen 2" descr="tag-lab-calaire-0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516" t="4137" r="2361" b="8459"/>
        <a:stretch>
          <a:fillRect/>
        </a:stretch>
      </xdr:blipFill>
      <xdr:spPr bwMode="auto">
        <a:xfrm>
          <a:off x="466724" y="133350"/>
          <a:ext cx="1590675" cy="7498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123825</xdr:rowOff>
    </xdr:from>
    <xdr:to>
      <xdr:col>8</xdr:col>
      <xdr:colOff>526875</xdr:colOff>
      <xdr:row>25</xdr:row>
      <xdr:rowOff>35700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104775</xdr:rowOff>
    </xdr:from>
    <xdr:to>
      <xdr:col>8</xdr:col>
      <xdr:colOff>498300</xdr:colOff>
      <xdr:row>24</xdr:row>
      <xdr:rowOff>16650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8</xdr:col>
      <xdr:colOff>479250</xdr:colOff>
      <xdr:row>24</xdr:row>
      <xdr:rowOff>7125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U132"/>
  <sheetViews>
    <sheetView tabSelected="1" zoomScaleNormal="100" zoomScaleSheetLayoutView="100" workbookViewId="0">
      <selection activeCell="B60" sqref="B60:J62"/>
    </sheetView>
  </sheetViews>
  <sheetFormatPr baseColWidth="10" defaultColWidth="11.42578125" defaultRowHeight="12.75" x14ac:dyDescent="0.2"/>
  <cols>
    <col min="1" max="1" width="1.42578125" style="2" customWidth="1"/>
    <col min="2" max="2" width="18.140625" style="2" customWidth="1"/>
    <col min="3" max="3" width="17.140625" style="2" customWidth="1"/>
    <col min="4" max="10" width="13.5703125" style="2" customWidth="1"/>
    <col min="11" max="11" width="1.42578125" style="3" customWidth="1"/>
    <col min="12" max="12" width="1" style="2" customWidth="1"/>
    <col min="13" max="20" width="11.42578125" style="2"/>
    <col min="21" max="21" width="12" style="2" customWidth="1"/>
    <col min="22" max="16384" width="11.42578125" style="2"/>
  </cols>
  <sheetData>
    <row r="1" spans="1:12" ht="7.5" customHeight="1" x14ac:dyDescent="0.2">
      <c r="A1" s="31"/>
      <c r="B1" s="31"/>
      <c r="C1" s="31"/>
      <c r="D1" s="31"/>
      <c r="E1" s="31"/>
      <c r="F1" s="31"/>
      <c r="G1" s="31"/>
      <c r="H1" s="31"/>
      <c r="I1" s="31"/>
      <c r="J1" s="31"/>
      <c r="K1" s="32"/>
      <c r="L1" s="124"/>
    </row>
    <row r="2" spans="1:12" ht="18.75" customHeight="1" x14ac:dyDescent="0.2">
      <c r="A2" s="31"/>
      <c r="B2" s="214"/>
      <c r="C2" s="214"/>
      <c r="D2" s="208" t="s">
        <v>13</v>
      </c>
      <c r="E2" s="209"/>
      <c r="F2" s="209"/>
      <c r="G2" s="209"/>
      <c r="H2" s="210"/>
      <c r="I2" s="202" t="s">
        <v>140</v>
      </c>
      <c r="J2" s="203"/>
      <c r="K2" s="31"/>
      <c r="L2" s="124"/>
    </row>
    <row r="3" spans="1:12" ht="12.75" customHeight="1" x14ac:dyDescent="0.2">
      <c r="A3" s="31"/>
      <c r="B3" s="214"/>
      <c r="C3" s="214"/>
      <c r="D3" s="211"/>
      <c r="E3" s="212"/>
      <c r="F3" s="212"/>
      <c r="G3" s="212"/>
      <c r="H3" s="213"/>
      <c r="I3" s="204" t="s">
        <v>145</v>
      </c>
      <c r="J3" s="205"/>
      <c r="K3" s="31"/>
      <c r="L3" s="124"/>
    </row>
    <row r="4" spans="1:12" ht="12.75" customHeight="1" x14ac:dyDescent="0.2">
      <c r="A4" s="31"/>
      <c r="B4" s="214"/>
      <c r="C4" s="214"/>
      <c r="D4" s="208" t="s">
        <v>131</v>
      </c>
      <c r="E4" s="209"/>
      <c r="F4" s="209"/>
      <c r="G4" s="209"/>
      <c r="H4" s="210"/>
      <c r="I4" s="206"/>
      <c r="J4" s="207"/>
      <c r="K4" s="31"/>
      <c r="L4" s="124"/>
    </row>
    <row r="5" spans="1:12" ht="19.5" customHeight="1" x14ac:dyDescent="0.2">
      <c r="A5" s="31"/>
      <c r="B5" s="214"/>
      <c r="C5" s="214"/>
      <c r="D5" s="211"/>
      <c r="E5" s="212"/>
      <c r="F5" s="212"/>
      <c r="G5" s="212"/>
      <c r="H5" s="213"/>
      <c r="I5" s="202" t="s">
        <v>12</v>
      </c>
      <c r="J5" s="203"/>
      <c r="K5" s="31"/>
      <c r="L5" s="124"/>
    </row>
    <row r="6" spans="1:12" ht="12.75" customHeight="1" x14ac:dyDescent="0.2">
      <c r="A6" s="31"/>
      <c r="B6" s="33"/>
      <c r="C6" s="33"/>
      <c r="D6" s="34"/>
      <c r="E6" s="34"/>
      <c r="F6" s="34"/>
      <c r="G6" s="34"/>
      <c r="H6" s="34"/>
      <c r="I6" s="35"/>
      <c r="J6" s="35"/>
      <c r="K6" s="31"/>
      <c r="L6" s="124"/>
    </row>
    <row r="7" spans="1:12" ht="15" customHeight="1" x14ac:dyDescent="0.2">
      <c r="A7" s="31"/>
      <c r="B7" s="36" t="s">
        <v>31</v>
      </c>
      <c r="C7" s="37"/>
      <c r="D7" s="37"/>
      <c r="E7" s="37"/>
      <c r="F7" s="37"/>
      <c r="G7" s="37"/>
      <c r="H7" s="34"/>
      <c r="I7" s="34"/>
      <c r="J7" s="34"/>
      <c r="K7" s="31"/>
      <c r="L7" s="124"/>
    </row>
    <row r="8" spans="1:12" ht="15" customHeight="1" x14ac:dyDescent="0.2">
      <c r="A8" s="31"/>
      <c r="B8" s="38" t="s">
        <v>6</v>
      </c>
      <c r="C8" s="10" t="s">
        <v>150</v>
      </c>
      <c r="D8" s="39" t="s">
        <v>14</v>
      </c>
      <c r="E8" s="10" t="s">
        <v>32</v>
      </c>
      <c r="F8" s="40" t="s">
        <v>30</v>
      </c>
      <c r="G8" s="10"/>
      <c r="H8" s="41"/>
      <c r="I8" s="42"/>
      <c r="J8" s="42"/>
      <c r="K8" s="31"/>
      <c r="L8" s="124"/>
    </row>
    <row r="9" spans="1:12" ht="15" customHeight="1" x14ac:dyDescent="0.2">
      <c r="A9" s="31"/>
      <c r="B9" s="43" t="s">
        <v>54</v>
      </c>
      <c r="C9" s="30">
        <v>0.57291666666666663</v>
      </c>
      <c r="D9" s="32"/>
      <c r="E9" s="44" t="s">
        <v>55</v>
      </c>
      <c r="F9" s="30">
        <v>0.60624999999999996</v>
      </c>
      <c r="G9" s="32"/>
      <c r="H9" s="45"/>
      <c r="I9" s="32"/>
      <c r="J9" s="32"/>
      <c r="K9" s="31"/>
      <c r="L9" s="124"/>
    </row>
    <row r="10" spans="1:12" ht="15" customHeight="1" x14ac:dyDescent="0.2">
      <c r="A10" s="31"/>
      <c r="B10" s="221" t="s">
        <v>15</v>
      </c>
      <c r="C10" s="222"/>
      <c r="D10" s="222"/>
      <c r="E10" s="223">
        <v>46217</v>
      </c>
      <c r="F10" s="223"/>
      <c r="G10" s="46"/>
      <c r="H10" s="47"/>
      <c r="I10" s="48"/>
      <c r="J10" s="48"/>
      <c r="K10" s="31"/>
      <c r="L10" s="124"/>
    </row>
    <row r="11" spans="1:12" ht="11.25" customHeight="1" x14ac:dyDescent="0.2">
      <c r="A11" s="31"/>
      <c r="B11" s="31"/>
      <c r="C11" s="31"/>
      <c r="D11" s="31"/>
      <c r="E11" s="31"/>
      <c r="F11" s="31"/>
      <c r="G11" s="31"/>
      <c r="H11" s="31"/>
      <c r="I11" s="31"/>
      <c r="J11" s="48"/>
      <c r="K11" s="31"/>
      <c r="L11" s="124"/>
    </row>
    <row r="12" spans="1:12" s="3" customFormat="1" ht="12.75" customHeight="1" x14ac:dyDescent="0.25">
      <c r="A12" s="32"/>
      <c r="B12" s="49" t="s">
        <v>44</v>
      </c>
      <c r="C12" s="50"/>
      <c r="D12" s="50"/>
      <c r="E12" s="50"/>
      <c r="F12" s="50"/>
      <c r="G12" s="50"/>
      <c r="H12" s="50"/>
      <c r="I12" s="50"/>
      <c r="J12" s="51"/>
      <c r="K12" s="52"/>
      <c r="L12" s="125"/>
    </row>
    <row r="13" spans="1:12" s="3" customFormat="1" ht="12.75" customHeight="1" x14ac:dyDescent="0.2">
      <c r="A13" s="32"/>
      <c r="B13" s="49" t="s">
        <v>47</v>
      </c>
      <c r="C13" s="50"/>
      <c r="D13" s="50"/>
      <c r="E13" s="50"/>
      <c r="F13" s="50"/>
      <c r="G13" s="50"/>
      <c r="H13" s="50"/>
      <c r="I13" s="50"/>
      <c r="J13" s="51"/>
      <c r="K13" s="52"/>
      <c r="L13" s="125"/>
    </row>
    <row r="14" spans="1:12" s="3" customFormat="1" ht="11.25" customHeight="1" x14ac:dyDescent="0.2">
      <c r="A14" s="32"/>
      <c r="B14" s="49"/>
      <c r="C14" s="50"/>
      <c r="D14" s="50"/>
      <c r="E14" s="50"/>
      <c r="F14" s="50"/>
      <c r="G14" s="50"/>
      <c r="H14" s="50"/>
      <c r="I14" s="50"/>
      <c r="J14" s="51"/>
      <c r="K14" s="52"/>
      <c r="L14" s="125"/>
    </row>
    <row r="15" spans="1:12" ht="12.75" customHeight="1" x14ac:dyDescent="0.2">
      <c r="A15" s="31"/>
      <c r="B15" s="53" t="s">
        <v>33</v>
      </c>
      <c r="C15" s="37"/>
      <c r="D15" s="37"/>
      <c r="E15" s="37"/>
      <c r="F15" s="37"/>
      <c r="G15" s="37"/>
      <c r="H15" s="54"/>
      <c r="I15" s="54"/>
      <c r="J15" s="32"/>
      <c r="K15" s="31"/>
      <c r="L15" s="124"/>
    </row>
    <row r="16" spans="1:12" ht="15" customHeight="1" x14ac:dyDescent="0.2">
      <c r="A16" s="31"/>
      <c r="B16" s="38" t="s">
        <v>2</v>
      </c>
      <c r="C16" s="103" t="s">
        <v>97</v>
      </c>
      <c r="D16" s="40"/>
      <c r="E16" s="39" t="s">
        <v>3</v>
      </c>
      <c r="F16" s="103" t="s">
        <v>122</v>
      </c>
      <c r="G16" s="39" t="s">
        <v>5</v>
      </c>
      <c r="H16" s="41" t="s">
        <v>73</v>
      </c>
      <c r="I16" s="32"/>
      <c r="J16" s="32"/>
      <c r="K16" s="31"/>
      <c r="L16" s="124"/>
    </row>
    <row r="17" spans="1:21" ht="15" customHeight="1" x14ac:dyDescent="0.2">
      <c r="A17" s="31"/>
      <c r="B17" s="43" t="s">
        <v>134</v>
      </c>
      <c r="C17" s="21">
        <v>1.0980000000000001</v>
      </c>
      <c r="D17" s="32"/>
      <c r="E17" s="44" t="s">
        <v>18</v>
      </c>
      <c r="F17" s="254">
        <v>-0.4</v>
      </c>
      <c r="G17" s="44" t="s">
        <v>1</v>
      </c>
      <c r="H17" s="24" t="s">
        <v>155</v>
      </c>
      <c r="I17" s="32"/>
      <c r="J17" s="32"/>
      <c r="K17" s="31"/>
      <c r="L17" s="124"/>
    </row>
    <row r="18" spans="1:21" ht="15" customHeight="1" x14ac:dyDescent="0.2">
      <c r="A18" s="31"/>
      <c r="B18" s="109" t="s">
        <v>135</v>
      </c>
      <c r="C18" s="22">
        <v>1.028</v>
      </c>
      <c r="D18" s="46"/>
      <c r="E18" s="110" t="s">
        <v>19</v>
      </c>
      <c r="F18" s="23">
        <v>-0.1</v>
      </c>
      <c r="G18" s="110" t="s">
        <v>58</v>
      </c>
      <c r="H18" s="172">
        <v>250</v>
      </c>
      <c r="I18" s="32"/>
      <c r="J18" s="32"/>
      <c r="K18" s="31"/>
      <c r="L18" s="124"/>
    </row>
    <row r="19" spans="1:21" ht="11.25" customHeight="1" x14ac:dyDescent="0.2">
      <c r="A19" s="31"/>
      <c r="B19" s="32"/>
      <c r="C19" s="32"/>
      <c r="D19" s="32"/>
      <c r="E19" s="32"/>
      <c r="F19" s="32"/>
      <c r="G19" s="32"/>
      <c r="H19" s="32"/>
      <c r="I19" s="32"/>
      <c r="J19" s="58"/>
      <c r="K19" s="31"/>
      <c r="L19" s="124"/>
    </row>
    <row r="20" spans="1:21" ht="12.75" customHeight="1" x14ac:dyDescent="0.2">
      <c r="A20" s="31"/>
      <c r="B20" s="59" t="s">
        <v>16</v>
      </c>
      <c r="C20" s="59"/>
      <c r="D20" s="59"/>
      <c r="E20" s="59"/>
      <c r="F20" s="59"/>
      <c r="G20" s="59"/>
      <c r="H20" s="58"/>
      <c r="I20" s="58"/>
      <c r="J20" s="31"/>
      <c r="K20" s="31"/>
      <c r="L20" s="124"/>
    </row>
    <row r="21" spans="1:21" ht="15" customHeight="1" x14ac:dyDescent="0.2">
      <c r="A21" s="31"/>
      <c r="B21" s="60" t="s">
        <v>7</v>
      </c>
      <c r="C21" s="61"/>
      <c r="D21" s="61"/>
      <c r="E21" s="40"/>
      <c r="F21" s="61"/>
      <c r="G21" s="55"/>
      <c r="H21" s="60" t="s">
        <v>100</v>
      </c>
      <c r="I21" s="61"/>
      <c r="J21" s="62"/>
      <c r="K21" s="31"/>
      <c r="L21" s="124"/>
    </row>
    <row r="22" spans="1:21" ht="15" customHeight="1" x14ac:dyDescent="0.2">
      <c r="A22" s="31"/>
      <c r="B22" s="56" t="s">
        <v>11</v>
      </c>
      <c r="C22" s="11" t="s">
        <v>153</v>
      </c>
      <c r="D22" s="57" t="s">
        <v>10</v>
      </c>
      <c r="E22" s="12" t="s">
        <v>154</v>
      </c>
      <c r="F22" s="57" t="s">
        <v>1</v>
      </c>
      <c r="G22" s="13">
        <v>1137</v>
      </c>
      <c r="H22" s="43" t="s">
        <v>2</v>
      </c>
      <c r="I22" s="176" t="s">
        <v>153</v>
      </c>
      <c r="J22" s="45"/>
      <c r="K22" s="31"/>
      <c r="L22" s="124"/>
    </row>
    <row r="23" spans="1:21" ht="15" customHeight="1" x14ac:dyDescent="0.2">
      <c r="A23" s="31"/>
      <c r="B23" s="60" t="s">
        <v>4</v>
      </c>
      <c r="C23" s="63"/>
      <c r="D23" s="63"/>
      <c r="E23" s="40"/>
      <c r="F23" s="63"/>
      <c r="G23" s="55"/>
      <c r="H23" s="43" t="s">
        <v>1</v>
      </c>
      <c r="I23" s="14">
        <v>1137</v>
      </c>
      <c r="J23" s="64"/>
      <c r="K23" s="31"/>
      <c r="L23" s="124"/>
    </row>
    <row r="24" spans="1:21" ht="15" customHeight="1" x14ac:dyDescent="0.2">
      <c r="A24" s="31"/>
      <c r="B24" s="56" t="s">
        <v>11</v>
      </c>
      <c r="C24" s="11" t="s">
        <v>153</v>
      </c>
      <c r="D24" s="57" t="s">
        <v>3</v>
      </c>
      <c r="E24" s="12" t="s">
        <v>156</v>
      </c>
      <c r="F24" s="57" t="s">
        <v>1</v>
      </c>
      <c r="G24" s="13">
        <v>220</v>
      </c>
      <c r="H24" s="56" t="s">
        <v>99</v>
      </c>
      <c r="I24" s="15"/>
      <c r="J24" s="100" t="s">
        <v>51</v>
      </c>
      <c r="K24" s="31"/>
      <c r="L24" s="124"/>
      <c r="N24" s="163"/>
      <c r="O24" s="164"/>
      <c r="P24" s="163"/>
      <c r="Q24" s="163"/>
      <c r="R24" s="163"/>
      <c r="S24" s="163"/>
      <c r="T24" s="163"/>
      <c r="U24" s="163"/>
    </row>
    <row r="25" spans="1:21" ht="11.25" customHeight="1" x14ac:dyDescent="0.2">
      <c r="A25" s="31"/>
      <c r="B25" s="65"/>
      <c r="C25" s="65"/>
      <c r="D25" s="65"/>
      <c r="E25" s="65"/>
      <c r="F25" s="65"/>
      <c r="G25" s="66"/>
      <c r="H25" s="66"/>
      <c r="I25" s="66"/>
      <c r="J25" s="32"/>
      <c r="K25" s="31"/>
      <c r="L25" s="124"/>
      <c r="N25" s="163"/>
      <c r="O25" s="164"/>
      <c r="P25" s="163"/>
      <c r="Q25" s="163"/>
      <c r="R25" s="163"/>
      <c r="S25" s="163"/>
      <c r="T25" s="163"/>
      <c r="U25" s="163"/>
    </row>
    <row r="26" spans="1:21" ht="12.75" customHeight="1" x14ac:dyDescent="0.2">
      <c r="A26" s="31"/>
      <c r="B26" s="66" t="s">
        <v>34</v>
      </c>
      <c r="C26" s="65"/>
      <c r="D26" s="65"/>
      <c r="E26" s="65"/>
      <c r="F26" s="65"/>
      <c r="G26" s="66"/>
      <c r="H26" s="66"/>
      <c r="I26" s="66"/>
      <c r="J26" s="32"/>
      <c r="K26" s="31"/>
      <c r="L26" s="124"/>
      <c r="N26" s="165"/>
      <c r="O26" s="166"/>
      <c r="P26" s="163"/>
      <c r="Q26" s="163"/>
      <c r="R26" s="163"/>
      <c r="S26" s="163"/>
      <c r="T26" s="163"/>
      <c r="U26" s="163"/>
    </row>
    <row r="27" spans="1:21" ht="15" customHeight="1" x14ac:dyDescent="0.2">
      <c r="A27" s="31"/>
      <c r="B27" s="67" t="s">
        <v>20</v>
      </c>
      <c r="C27" s="68"/>
      <c r="D27" s="26" t="s">
        <v>48</v>
      </c>
      <c r="E27" s="31"/>
      <c r="F27" s="31"/>
      <c r="G27" s="31"/>
      <c r="H27" s="31"/>
      <c r="I27" s="31"/>
      <c r="J27" s="69"/>
      <c r="K27" s="31"/>
      <c r="L27" s="124"/>
      <c r="N27" s="31"/>
      <c r="O27" s="31"/>
      <c r="P27" s="31"/>
      <c r="Q27" s="31"/>
      <c r="R27" s="31"/>
      <c r="S27" s="31"/>
      <c r="T27" s="31"/>
      <c r="U27" s="31"/>
    </row>
    <row r="28" spans="1:21" ht="11.25" customHeight="1" x14ac:dyDescent="0.25">
      <c r="A28" s="31"/>
      <c r="B28" s="32"/>
      <c r="C28" s="32"/>
      <c r="D28" s="70"/>
      <c r="E28" s="31"/>
      <c r="F28" s="196" t="s">
        <v>59</v>
      </c>
      <c r="G28" s="32"/>
      <c r="H28" s="70"/>
      <c r="I28" s="31"/>
      <c r="J28" s="69"/>
      <c r="K28" s="31"/>
      <c r="L28" s="124"/>
      <c r="N28" s="160"/>
      <c r="O28" s="161"/>
      <c r="P28" s="161"/>
      <c r="Q28" s="161"/>
      <c r="R28" s="161"/>
      <c r="S28" s="161"/>
      <c r="T28" s="161"/>
      <c r="U28" s="161"/>
    </row>
    <row r="29" spans="1:21" ht="12.75" customHeight="1" x14ac:dyDescent="0.2">
      <c r="A29" s="31"/>
      <c r="B29" s="196" t="s">
        <v>40</v>
      </c>
      <c r="C29" s="32"/>
      <c r="D29" s="70"/>
      <c r="E29" s="31"/>
      <c r="F29" s="71" t="s">
        <v>102</v>
      </c>
      <c r="G29" s="72" t="s">
        <v>139</v>
      </c>
      <c r="H29" s="151">
        <v>5.0999999999999996</v>
      </c>
      <c r="I29" s="31"/>
      <c r="J29" s="69"/>
      <c r="K29" s="31"/>
      <c r="L29" s="124"/>
      <c r="N29" s="246" t="s">
        <v>146</v>
      </c>
      <c r="O29" s="247"/>
      <c r="P29" s="240" t="s">
        <v>103</v>
      </c>
      <c r="Q29" s="242"/>
      <c r="R29" s="240" t="s">
        <v>104</v>
      </c>
      <c r="S29" s="241"/>
      <c r="T29" s="241"/>
      <c r="U29" s="242"/>
    </row>
    <row r="30" spans="1:21" ht="15" customHeight="1" x14ac:dyDescent="0.2">
      <c r="A30" s="31"/>
      <c r="B30" s="71" t="s">
        <v>35</v>
      </c>
      <c r="C30" s="40"/>
      <c r="D30" s="194">
        <v>2.1000000000000001E-2</v>
      </c>
      <c r="E30" s="31"/>
      <c r="F30" s="73" t="s">
        <v>101</v>
      </c>
      <c r="G30" s="74" t="s">
        <v>139</v>
      </c>
      <c r="H30" s="152">
        <v>3.1</v>
      </c>
      <c r="I30" s="31"/>
      <c r="J30" s="69"/>
      <c r="K30" s="31"/>
      <c r="L30" s="124"/>
      <c r="N30" s="248"/>
      <c r="O30" s="249"/>
      <c r="P30" s="157" t="s">
        <v>105</v>
      </c>
      <c r="Q30" s="158" t="s">
        <v>106</v>
      </c>
      <c r="R30" s="243" t="s">
        <v>48</v>
      </c>
      <c r="S30" s="244"/>
      <c r="T30" s="244"/>
      <c r="U30" s="245"/>
    </row>
    <row r="31" spans="1:21" ht="15" customHeight="1" x14ac:dyDescent="0.2">
      <c r="A31" s="31"/>
      <c r="B31" s="73" t="s">
        <v>21</v>
      </c>
      <c r="C31" s="32"/>
      <c r="D31" s="27">
        <f>H18</f>
        <v>250</v>
      </c>
      <c r="E31" s="31"/>
      <c r="F31" s="73" t="s">
        <v>45</v>
      </c>
      <c r="G31" s="74" t="s">
        <v>139</v>
      </c>
      <c r="H31" s="75">
        <v>7.1</v>
      </c>
      <c r="I31" s="31"/>
      <c r="J31" s="69"/>
      <c r="K31" s="31"/>
      <c r="L31" s="124"/>
      <c r="N31" s="153" t="s">
        <v>107</v>
      </c>
      <c r="O31" s="153" t="s">
        <v>108</v>
      </c>
      <c r="P31" s="154">
        <v>0.8</v>
      </c>
      <c r="Q31" s="155">
        <v>0.2</v>
      </c>
      <c r="R31" s="156">
        <v>0.9</v>
      </c>
      <c r="S31" s="156">
        <v>0.7</v>
      </c>
      <c r="T31" s="156">
        <v>0.4</v>
      </c>
      <c r="U31" s="156">
        <v>0.2</v>
      </c>
    </row>
    <row r="32" spans="1:21" ht="15" customHeight="1" x14ac:dyDescent="0.2">
      <c r="A32" s="31"/>
      <c r="B32" s="76" t="s">
        <v>36</v>
      </c>
      <c r="C32" s="46"/>
      <c r="D32" s="28">
        <f>D31*D30</f>
        <v>5.25</v>
      </c>
      <c r="E32" s="31"/>
      <c r="F32" s="76" t="s">
        <v>46</v>
      </c>
      <c r="G32" s="77" t="s">
        <v>139</v>
      </c>
      <c r="H32" s="78">
        <v>7.1</v>
      </c>
      <c r="I32" s="31"/>
      <c r="J32" s="69"/>
      <c r="K32" s="31"/>
      <c r="L32" s="124"/>
      <c r="N32" s="153" t="s">
        <v>73</v>
      </c>
      <c r="O32" s="171">
        <v>200</v>
      </c>
      <c r="P32" s="157">
        <f>O32*$P$31</f>
        <v>160</v>
      </c>
      <c r="Q32" s="158">
        <f>O32*$Q$31</f>
        <v>40</v>
      </c>
      <c r="R32" s="159">
        <v>180</v>
      </c>
      <c r="S32" s="159">
        <v>139.6</v>
      </c>
      <c r="T32" s="159">
        <v>79.8</v>
      </c>
      <c r="U32" s="159">
        <v>38</v>
      </c>
    </row>
    <row r="33" spans="1:21" ht="11.25" customHeight="1" x14ac:dyDescent="0.2">
      <c r="A33" s="31"/>
      <c r="B33" s="42"/>
      <c r="C33" s="66"/>
      <c r="D33" s="32"/>
      <c r="E33" s="66"/>
      <c r="F33" s="79"/>
      <c r="G33" s="32"/>
      <c r="H33" s="69"/>
      <c r="I33" s="32"/>
      <c r="J33" s="58"/>
      <c r="K33" s="31"/>
      <c r="L33" s="124"/>
    </row>
    <row r="34" spans="1:21" ht="12.75" customHeight="1" x14ac:dyDescent="0.2">
      <c r="A34" s="31"/>
      <c r="B34" s="66" t="s">
        <v>60</v>
      </c>
      <c r="C34" s="66"/>
      <c r="D34" s="32"/>
      <c r="E34" s="66"/>
      <c r="F34" s="79"/>
      <c r="G34" s="32"/>
      <c r="H34" s="69"/>
      <c r="I34" s="32"/>
      <c r="J34" s="58"/>
      <c r="K34" s="31"/>
      <c r="L34" s="124"/>
      <c r="N34" s="3"/>
      <c r="O34" s="3"/>
      <c r="P34" s="3"/>
      <c r="Q34" s="3"/>
      <c r="R34" s="3"/>
      <c r="S34" s="3"/>
      <c r="T34" s="3"/>
      <c r="U34" s="3"/>
    </row>
    <row r="35" spans="1:21" ht="12.75" customHeight="1" x14ac:dyDescent="0.2">
      <c r="A35" s="31"/>
      <c r="B35" s="215"/>
      <c r="C35" s="216"/>
      <c r="D35" s="80">
        <v>1</v>
      </c>
      <c r="E35" s="80">
        <v>2</v>
      </c>
      <c r="F35" s="81">
        <v>7</v>
      </c>
      <c r="G35" s="80">
        <v>6</v>
      </c>
      <c r="H35" s="80">
        <v>5</v>
      </c>
      <c r="I35" s="80">
        <v>4</v>
      </c>
      <c r="J35" s="82">
        <v>3</v>
      </c>
      <c r="K35" s="31"/>
      <c r="L35" s="124"/>
      <c r="N35" s="167" t="s">
        <v>114</v>
      </c>
      <c r="O35" s="31"/>
      <c r="P35" s="31"/>
      <c r="Q35" s="48"/>
      <c r="R35" s="48"/>
      <c r="S35" s="48"/>
      <c r="T35" s="48"/>
      <c r="U35" s="48"/>
    </row>
    <row r="36" spans="1:21" ht="45" customHeight="1" x14ac:dyDescent="0.2">
      <c r="A36" s="31"/>
      <c r="B36" s="217" t="s">
        <v>74</v>
      </c>
      <c r="C36" s="186" t="s">
        <v>8</v>
      </c>
      <c r="D36" s="187" t="s">
        <v>26</v>
      </c>
      <c r="E36" s="187" t="s">
        <v>25</v>
      </c>
      <c r="F36" s="189" t="str">
        <f>IF($D$27="MULTIPUNTO","20%          Multipunto",IF($D$27="ZERO/SPAN","+",IF($D$27="PRECISIÓN","20%           Precisión", IF($D$27="AJUSTE PREC","20%           Precisión","???" ))))</f>
        <v>20%          Multipunto</v>
      </c>
      <c r="G36" s="189" t="str">
        <f>IF($D$27="MULTIPUNTO","40%          Multipunto",IF($D$27="ZERO/SPAN","+",IF($D$27="PRECISIÓN","+","???")))</f>
        <v>40%          Multipunto</v>
      </c>
      <c r="H36" s="189" t="str">
        <f>IF($D$27="MULTIPUNTO","70%          Multipunto",IF($D$27="ZERO/SPAN","+",IF($D$27="PRECISIÓN","+","???")))</f>
        <v>70%          Multipunto</v>
      </c>
      <c r="I36" s="189" t="str">
        <f>IF($D$27="MULTIPUNTO","90%      Multipunto      Dejado", IF($D$27="ZERO/SPAN","80%         SPAN        Dejado", IF($D$27="PRECISIÓN","+", IF($D$27="AJUSTE PREC","80%         SPAN        Dejado","???"))))</f>
        <v>90%      Multipunto      Dejado</v>
      </c>
      <c r="J36" s="189" t="str">
        <f>IF($D$27="MULTIPUNTO","90%      Multipunto      Encontrado", IF($D$27="ZERO/SPAN","80%         SPAN        Encontrado", IF($D$27="PRECISIÓN","+", IF($D$27="AJUSTE PREC","80%         SPAN        Encontrado","???"))))</f>
        <v>90%      Multipunto      Encontrado</v>
      </c>
      <c r="K36" s="31"/>
      <c r="L36" s="124"/>
      <c r="N36" s="150" t="s">
        <v>109</v>
      </c>
      <c r="O36" s="162" t="s">
        <v>110</v>
      </c>
      <c r="P36" s="162" t="s">
        <v>111</v>
      </c>
    </row>
    <row r="37" spans="1:21" ht="26.25" customHeight="1" x14ac:dyDescent="0.2">
      <c r="A37" s="31"/>
      <c r="B37" s="218"/>
      <c r="C37" s="188" t="s">
        <v>9</v>
      </c>
      <c r="D37" s="180">
        <v>0</v>
      </c>
      <c r="E37" s="180">
        <v>0</v>
      </c>
      <c r="F37" s="181">
        <f t="shared" ref="F37:I37" si="0">P46</f>
        <v>38</v>
      </c>
      <c r="G37" s="181">
        <f t="shared" si="0"/>
        <v>79.8</v>
      </c>
      <c r="H37" s="181">
        <f t="shared" si="0"/>
        <v>139.6</v>
      </c>
      <c r="I37" s="181">
        <f t="shared" si="0"/>
        <v>180</v>
      </c>
      <c r="J37" s="181">
        <f>T46</f>
        <v>180</v>
      </c>
      <c r="K37" s="31"/>
      <c r="L37" s="124"/>
      <c r="N37" s="168">
        <f>J37</f>
        <v>180</v>
      </c>
      <c r="O37" s="162">
        <f>IFERROR(J37-(J37*($H$31/100)), "+++")</f>
        <v>167.22</v>
      </c>
      <c r="P37" s="162">
        <f>IFERROR(J37+(J37*($H$31/100)), "+++")</f>
        <v>192.78</v>
      </c>
    </row>
    <row r="38" spans="1:21" ht="26.25" customHeight="1" x14ac:dyDescent="0.2">
      <c r="A38" s="31"/>
      <c r="B38" s="219" t="s">
        <v>70</v>
      </c>
      <c r="C38" s="186" t="s">
        <v>23</v>
      </c>
      <c r="D38" s="200">
        <f t="shared" ref="D38:E38" si="1">N52</f>
        <v>-0.36000000000000004</v>
      </c>
      <c r="E38" s="200">
        <f t="shared" si="1"/>
        <v>-0.2</v>
      </c>
      <c r="F38" s="200">
        <f>P52</f>
        <v>39.660000000000004</v>
      </c>
      <c r="G38" s="200">
        <f t="shared" ref="G38:J38" si="2">Q52</f>
        <v>80.440000000000012</v>
      </c>
      <c r="H38" s="200">
        <f t="shared" si="2"/>
        <v>140</v>
      </c>
      <c r="I38" s="200">
        <f t="shared" si="2"/>
        <v>180.16</v>
      </c>
      <c r="J38" s="200">
        <f t="shared" si="2"/>
        <v>179.66</v>
      </c>
      <c r="K38" s="31"/>
      <c r="L38" s="124"/>
      <c r="N38" s="168">
        <f>F37</f>
        <v>38</v>
      </c>
      <c r="O38" s="162">
        <f>IFERROR(F37-(F37*($H$32/100)), "+++")</f>
        <v>35.302</v>
      </c>
      <c r="P38" s="162">
        <f>IFERROR(F37+(F37*($H$32/100)), "+++")</f>
        <v>40.698</v>
      </c>
    </row>
    <row r="39" spans="1:21" ht="26.25" customHeight="1" x14ac:dyDescent="0.2">
      <c r="A39" s="31"/>
      <c r="B39" s="220"/>
      <c r="C39" s="186" t="s">
        <v>22</v>
      </c>
      <c r="D39" s="195">
        <f t="shared" ref="D39:J39" si="3">IFERROR(_xlfn.STDEV.S(N47:N51),"+")</f>
        <v>0.30495901363953803</v>
      </c>
      <c r="E39" s="195">
        <f t="shared" si="3"/>
        <v>0.18708286933869711</v>
      </c>
      <c r="F39" s="195">
        <f t="shared" si="3"/>
        <v>0.24083189157584578</v>
      </c>
      <c r="G39" s="195">
        <f t="shared" si="3"/>
        <v>0.38470768123342575</v>
      </c>
      <c r="H39" s="195">
        <f t="shared" si="3"/>
        <v>0.43011626335213332</v>
      </c>
      <c r="I39" s="195">
        <f t="shared" si="3"/>
        <v>0.4449719092257397</v>
      </c>
      <c r="J39" s="195">
        <f t="shared" si="3"/>
        <v>1.0064790112068978</v>
      </c>
      <c r="K39" s="31"/>
      <c r="L39" s="124"/>
      <c r="N39" s="81" t="s">
        <v>112</v>
      </c>
      <c r="O39" s="169">
        <f>H30*-1</f>
        <v>-3.1</v>
      </c>
      <c r="P39" s="169">
        <f>H30</f>
        <v>3.1</v>
      </c>
    </row>
    <row r="40" spans="1:21" ht="12.75" customHeight="1" x14ac:dyDescent="0.2">
      <c r="A40" s="31"/>
      <c r="B40" s="31"/>
      <c r="C40" s="31"/>
      <c r="K40" s="31"/>
      <c r="L40" s="124"/>
      <c r="N40" s="81" t="s">
        <v>113</v>
      </c>
      <c r="O40" s="169">
        <f>H29*-1</f>
        <v>-5.0999999999999996</v>
      </c>
      <c r="P40" s="169">
        <f>H29</f>
        <v>5.0999999999999996</v>
      </c>
    </row>
    <row r="41" spans="1:21" ht="15" customHeight="1" x14ac:dyDescent="0.2">
      <c r="A41" s="31"/>
      <c r="B41" s="84" t="s">
        <v>61</v>
      </c>
      <c r="C41" s="85"/>
      <c r="D41" s="85"/>
      <c r="E41" s="19"/>
      <c r="F41" s="84"/>
      <c r="G41" s="84"/>
      <c r="H41" s="84"/>
      <c r="I41" s="84"/>
      <c r="J41" s="84"/>
      <c r="K41" s="31"/>
      <c r="L41" s="124"/>
    </row>
    <row r="42" spans="1:21" ht="15" customHeight="1" x14ac:dyDescent="0.2">
      <c r="A42" s="31"/>
      <c r="B42" s="86" t="s">
        <v>24</v>
      </c>
      <c r="C42" s="83" t="s">
        <v>39</v>
      </c>
      <c r="D42" s="83" t="s">
        <v>38</v>
      </c>
      <c r="E42" s="86" t="s">
        <v>29</v>
      </c>
      <c r="F42" s="31"/>
      <c r="G42" s="87"/>
      <c r="H42" s="88"/>
      <c r="I42" s="31"/>
      <c r="J42" s="87"/>
      <c r="K42" s="31"/>
      <c r="L42" s="124"/>
      <c r="N42" s="173" t="s">
        <v>115</v>
      </c>
    </row>
    <row r="43" spans="1:21" ht="15" customHeight="1" x14ac:dyDescent="0.2">
      <c r="A43" s="31"/>
      <c r="B43" s="18">
        <f>IF(D27="MULTIPUNTO",CORREL(E38:I38,E37:I37),"---")</f>
        <v>0.99995502941715453</v>
      </c>
      <c r="C43" s="25">
        <f>IF(D27="MULTIPUNTO",SLOPE(E38:I38,E37:I37),"---")</f>
        <v>0.99841835736965379</v>
      </c>
      <c r="D43" s="25">
        <f>IF(D27="MULTIPUNTO",INTERCEPT(E38:I38,E37:I37),"---")</f>
        <v>0.67036209730268581</v>
      </c>
      <c r="E43" s="18">
        <f>IF(D27="MULTIPUNTO",LINEST(E38:I38,E37:I37,0,FALSE),"---")</f>
        <v>1.003329838090995</v>
      </c>
      <c r="F43" s="89"/>
      <c r="G43" s="89"/>
      <c r="H43" s="5"/>
      <c r="I43" s="6"/>
      <c r="J43" s="6"/>
      <c r="K43" s="31"/>
      <c r="L43" s="124"/>
      <c r="N43" s="253" t="s">
        <v>26</v>
      </c>
      <c r="O43" s="253" t="s">
        <v>25</v>
      </c>
      <c r="P43" s="250" t="str">
        <f>F36</f>
        <v>20%          Multipunto</v>
      </c>
      <c r="Q43" s="250" t="str">
        <f>G36</f>
        <v>40%          Multipunto</v>
      </c>
      <c r="R43" s="250" t="str">
        <f>H36</f>
        <v>70%          Multipunto</v>
      </c>
      <c r="S43" s="250" t="str">
        <f>I36</f>
        <v>90%      Multipunto      Dejado</v>
      </c>
      <c r="T43" s="250" t="str">
        <f>J36</f>
        <v>90%      Multipunto      Encontrado</v>
      </c>
      <c r="U43" s="31"/>
    </row>
    <row r="44" spans="1:21" ht="11.25" customHeight="1" x14ac:dyDescent="0.2">
      <c r="A44" s="31"/>
      <c r="B44" s="17"/>
      <c r="C44" s="17"/>
      <c r="D44" s="17"/>
      <c r="E44" s="17"/>
      <c r="F44" s="89"/>
      <c r="G44" s="89"/>
      <c r="H44" s="5"/>
      <c r="I44" s="6"/>
      <c r="J44" s="6"/>
      <c r="K44" s="31"/>
      <c r="L44" s="124"/>
      <c r="N44" s="253"/>
      <c r="O44" s="253"/>
      <c r="P44" s="250"/>
      <c r="Q44" s="250"/>
      <c r="R44" s="250"/>
      <c r="S44" s="250"/>
      <c r="T44" s="250"/>
      <c r="U44" s="31"/>
    </row>
    <row r="45" spans="1:21" ht="15" customHeight="1" x14ac:dyDescent="0.2">
      <c r="A45" s="31"/>
      <c r="B45" s="84" t="s">
        <v>144</v>
      </c>
      <c r="C45" s="17"/>
      <c r="D45" s="17"/>
      <c r="E45" s="17"/>
      <c r="F45" s="89"/>
      <c r="G45" s="89"/>
      <c r="H45" s="5"/>
      <c r="I45" s="31"/>
      <c r="J45" s="31"/>
      <c r="K45" s="31"/>
      <c r="L45" s="124"/>
      <c r="N45" s="253"/>
      <c r="O45" s="253"/>
      <c r="P45" s="250"/>
      <c r="Q45" s="250"/>
      <c r="R45" s="250"/>
      <c r="S45" s="250"/>
      <c r="T45" s="250"/>
      <c r="U45" s="31"/>
    </row>
    <row r="46" spans="1:21" ht="15" customHeight="1" x14ac:dyDescent="0.2">
      <c r="A46" s="31"/>
      <c r="B46" s="228" t="s">
        <v>28</v>
      </c>
      <c r="C46" s="229"/>
      <c r="D46" s="20">
        <f>IF(D27="MULTIPUNTO",F37,"+")</f>
        <v>38</v>
      </c>
      <c r="E46" s="20">
        <f>IF(D27="MULTIPUNTO",G37,"+")</f>
        <v>79.8</v>
      </c>
      <c r="F46" s="20">
        <f>IF(D27="MULTIPUNTO",H37,"+")</f>
        <v>139.6</v>
      </c>
      <c r="G46" s="20">
        <f>IF(D27="MULTIPUNTO",I37,"+")</f>
        <v>180</v>
      </c>
      <c r="H46" s="31"/>
      <c r="I46" s="31"/>
      <c r="J46" s="31"/>
      <c r="K46" s="31"/>
      <c r="L46" s="124"/>
      <c r="N46" s="177">
        <v>0</v>
      </c>
      <c r="O46" s="177">
        <v>0</v>
      </c>
      <c r="P46" s="178">
        <f>IF($D$27="MULTIPUNTO",U32,IF($D$27="ZERO/SPAN","+",IF($D$27="PRECISIÓN",Q32,IF($D$27="AJUSTE PREC",Q32,"+"))))</f>
        <v>38</v>
      </c>
      <c r="Q46" s="179">
        <f>IF($D$27="MULTIPUNTO",T32,IF($D$27="ZERO/SPAN","+",IF($D$27="PRECISIÓN","+","+")))</f>
        <v>79.8</v>
      </c>
      <c r="R46" s="178">
        <f>IF($D$27="MULTIPUNTO",S32,IF($D$27="ZERO/SPAN",O32,IF($D$27="PRECISIÓN","+", IF($D$27="AJUSTE PREC",O32,"+"))))</f>
        <v>139.6</v>
      </c>
      <c r="S46" s="178">
        <f>IF($D$27="MULTIPUNTO",R32,IF($D$27="ZERO/SPAN",P32,IF($D$27="PRECISIÓN","+", IF($D$27="AJUSTE PREC",P32,"+"))))</f>
        <v>180</v>
      </c>
      <c r="T46" s="178">
        <f>IF($D$27="MULTIPUNTO",R32,IF($D$27="ZERO/SPAN",P32,IF($D$27="PRECISIÓN","+", IF($D$27="AJUSTE PREC",P32,"+"))))</f>
        <v>180</v>
      </c>
      <c r="U46" s="174" t="s">
        <v>116</v>
      </c>
    </row>
    <row r="47" spans="1:21" ht="15" customHeight="1" x14ac:dyDescent="0.2">
      <c r="A47" s="31"/>
      <c r="B47" s="202" t="s">
        <v>49</v>
      </c>
      <c r="C47" s="230"/>
      <c r="D47" s="101">
        <f>IFERROR(($C$43*F37)+$D$43,"---")</f>
        <v>38.610259677349532</v>
      </c>
      <c r="E47" s="101">
        <f>IFERROR(($C$43*G37)+$D$43,"---")</f>
        <v>80.344147015401049</v>
      </c>
      <c r="F47" s="101">
        <f>IFERROR(($C$43*H37)+$D$43,"---")</f>
        <v>140.04956478610637</v>
      </c>
      <c r="G47" s="101">
        <f>IFERROR(($C$43*I37)+$D$43,"---")</f>
        <v>180.38566642384035</v>
      </c>
      <c r="H47" s="31"/>
      <c r="I47" s="31"/>
      <c r="J47" s="31"/>
      <c r="K47" s="31"/>
      <c r="L47" s="124"/>
      <c r="N47" s="182">
        <v>-0.7</v>
      </c>
      <c r="O47" s="182">
        <v>-0.3</v>
      </c>
      <c r="P47" s="182">
        <v>39.5</v>
      </c>
      <c r="Q47" s="183">
        <v>80</v>
      </c>
      <c r="R47" s="182">
        <v>139.6</v>
      </c>
      <c r="S47" s="182">
        <v>180.5</v>
      </c>
      <c r="T47" s="182">
        <v>179</v>
      </c>
      <c r="U47" s="251" t="s">
        <v>117</v>
      </c>
    </row>
    <row r="48" spans="1:21" ht="15" customHeight="1" x14ac:dyDescent="0.2">
      <c r="A48" s="31"/>
      <c r="B48" s="202" t="s">
        <v>27</v>
      </c>
      <c r="C48" s="230"/>
      <c r="D48" s="102">
        <f>IFERROR(ABS(F38-D47),"---")</f>
        <v>1.0497403226504716</v>
      </c>
      <c r="E48" s="102">
        <f>IFERROR(ABS(G38-E47),"---")</f>
        <v>9.5852984598963076E-2</v>
      </c>
      <c r="F48" s="102">
        <f>IFERROR(ABS(H38-F47),"---")</f>
        <v>4.9564786106373049E-2</v>
      </c>
      <c r="G48" s="102">
        <f>IFERROR(ABS(I38-G47),"---")</f>
        <v>0.22566642384035163</v>
      </c>
      <c r="H48" s="31"/>
      <c r="I48" s="31"/>
      <c r="J48" s="31"/>
      <c r="K48" s="31"/>
      <c r="L48" s="124"/>
      <c r="N48" s="182">
        <v>-0.4</v>
      </c>
      <c r="O48" s="182">
        <v>-0.2</v>
      </c>
      <c r="P48" s="182">
        <v>39.4</v>
      </c>
      <c r="Q48" s="183">
        <v>80.2</v>
      </c>
      <c r="R48" s="182">
        <v>140.30000000000001</v>
      </c>
      <c r="S48" s="182">
        <v>179.9</v>
      </c>
      <c r="T48" s="182">
        <v>179.7</v>
      </c>
      <c r="U48" s="252"/>
    </row>
    <row r="49" spans="1:21" ht="15" customHeight="1" x14ac:dyDescent="0.2">
      <c r="A49" s="31"/>
      <c r="B49" s="202" t="s">
        <v>37</v>
      </c>
      <c r="C49" s="230"/>
      <c r="D49" s="29">
        <f>IFERROR((F38-D47)/D47,"---")</f>
        <v>2.7188118687176174E-2</v>
      </c>
      <c r="E49" s="16">
        <f>IFERROR((G38-E47)/E47,"---")</f>
        <v>1.1930300856960888E-3</v>
      </c>
      <c r="F49" s="16">
        <f>IFERROR((H38-F47)/F47,"---")</f>
        <v>-3.5390889062791381E-4</v>
      </c>
      <c r="G49" s="16">
        <f>IFERROR((I38-G47)/G47,"---")</f>
        <v>-1.2510219260443789E-3</v>
      </c>
      <c r="H49" s="31"/>
      <c r="I49" s="31"/>
      <c r="J49" s="19"/>
      <c r="K49" s="31"/>
      <c r="L49" s="124"/>
      <c r="N49" s="182">
        <v>-0.1</v>
      </c>
      <c r="O49" s="182">
        <v>-0.4</v>
      </c>
      <c r="P49" s="182">
        <v>40</v>
      </c>
      <c r="Q49" s="183">
        <v>81</v>
      </c>
      <c r="R49" s="182">
        <v>139.69999999999999</v>
      </c>
      <c r="S49" s="182">
        <v>180.5</v>
      </c>
      <c r="T49" s="182">
        <v>179.6</v>
      </c>
      <c r="U49" s="252"/>
    </row>
    <row r="50" spans="1:21" ht="11.25" customHeight="1" x14ac:dyDescent="0.2">
      <c r="A50" s="31"/>
      <c r="B50" s="85"/>
      <c r="C50" s="4"/>
      <c r="D50" s="90"/>
      <c r="E50" s="32"/>
      <c r="F50" s="91"/>
      <c r="G50" s="91"/>
      <c r="H50" s="7"/>
      <c r="I50" s="8"/>
      <c r="J50" s="8"/>
      <c r="K50" s="31"/>
      <c r="L50" s="124"/>
      <c r="N50" s="182">
        <v>0</v>
      </c>
      <c r="O50" s="182">
        <v>0.1</v>
      </c>
      <c r="P50" s="182">
        <v>39.6</v>
      </c>
      <c r="Q50" s="183">
        <v>80.400000000000006</v>
      </c>
      <c r="R50" s="182">
        <v>140.6</v>
      </c>
      <c r="S50" s="182">
        <v>179.5</v>
      </c>
      <c r="T50" s="182">
        <v>178.7</v>
      </c>
      <c r="U50" s="252"/>
    </row>
    <row r="51" spans="1:21" ht="15" customHeight="1" thickBot="1" x14ac:dyDescent="0.25">
      <c r="A51" s="31"/>
      <c r="B51" s="197" t="s">
        <v>143</v>
      </c>
      <c r="C51" s="6"/>
      <c r="D51" s="9"/>
      <c r="E51" s="32"/>
      <c r="F51" s="91"/>
      <c r="G51" s="91"/>
      <c r="H51" s="7"/>
      <c r="I51" s="8"/>
      <c r="J51" s="8"/>
      <c r="K51" s="31"/>
      <c r="L51" s="124"/>
      <c r="N51" s="184">
        <v>-0.6</v>
      </c>
      <c r="O51" s="184">
        <v>-0.2</v>
      </c>
      <c r="P51" s="184">
        <v>39.799999999999997</v>
      </c>
      <c r="Q51" s="185">
        <v>80.599999999999994</v>
      </c>
      <c r="R51" s="184">
        <v>139.80000000000001</v>
      </c>
      <c r="S51" s="184">
        <v>180.4</v>
      </c>
      <c r="T51" s="184">
        <v>181.3</v>
      </c>
      <c r="U51" s="252"/>
    </row>
    <row r="52" spans="1:21" ht="15" customHeight="1" thickBot="1" x14ac:dyDescent="0.25">
      <c r="A52" s="31"/>
      <c r="B52" s="224" t="s">
        <v>62</v>
      </c>
      <c r="C52" s="225"/>
      <c r="D52" s="104" t="s">
        <v>63</v>
      </c>
      <c r="E52" s="80" t="s">
        <v>64</v>
      </c>
      <c r="F52" s="91"/>
      <c r="G52" s="91"/>
      <c r="H52" s="7"/>
      <c r="I52" s="8"/>
      <c r="J52" s="8"/>
      <c r="K52" s="31"/>
      <c r="L52" s="124"/>
      <c r="N52" s="199">
        <f>IFERROR(AVERAGE(N47:N51),"+")</f>
        <v>-0.36000000000000004</v>
      </c>
      <c r="O52" s="198">
        <f>IFERROR(AVERAGE(O47:O51),"+")</f>
        <v>-0.2</v>
      </c>
      <c r="P52" s="198">
        <f>IFERROR(AVERAGE(P47:P51),"+")</f>
        <v>39.660000000000004</v>
      </c>
      <c r="Q52" s="198">
        <f>IFERROR(AVERAGE(Q47:Q51),"+")</f>
        <v>80.440000000000012</v>
      </c>
      <c r="R52" s="198">
        <f>IFERROR( AVERAGE(R47:R51),"+")</f>
        <v>140</v>
      </c>
      <c r="S52" s="198">
        <f>IFERROR( AVERAGE(S47:S51),"+")</f>
        <v>180.16</v>
      </c>
      <c r="T52" s="198">
        <f>IFERROR(AVERAGE(T47:T51),"+")</f>
        <v>179.66</v>
      </c>
      <c r="U52" s="190" t="s">
        <v>118</v>
      </c>
    </row>
    <row r="53" spans="1:21" ht="15" customHeight="1" thickBot="1" x14ac:dyDescent="0.25">
      <c r="A53" s="31"/>
      <c r="B53" s="105" t="s">
        <v>43</v>
      </c>
      <c r="C53" s="170" t="str">
        <f>IF(D27="ZERO/SPAN",((J38-J37)/J37)*100,"---")</f>
        <v>---</v>
      </c>
      <c r="D53" s="106" t="str">
        <f>IF(D27="ZERO/SPAN",-H31,"---")</f>
        <v>---</v>
      </c>
      <c r="E53" s="106" t="str">
        <f>IF(D27="ZERO/SPAN",H31,"---")</f>
        <v>---</v>
      </c>
      <c r="F53" s="91"/>
      <c r="G53" s="91"/>
      <c r="H53" s="7"/>
      <c r="I53" s="8"/>
      <c r="J53" s="8"/>
      <c r="K53" s="31"/>
      <c r="L53" s="124"/>
      <c r="N53" s="191">
        <f>IFERROR(_xlfn.STDEV.S(N47:N51),"+")</f>
        <v>0.30495901363953803</v>
      </c>
      <c r="O53" s="192">
        <f t="shared" ref="O53:T53" si="4">IFERROR(_xlfn.STDEV.S(O47:O51),"+")</f>
        <v>0.18708286933869711</v>
      </c>
      <c r="P53" s="192">
        <f t="shared" si="4"/>
        <v>0.24083189157584578</v>
      </c>
      <c r="Q53" s="192">
        <f t="shared" si="4"/>
        <v>0.38470768123342575</v>
      </c>
      <c r="R53" s="192">
        <f t="shared" si="4"/>
        <v>0.43011626335213332</v>
      </c>
      <c r="S53" s="192">
        <f t="shared" si="4"/>
        <v>0.4449719092257397</v>
      </c>
      <c r="T53" s="193">
        <f t="shared" si="4"/>
        <v>1.0064790112068978</v>
      </c>
      <c r="U53" s="190" t="s">
        <v>136</v>
      </c>
    </row>
    <row r="54" spans="1:21" ht="15" customHeight="1" x14ac:dyDescent="0.2">
      <c r="A54" s="31"/>
      <c r="B54" s="105" t="s">
        <v>42</v>
      </c>
      <c r="C54" s="170" t="str">
        <f>IF(D27="ZERO/SPAN",((I38-I37)/I37)*100,"---")</f>
        <v>---</v>
      </c>
      <c r="D54" s="106" t="str">
        <f>IF(D27="ZERO/SPAN",-H31,"---")</f>
        <v>---</v>
      </c>
      <c r="E54" s="106" t="str">
        <f>IF(D27="ZERO/SPAN",H31,"---")</f>
        <v>---</v>
      </c>
      <c r="F54" s="92"/>
      <c r="G54" s="92"/>
      <c r="H54" s="32"/>
      <c r="I54" s="93"/>
      <c r="J54" s="19"/>
      <c r="K54" s="31"/>
      <c r="L54" s="124"/>
      <c r="N54" s="175" t="s">
        <v>119</v>
      </c>
      <c r="O54" s="31"/>
      <c r="P54" s="31"/>
      <c r="Q54" s="31"/>
      <c r="R54" s="31"/>
      <c r="S54" s="31"/>
      <c r="T54" s="31"/>
    </row>
    <row r="55" spans="1:21" ht="15" customHeight="1" x14ac:dyDescent="0.2">
      <c r="A55" s="31"/>
      <c r="B55" s="107" t="s">
        <v>41</v>
      </c>
      <c r="C55" s="170" t="str">
        <f>IF(D27="PRECISIÓN",((F38-F37)/F37)*100,"---")</f>
        <v>---</v>
      </c>
      <c r="D55" s="106" t="str">
        <f>IF(D27="PRECISIÓN",-H32,"---")</f>
        <v>---</v>
      </c>
      <c r="E55" s="106" t="str">
        <f>IF(D27="PRECISIÓN",H32,"---")</f>
        <v>---</v>
      </c>
      <c r="F55" s="19"/>
      <c r="G55" s="19"/>
      <c r="H55" s="32"/>
      <c r="I55" s="93"/>
      <c r="J55" s="19"/>
      <c r="K55" s="31"/>
      <c r="L55" s="124"/>
      <c r="N55" s="31"/>
      <c r="O55" s="31"/>
      <c r="P55" s="31"/>
      <c r="Q55" s="31"/>
      <c r="R55" s="31"/>
      <c r="S55" s="31"/>
      <c r="T55" s="31"/>
    </row>
    <row r="56" spans="1:21" ht="15" customHeight="1" x14ac:dyDescent="0.2">
      <c r="A56" s="31"/>
      <c r="B56" s="121" t="s">
        <v>65</v>
      </c>
      <c r="C56" s="101">
        <f>D38</f>
        <v>-0.36000000000000004</v>
      </c>
      <c r="D56" s="106">
        <f>-H30</f>
        <v>-3.1</v>
      </c>
      <c r="E56" s="106">
        <f>H30</f>
        <v>3.1</v>
      </c>
      <c r="F56" s="19"/>
      <c r="G56" s="19"/>
      <c r="H56" s="31"/>
      <c r="I56" s="93"/>
      <c r="J56" s="19"/>
      <c r="K56" s="31"/>
      <c r="L56" s="124"/>
      <c r="N56" s="31"/>
      <c r="O56" s="31"/>
      <c r="P56" s="31"/>
      <c r="Q56" s="31"/>
      <c r="R56" s="31"/>
      <c r="S56" s="31"/>
      <c r="T56" s="31"/>
    </row>
    <row r="57" spans="1:21" ht="15" customHeight="1" x14ac:dyDescent="0.2">
      <c r="A57" s="31"/>
      <c r="B57" s="121" t="s">
        <v>66</v>
      </c>
      <c r="C57" s="101">
        <f>E38</f>
        <v>-0.2</v>
      </c>
      <c r="D57" s="106">
        <f>-H29</f>
        <v>-5.0999999999999996</v>
      </c>
      <c r="E57" s="106">
        <f>H29</f>
        <v>5.0999999999999996</v>
      </c>
      <c r="F57" s="1"/>
      <c r="G57" s="1"/>
      <c r="H57" s="1"/>
      <c r="I57" s="1"/>
      <c r="J57" s="1"/>
      <c r="K57" s="31"/>
      <c r="L57" s="124"/>
      <c r="N57" s="31"/>
      <c r="O57" s="31"/>
      <c r="P57" s="31"/>
      <c r="Q57" s="31"/>
      <c r="R57" s="31"/>
      <c r="S57" s="31"/>
      <c r="T57" s="31"/>
    </row>
    <row r="58" spans="1:21" x14ac:dyDescent="0.2">
      <c r="A58" s="31"/>
      <c r="B58" s="94"/>
      <c r="C58" s="95"/>
      <c r="D58" s="94"/>
      <c r="E58" s="96"/>
      <c r="F58" s="32"/>
      <c r="G58" s="32"/>
      <c r="H58" s="32"/>
      <c r="I58" s="32"/>
      <c r="J58" s="32"/>
      <c r="K58" s="31"/>
      <c r="L58" s="124"/>
      <c r="N58" s="31"/>
      <c r="O58" s="31"/>
      <c r="P58" s="31"/>
      <c r="Q58" s="31"/>
      <c r="R58" s="31"/>
      <c r="S58" s="31"/>
      <c r="T58" s="31"/>
    </row>
    <row r="59" spans="1:21" x14ac:dyDescent="0.2">
      <c r="A59" s="31"/>
      <c r="B59" s="97" t="s">
        <v>0</v>
      </c>
      <c r="C59" s="126"/>
      <c r="D59" s="32"/>
      <c r="E59" s="32"/>
      <c r="F59" s="32"/>
      <c r="G59" s="32"/>
      <c r="H59" s="32"/>
      <c r="I59" s="32"/>
      <c r="J59" s="32"/>
      <c r="K59" s="31"/>
      <c r="L59" s="124"/>
      <c r="N59" s="31"/>
      <c r="O59" s="31"/>
      <c r="P59" s="31"/>
      <c r="Q59" s="31"/>
      <c r="R59" s="31"/>
      <c r="S59" s="31"/>
      <c r="T59" s="31"/>
    </row>
    <row r="60" spans="1:21" x14ac:dyDescent="0.2">
      <c r="A60" s="31"/>
      <c r="B60" s="231" t="s">
        <v>157</v>
      </c>
      <c r="C60" s="232"/>
      <c r="D60" s="232"/>
      <c r="E60" s="232"/>
      <c r="F60" s="232"/>
      <c r="G60" s="232"/>
      <c r="H60" s="232"/>
      <c r="I60" s="232"/>
      <c r="J60" s="233"/>
      <c r="K60" s="31"/>
      <c r="L60" s="124"/>
      <c r="N60" s="31"/>
      <c r="O60" s="31"/>
      <c r="P60" s="31"/>
      <c r="Q60" s="31"/>
      <c r="R60" s="31"/>
      <c r="S60" s="31"/>
      <c r="T60" s="31"/>
    </row>
    <row r="61" spans="1:21" x14ac:dyDescent="0.2">
      <c r="A61" s="31"/>
      <c r="B61" s="234"/>
      <c r="C61" s="235"/>
      <c r="D61" s="235"/>
      <c r="E61" s="235"/>
      <c r="F61" s="235"/>
      <c r="G61" s="235"/>
      <c r="H61" s="235"/>
      <c r="I61" s="235"/>
      <c r="J61" s="236"/>
      <c r="K61" s="31"/>
      <c r="L61" s="124"/>
      <c r="N61" s="31"/>
      <c r="O61" s="31"/>
      <c r="P61" s="31"/>
      <c r="Q61" s="31"/>
      <c r="R61" s="31"/>
      <c r="S61" s="31"/>
      <c r="T61" s="31"/>
    </row>
    <row r="62" spans="1:21" x14ac:dyDescent="0.2">
      <c r="A62" s="31"/>
      <c r="B62" s="237"/>
      <c r="C62" s="238"/>
      <c r="D62" s="238"/>
      <c r="E62" s="238"/>
      <c r="F62" s="238"/>
      <c r="G62" s="238"/>
      <c r="H62" s="238"/>
      <c r="I62" s="238"/>
      <c r="J62" s="239"/>
      <c r="K62" s="31"/>
      <c r="L62" s="124"/>
      <c r="N62" s="31"/>
      <c r="O62" s="31"/>
      <c r="P62" s="31"/>
      <c r="Q62" s="31"/>
      <c r="R62" s="31"/>
      <c r="S62" s="31"/>
      <c r="T62" s="31"/>
    </row>
    <row r="63" spans="1:21" x14ac:dyDescent="0.2">
      <c r="A63" s="31"/>
      <c r="B63" s="32"/>
      <c r="C63" s="32"/>
      <c r="D63" s="32"/>
      <c r="E63" s="32"/>
      <c r="F63" s="32"/>
      <c r="G63" s="32"/>
      <c r="H63" s="32"/>
      <c r="I63" s="32"/>
      <c r="J63" s="32"/>
      <c r="K63" s="31"/>
      <c r="L63" s="124"/>
      <c r="N63" s="31"/>
      <c r="O63" s="31"/>
      <c r="P63" s="31"/>
      <c r="Q63" s="31"/>
      <c r="R63" s="31"/>
      <c r="S63" s="31"/>
      <c r="T63" s="31"/>
    </row>
    <row r="64" spans="1:21" ht="14.25" x14ac:dyDescent="0.2">
      <c r="A64" s="31"/>
      <c r="B64" s="97" t="s">
        <v>141</v>
      </c>
      <c r="C64" s="122"/>
      <c r="D64" s="226" t="s">
        <v>147</v>
      </c>
      <c r="E64" s="226"/>
      <c r="F64" s="226"/>
      <c r="G64" s="226"/>
      <c r="H64" s="226"/>
      <c r="I64" s="32"/>
      <c r="J64" s="32"/>
      <c r="K64" s="31"/>
      <c r="L64" s="124"/>
    </row>
    <row r="65" spans="1:12" ht="14.25" x14ac:dyDescent="0.2">
      <c r="A65" s="31"/>
      <c r="B65" s="98"/>
      <c r="C65" s="32"/>
      <c r="D65" s="123"/>
      <c r="E65" s="123"/>
      <c r="F65" s="123"/>
      <c r="G65" s="32"/>
      <c r="H65" s="32"/>
      <c r="I65" s="32"/>
      <c r="J65" s="31"/>
      <c r="K65" s="31"/>
      <c r="L65" s="124"/>
    </row>
    <row r="66" spans="1:12" ht="14.25" x14ac:dyDescent="0.2">
      <c r="A66" s="31"/>
      <c r="B66" s="97" t="s">
        <v>142</v>
      </c>
      <c r="C66" s="122"/>
      <c r="D66" s="227" t="s">
        <v>57</v>
      </c>
      <c r="E66" s="227"/>
      <c r="F66" s="227"/>
      <c r="G66" s="227"/>
      <c r="H66" s="227"/>
      <c r="I66" s="31"/>
      <c r="J66" s="31"/>
      <c r="K66" s="31"/>
      <c r="L66" s="124"/>
    </row>
    <row r="67" spans="1:12" ht="14.25" x14ac:dyDescent="0.2">
      <c r="A67" s="31"/>
      <c r="B67" s="98"/>
      <c r="C67" s="31"/>
      <c r="D67" s="3"/>
      <c r="E67" s="3"/>
      <c r="F67" s="3"/>
      <c r="G67" s="32"/>
      <c r="H67" s="31"/>
      <c r="I67" s="32"/>
      <c r="J67" s="31"/>
      <c r="K67" s="31"/>
      <c r="L67" s="124"/>
    </row>
    <row r="68" spans="1:12" ht="7.5" customHeight="1" x14ac:dyDescent="0.2">
      <c r="A68" s="31"/>
      <c r="B68" s="31"/>
      <c r="C68" s="31"/>
      <c r="D68" s="99"/>
      <c r="E68" s="31"/>
      <c r="F68" s="31"/>
      <c r="G68" s="31"/>
      <c r="H68" s="31"/>
      <c r="I68" s="31"/>
      <c r="J68" s="31"/>
      <c r="K68" s="32"/>
      <c r="L68" s="124"/>
    </row>
    <row r="69" spans="1:12" ht="5.25" customHeight="1" x14ac:dyDescent="0.2">
      <c r="A69" s="124"/>
      <c r="B69" s="124"/>
      <c r="C69" s="124"/>
      <c r="D69" s="124"/>
      <c r="E69" s="124"/>
      <c r="F69" s="124"/>
      <c r="G69" s="124"/>
      <c r="H69" s="124"/>
      <c r="I69" s="124"/>
      <c r="J69" s="124"/>
      <c r="K69" s="125"/>
      <c r="L69" s="124"/>
    </row>
    <row r="70" spans="1:12" x14ac:dyDescent="0.2">
      <c r="B70" s="31"/>
      <c r="C70" s="31"/>
      <c r="D70" s="31"/>
      <c r="E70" s="31"/>
      <c r="F70" s="31"/>
      <c r="G70" s="31"/>
    </row>
    <row r="71" spans="1:12" x14ac:dyDescent="0.2">
      <c r="B71" s="127" t="s">
        <v>31</v>
      </c>
      <c r="C71" s="128"/>
      <c r="D71" s="31"/>
      <c r="E71" s="141" t="s">
        <v>133</v>
      </c>
      <c r="F71" s="127"/>
      <c r="G71" s="31"/>
    </row>
    <row r="72" spans="1:12" x14ac:dyDescent="0.2">
      <c r="B72" s="129" t="s">
        <v>6</v>
      </c>
      <c r="C72" s="130" t="s">
        <v>14</v>
      </c>
      <c r="D72" s="31"/>
      <c r="E72" s="129" t="s">
        <v>56</v>
      </c>
      <c r="F72" s="134"/>
      <c r="G72" s="31"/>
    </row>
    <row r="73" spans="1:12" x14ac:dyDescent="0.2">
      <c r="B73" s="131" t="s">
        <v>127</v>
      </c>
      <c r="C73" s="132" t="s">
        <v>75</v>
      </c>
      <c r="D73" s="31"/>
      <c r="E73" s="131" t="s">
        <v>124</v>
      </c>
      <c r="F73" s="134"/>
      <c r="G73" s="31"/>
    </row>
    <row r="74" spans="1:12" x14ac:dyDescent="0.2">
      <c r="B74" s="131" t="s">
        <v>76</v>
      </c>
      <c r="C74" s="131" t="s">
        <v>77</v>
      </c>
      <c r="D74" s="31"/>
      <c r="E74" s="131" t="s">
        <v>125</v>
      </c>
      <c r="F74" s="134"/>
      <c r="G74" s="31"/>
    </row>
    <row r="75" spans="1:12" x14ac:dyDescent="0.2">
      <c r="B75" s="131" t="s">
        <v>129</v>
      </c>
      <c r="C75" s="131" t="s">
        <v>32</v>
      </c>
      <c r="D75" s="31"/>
      <c r="E75" s="131" t="s">
        <v>48</v>
      </c>
      <c r="F75" s="134"/>
      <c r="G75" s="31"/>
    </row>
    <row r="76" spans="1:12" x14ac:dyDescent="0.2">
      <c r="B76" s="131" t="s">
        <v>78</v>
      </c>
      <c r="C76" s="131" t="s">
        <v>80</v>
      </c>
      <c r="D76" s="31"/>
      <c r="E76" s="131" t="s">
        <v>132</v>
      </c>
      <c r="F76" s="134"/>
      <c r="G76" s="31"/>
    </row>
    <row r="77" spans="1:12" x14ac:dyDescent="0.2">
      <c r="B77" s="131" t="s">
        <v>79</v>
      </c>
      <c r="C77" s="131" t="s">
        <v>81</v>
      </c>
      <c r="D77" s="31"/>
      <c r="E77" s="31"/>
      <c r="F77" s="134"/>
      <c r="G77" s="31"/>
    </row>
    <row r="78" spans="1:12" x14ac:dyDescent="0.2">
      <c r="B78" s="131" t="s">
        <v>126</v>
      </c>
      <c r="C78" s="131" t="s">
        <v>83</v>
      </c>
      <c r="D78" s="31"/>
      <c r="E78" s="31"/>
      <c r="F78" s="134"/>
      <c r="G78" s="31"/>
    </row>
    <row r="79" spans="1:12" x14ac:dyDescent="0.2">
      <c r="B79" s="131" t="s">
        <v>82</v>
      </c>
      <c r="C79" s="131" t="s">
        <v>85</v>
      </c>
      <c r="D79" s="31"/>
      <c r="E79" s="31"/>
      <c r="F79" s="134"/>
      <c r="G79" s="31"/>
    </row>
    <row r="80" spans="1:12" x14ac:dyDescent="0.2">
      <c r="B80" s="131" t="s">
        <v>84</v>
      </c>
      <c r="C80" s="131" t="s">
        <v>87</v>
      </c>
      <c r="D80" s="31"/>
      <c r="E80" s="31"/>
      <c r="F80" s="134"/>
      <c r="G80" s="31"/>
    </row>
    <row r="81" spans="2:7" x14ac:dyDescent="0.2">
      <c r="B81" s="131" t="s">
        <v>86</v>
      </c>
      <c r="C81" s="131" t="s">
        <v>89</v>
      </c>
      <c r="D81" s="31"/>
      <c r="E81" s="31"/>
      <c r="F81" s="134"/>
      <c r="G81" s="31"/>
    </row>
    <row r="82" spans="2:7" x14ac:dyDescent="0.2">
      <c r="B82" s="131" t="s">
        <v>88</v>
      </c>
      <c r="C82" s="133" t="s">
        <v>90</v>
      </c>
      <c r="D82" s="31"/>
      <c r="E82" s="31"/>
      <c r="F82" s="134"/>
      <c r="G82" s="31"/>
    </row>
    <row r="83" spans="2:7" x14ac:dyDescent="0.2">
      <c r="B83" s="131" t="s">
        <v>50</v>
      </c>
      <c r="C83" s="134"/>
      <c r="D83" s="31"/>
      <c r="E83" s="31"/>
      <c r="F83" s="134"/>
      <c r="G83" s="31"/>
    </row>
    <row r="84" spans="2:7" x14ac:dyDescent="0.2">
      <c r="B84" s="131" t="s">
        <v>128</v>
      </c>
      <c r="C84" s="134"/>
      <c r="D84" s="134"/>
      <c r="E84" s="134"/>
      <c r="F84" s="134"/>
      <c r="G84" s="31"/>
    </row>
    <row r="85" spans="2:7" x14ac:dyDescent="0.2">
      <c r="B85" s="131" t="s">
        <v>91</v>
      </c>
      <c r="C85" s="134"/>
      <c r="D85" s="134"/>
      <c r="E85" s="134"/>
      <c r="F85" s="134"/>
      <c r="G85" s="31"/>
    </row>
    <row r="86" spans="2:7" x14ac:dyDescent="0.2">
      <c r="B86" s="131" t="s">
        <v>92</v>
      </c>
      <c r="C86" s="134"/>
      <c r="D86" s="134"/>
      <c r="E86" s="134"/>
      <c r="F86" s="134"/>
      <c r="G86" s="31"/>
    </row>
    <row r="87" spans="2:7" x14ac:dyDescent="0.2">
      <c r="B87" s="131" t="s">
        <v>93</v>
      </c>
      <c r="C87" s="134"/>
      <c r="D87" s="134"/>
      <c r="E87" s="134"/>
      <c r="F87" s="134"/>
      <c r="G87" s="31"/>
    </row>
    <row r="88" spans="2:7" x14ac:dyDescent="0.2">
      <c r="B88" s="131" t="s">
        <v>94</v>
      </c>
      <c r="C88" s="134"/>
      <c r="D88" s="134"/>
      <c r="E88" s="134"/>
      <c r="F88" s="134"/>
      <c r="G88" s="31"/>
    </row>
    <row r="89" spans="2:7" x14ac:dyDescent="0.2">
      <c r="B89" s="131" t="s">
        <v>95</v>
      </c>
      <c r="C89" s="134"/>
      <c r="D89" s="134"/>
      <c r="E89" s="134"/>
      <c r="F89" s="134"/>
      <c r="G89" s="31"/>
    </row>
    <row r="90" spans="2:7" x14ac:dyDescent="0.2">
      <c r="B90" s="131" t="s">
        <v>130</v>
      </c>
      <c r="C90" s="134"/>
      <c r="D90" s="134"/>
      <c r="E90" s="134"/>
      <c r="F90" s="134"/>
      <c r="G90" s="31"/>
    </row>
    <row r="91" spans="2:7" x14ac:dyDescent="0.2">
      <c r="B91" s="131" t="s">
        <v>150</v>
      </c>
      <c r="C91" s="134"/>
      <c r="D91" s="134"/>
      <c r="E91" s="134"/>
      <c r="F91" s="134"/>
      <c r="G91" s="31"/>
    </row>
    <row r="92" spans="2:7" x14ac:dyDescent="0.2">
      <c r="B92" s="133" t="s">
        <v>90</v>
      </c>
      <c r="C92" s="134"/>
      <c r="D92" s="134"/>
      <c r="E92" s="134"/>
      <c r="F92" s="134"/>
      <c r="G92" s="31"/>
    </row>
    <row r="93" spans="2:7" x14ac:dyDescent="0.2">
      <c r="B93" s="134"/>
      <c r="C93" s="136"/>
      <c r="D93" s="134"/>
      <c r="E93" s="134"/>
      <c r="F93" s="134"/>
      <c r="G93" s="31"/>
    </row>
    <row r="94" spans="2:7" x14ac:dyDescent="0.2">
      <c r="B94" s="135" t="s">
        <v>96</v>
      </c>
      <c r="C94" s="129" t="s">
        <v>3</v>
      </c>
      <c r="D94" s="134"/>
      <c r="E94" s="134"/>
      <c r="F94" s="134"/>
      <c r="G94" s="31"/>
    </row>
    <row r="95" spans="2:7" x14ac:dyDescent="0.2">
      <c r="B95" s="137" t="s">
        <v>2</v>
      </c>
      <c r="C95" s="132">
        <v>9810</v>
      </c>
      <c r="D95" s="134"/>
      <c r="E95" s="134"/>
      <c r="F95" s="134"/>
      <c r="G95" s="31"/>
    </row>
    <row r="96" spans="2:7" x14ac:dyDescent="0.2">
      <c r="B96" s="138" t="s">
        <v>120</v>
      </c>
      <c r="C96" s="132">
        <v>700</v>
      </c>
      <c r="D96" s="134"/>
      <c r="E96" s="134"/>
      <c r="F96" s="134"/>
      <c r="G96" s="31"/>
    </row>
    <row r="97" spans="2:7" x14ac:dyDescent="0.2">
      <c r="B97" s="138" t="s">
        <v>97</v>
      </c>
      <c r="C97" s="131" t="s">
        <v>122</v>
      </c>
      <c r="D97" s="134"/>
      <c r="E97" s="134"/>
      <c r="F97" s="134"/>
      <c r="G97" s="31"/>
    </row>
    <row r="98" spans="2:7" x14ac:dyDescent="0.2">
      <c r="B98" s="138" t="s">
        <v>151</v>
      </c>
      <c r="C98" s="133" t="s">
        <v>90</v>
      </c>
      <c r="D98" s="134"/>
      <c r="E98" s="134"/>
      <c r="F98" s="134"/>
      <c r="G98" s="31"/>
    </row>
    <row r="99" spans="2:7" x14ac:dyDescent="0.2">
      <c r="B99" s="138" t="s">
        <v>153</v>
      </c>
      <c r="C99" s="201"/>
      <c r="D99" s="134"/>
      <c r="E99" s="134"/>
      <c r="F99" s="134"/>
      <c r="G99" s="31"/>
    </row>
    <row r="100" spans="2:7" x14ac:dyDescent="0.2">
      <c r="B100" s="138" t="s">
        <v>149</v>
      </c>
      <c r="C100" s="140" t="s">
        <v>17</v>
      </c>
      <c r="D100" s="134"/>
      <c r="E100" s="134"/>
      <c r="F100" s="134"/>
      <c r="G100" s="31"/>
    </row>
    <row r="101" spans="2:7" x14ac:dyDescent="0.2">
      <c r="B101" s="139" t="s">
        <v>90</v>
      </c>
      <c r="C101" s="140">
        <v>700</v>
      </c>
      <c r="D101" s="134"/>
      <c r="E101" s="134"/>
      <c r="F101" s="134"/>
      <c r="G101" s="31"/>
    </row>
    <row r="102" spans="2:7" x14ac:dyDescent="0.2">
      <c r="B102" s="31"/>
      <c r="C102" s="140" t="s">
        <v>123</v>
      </c>
      <c r="D102" s="134"/>
      <c r="E102" s="134"/>
      <c r="F102" s="134"/>
      <c r="G102" s="31"/>
    </row>
    <row r="103" spans="2:7" x14ac:dyDescent="0.2">
      <c r="B103" s="31"/>
      <c r="C103" s="140" t="s">
        <v>154</v>
      </c>
      <c r="D103" s="134"/>
      <c r="E103" s="134"/>
      <c r="F103" s="134"/>
      <c r="G103" s="31"/>
    </row>
    <row r="104" spans="2:7" x14ac:dyDescent="0.2">
      <c r="B104" s="31"/>
      <c r="C104" s="140">
        <v>9811</v>
      </c>
      <c r="D104" s="134"/>
      <c r="E104" s="134"/>
      <c r="F104" s="134"/>
      <c r="G104" s="31"/>
    </row>
    <row r="105" spans="2:7" x14ac:dyDescent="0.2">
      <c r="B105" s="31"/>
      <c r="C105" s="140">
        <v>143</v>
      </c>
      <c r="D105" s="134"/>
      <c r="E105" s="134"/>
      <c r="F105" s="134"/>
      <c r="G105" s="31"/>
    </row>
    <row r="106" spans="2:7" x14ac:dyDescent="0.2">
      <c r="B106" s="31"/>
      <c r="C106" s="133" t="s">
        <v>90</v>
      </c>
      <c r="D106" s="134"/>
      <c r="E106" s="134"/>
      <c r="F106" s="134"/>
      <c r="G106" s="31"/>
    </row>
    <row r="107" spans="2:7" x14ac:dyDescent="0.2">
      <c r="B107" s="31"/>
      <c r="C107" s="131" t="s">
        <v>121</v>
      </c>
      <c r="D107" s="134"/>
      <c r="E107" s="134"/>
      <c r="F107" s="134"/>
      <c r="G107" s="31"/>
    </row>
    <row r="108" spans="2:7" x14ac:dyDescent="0.2">
      <c r="B108" s="31"/>
      <c r="C108" s="132">
        <v>701</v>
      </c>
      <c r="D108" s="134"/>
      <c r="E108" s="134"/>
      <c r="F108" s="134"/>
      <c r="G108" s="31"/>
    </row>
    <row r="109" spans="2:7" x14ac:dyDescent="0.2">
      <c r="B109" s="31"/>
      <c r="C109" s="132" t="s">
        <v>156</v>
      </c>
      <c r="D109" s="134"/>
      <c r="E109" s="134"/>
      <c r="F109" s="134"/>
      <c r="G109" s="31"/>
    </row>
    <row r="110" spans="2:7" x14ac:dyDescent="0.2">
      <c r="B110" s="31"/>
      <c r="C110" s="132" t="s">
        <v>152</v>
      </c>
      <c r="D110" s="134"/>
      <c r="E110" s="134"/>
      <c r="F110" s="134"/>
      <c r="G110" s="31"/>
    </row>
    <row r="111" spans="2:7" x14ac:dyDescent="0.2">
      <c r="B111" s="31"/>
      <c r="C111" s="133" t="s">
        <v>90</v>
      </c>
      <c r="D111" s="134"/>
      <c r="E111" s="134"/>
      <c r="F111" s="134"/>
      <c r="G111" s="31"/>
    </row>
    <row r="112" spans="2:7" x14ac:dyDescent="0.2">
      <c r="B112" s="31"/>
      <c r="C112" s="134"/>
      <c r="D112" s="134"/>
      <c r="E112" s="134"/>
      <c r="F112" s="134"/>
      <c r="G112" s="31"/>
    </row>
    <row r="113" spans="2:7" x14ac:dyDescent="0.2">
      <c r="B113" s="31"/>
      <c r="C113" s="134"/>
      <c r="D113" s="134"/>
      <c r="E113" s="134"/>
      <c r="F113" s="134"/>
      <c r="G113" s="31"/>
    </row>
    <row r="114" spans="2:7" x14ac:dyDescent="0.2">
      <c r="B114" s="31"/>
      <c r="C114" s="134"/>
      <c r="D114" s="134"/>
      <c r="E114" s="134"/>
      <c r="F114" s="134"/>
      <c r="G114" s="31"/>
    </row>
    <row r="115" spans="2:7" x14ac:dyDescent="0.2">
      <c r="B115" s="31"/>
      <c r="C115" s="31"/>
      <c r="D115" s="134"/>
      <c r="E115" s="134"/>
      <c r="F115" s="134"/>
      <c r="G115" s="31"/>
    </row>
    <row r="116" spans="2:7" x14ac:dyDescent="0.2">
      <c r="B116" s="31"/>
      <c r="C116" s="134"/>
      <c r="D116" s="134"/>
      <c r="E116" s="134"/>
      <c r="F116" s="134"/>
      <c r="G116" s="31"/>
    </row>
    <row r="117" spans="2:7" x14ac:dyDescent="0.2">
      <c r="B117" s="31"/>
      <c r="C117" s="142"/>
      <c r="D117" s="134"/>
      <c r="E117" s="134"/>
      <c r="F117" s="134"/>
      <c r="G117" s="31"/>
    </row>
    <row r="118" spans="2:7" x14ac:dyDescent="0.2">
      <c r="B118" s="31"/>
      <c r="C118" s="147"/>
      <c r="D118" s="31"/>
      <c r="E118" s="31"/>
      <c r="F118" s="134"/>
      <c r="G118" s="31"/>
    </row>
    <row r="119" spans="2:7" x14ac:dyDescent="0.2">
      <c r="B119" s="31"/>
      <c r="C119" s="145"/>
      <c r="D119" s="134"/>
      <c r="E119" s="134"/>
      <c r="F119" s="134"/>
      <c r="G119" s="31"/>
    </row>
    <row r="120" spans="2:7" x14ac:dyDescent="0.2">
      <c r="B120" s="31"/>
      <c r="C120" s="145"/>
      <c r="D120" s="143"/>
      <c r="E120" s="144"/>
      <c r="F120" s="134"/>
      <c r="G120" s="31"/>
    </row>
    <row r="121" spans="2:7" x14ac:dyDescent="0.2">
      <c r="B121" s="141" t="s">
        <v>98</v>
      </c>
      <c r="C121" s="145"/>
      <c r="D121" s="145"/>
      <c r="E121" s="146"/>
      <c r="F121" s="134"/>
      <c r="G121" s="31"/>
    </row>
    <row r="122" spans="2:7" x14ac:dyDescent="0.2">
      <c r="B122" s="138" t="s">
        <v>56</v>
      </c>
      <c r="C122" s="145"/>
      <c r="D122" s="145"/>
      <c r="E122" s="146"/>
      <c r="F122" s="134"/>
      <c r="G122" s="31"/>
    </row>
    <row r="123" spans="2:7" x14ac:dyDescent="0.2">
      <c r="B123" s="138" t="s">
        <v>137</v>
      </c>
      <c r="C123" s="145"/>
      <c r="D123" s="145"/>
      <c r="E123" s="146"/>
      <c r="F123" s="134"/>
      <c r="G123" s="31"/>
    </row>
    <row r="124" spans="2:7" x14ac:dyDescent="0.2">
      <c r="B124" s="138" t="s">
        <v>147</v>
      </c>
      <c r="C124" s="145"/>
      <c r="D124" s="145"/>
      <c r="E124" s="146"/>
      <c r="F124" s="134"/>
      <c r="G124" s="31"/>
    </row>
    <row r="125" spans="2:7" x14ac:dyDescent="0.2">
      <c r="B125" s="138" t="s">
        <v>138</v>
      </c>
      <c r="C125" s="31"/>
      <c r="D125" s="145"/>
      <c r="E125" s="146"/>
      <c r="F125" s="134"/>
      <c r="G125" s="31"/>
    </row>
    <row r="126" spans="2:7" x14ac:dyDescent="0.2">
      <c r="B126" s="139" t="s">
        <v>90</v>
      </c>
      <c r="C126" s="31"/>
      <c r="D126" s="145"/>
      <c r="E126" s="146"/>
      <c r="F126" s="134"/>
      <c r="G126" s="31"/>
    </row>
    <row r="127" spans="2:7" x14ac:dyDescent="0.2">
      <c r="B127" s="138" t="s">
        <v>57</v>
      </c>
      <c r="C127" s="148"/>
      <c r="D127" s="145"/>
      <c r="E127" s="146"/>
      <c r="F127" s="134"/>
      <c r="G127" s="31"/>
    </row>
    <row r="128" spans="2:7" x14ac:dyDescent="0.2">
      <c r="B128" s="138" t="s">
        <v>138</v>
      </c>
      <c r="C128" s="31"/>
      <c r="D128" s="31"/>
      <c r="E128" s="146"/>
      <c r="F128" s="31"/>
      <c r="G128" s="31"/>
    </row>
    <row r="129" spans="2:7" x14ac:dyDescent="0.2">
      <c r="B129" s="138" t="s">
        <v>148</v>
      </c>
      <c r="D129" s="31"/>
      <c r="E129" s="146"/>
      <c r="F129" s="31"/>
      <c r="G129" s="31"/>
    </row>
    <row r="130" spans="2:7" x14ac:dyDescent="0.2">
      <c r="B130" s="138" t="s">
        <v>137</v>
      </c>
      <c r="D130" s="148"/>
      <c r="E130" s="149"/>
      <c r="F130" s="31"/>
      <c r="G130" s="31"/>
    </row>
    <row r="131" spans="2:7" x14ac:dyDescent="0.2">
      <c r="B131" s="139" t="s">
        <v>90</v>
      </c>
      <c r="D131" s="31"/>
      <c r="E131" s="31"/>
      <c r="F131" s="31"/>
      <c r="G131" s="31"/>
    </row>
    <row r="132" spans="2:7" x14ac:dyDescent="0.2">
      <c r="B132" s="31"/>
    </row>
  </sheetData>
  <sheetProtection selectLockedCells="1"/>
  <dataConsolidate/>
  <mergeCells count="31">
    <mergeCell ref="S43:S45"/>
    <mergeCell ref="T43:T45"/>
    <mergeCell ref="U47:U51"/>
    <mergeCell ref="N43:N45"/>
    <mergeCell ref="O43:O45"/>
    <mergeCell ref="P43:P45"/>
    <mergeCell ref="Q43:Q45"/>
    <mergeCell ref="R43:R45"/>
    <mergeCell ref="R29:U29"/>
    <mergeCell ref="P29:Q29"/>
    <mergeCell ref="R30:U30"/>
    <mergeCell ref="N29:O30"/>
    <mergeCell ref="I5:J5"/>
    <mergeCell ref="B52:C52"/>
    <mergeCell ref="D64:H64"/>
    <mergeCell ref="D66:H66"/>
    <mergeCell ref="B46:C46"/>
    <mergeCell ref="B47:C47"/>
    <mergeCell ref="B48:C48"/>
    <mergeCell ref="B49:C49"/>
    <mergeCell ref="B60:J62"/>
    <mergeCell ref="B35:C35"/>
    <mergeCell ref="B36:B37"/>
    <mergeCell ref="B38:B39"/>
    <mergeCell ref="B10:D10"/>
    <mergeCell ref="E10:F10"/>
    <mergeCell ref="I2:J2"/>
    <mergeCell ref="I3:J4"/>
    <mergeCell ref="D4:H5"/>
    <mergeCell ref="B2:C5"/>
    <mergeCell ref="D2:H3"/>
  </mergeCells>
  <dataValidations count="14">
    <dataValidation type="whole" allowBlank="1" showInputMessage="1" showErrorMessage="1" sqref="H18" xr:uid="{00000000-0002-0000-0000-000000000000}">
      <formula1>0</formula1>
      <formula2>1000</formula2>
    </dataValidation>
    <dataValidation type="time" allowBlank="1" showInputMessage="1" showErrorMessage="1" sqref="C9 F9" xr:uid="{00000000-0002-0000-0000-000001000000}">
      <formula1>0.0416666666666667</formula1>
      <formula2>0.999305555555556</formula2>
    </dataValidation>
    <dataValidation type="date" operator="greaterThan" allowBlank="1" showInputMessage="1" showErrorMessage="1" sqref="E10:F10" xr:uid="{00000000-0002-0000-0000-000002000000}">
      <formula1>40939</formula1>
    </dataValidation>
    <dataValidation type="list" allowBlank="1" showInputMessage="1" showErrorMessage="1" promptTitle="Ayuda" prompt="Seleccionar el Tipo de Calibración_x000a_" sqref="D27" xr:uid="{00000000-0002-0000-0000-000003000000}">
      <formula1>$E$72:$E$76</formula1>
    </dataValidation>
    <dataValidation type="list" allowBlank="1" showErrorMessage="1" sqref="E8" xr:uid="{00000000-0002-0000-0000-000004000000}">
      <formula1>$C$73:$C$82</formula1>
    </dataValidation>
    <dataValidation allowBlank="1" showErrorMessage="1" sqref="D70:J70" xr:uid="{00000000-0002-0000-0000-000005000000}"/>
    <dataValidation type="list" allowBlank="1" showErrorMessage="1" promptTitle="Selecionar" sqref="C8" xr:uid="{00000000-0002-0000-0000-000006000000}">
      <formula1>$B$73:$B$92</formula1>
    </dataValidation>
    <dataValidation type="list" allowBlank="1" showErrorMessage="1" sqref="E24" xr:uid="{00000000-0002-0000-0000-000007000000}">
      <formula1>$C$107:$C$111</formula1>
    </dataValidation>
    <dataValidation type="list" allowBlank="1" showErrorMessage="1" sqref="E22" xr:uid="{00000000-0002-0000-0000-000009000000}">
      <formula1>$C$100:$C$106</formula1>
    </dataValidation>
    <dataValidation type="list" allowBlank="1" showErrorMessage="1" prompt="_x000a_" sqref="D64:H64" xr:uid="{00000000-0002-0000-0000-00000C000000}">
      <formula1>$B$122:$B$126</formula1>
    </dataValidation>
    <dataValidation type="list" allowBlank="1" showErrorMessage="1" prompt="_x000a_" sqref="D66:H66" xr:uid="{00000000-0002-0000-0000-00000D000000}">
      <formula1>$B$127:$B$131</formula1>
    </dataValidation>
    <dataValidation type="list" allowBlank="1" showErrorMessage="1" sqref="C24 I22 C22" xr:uid="{00000000-0002-0000-0000-00000A000000}">
      <formula1>$B$96:$B$101</formula1>
    </dataValidation>
    <dataValidation type="list" allowBlank="1" showInputMessage="1" showErrorMessage="1" sqref="C16" xr:uid="{00000000-0002-0000-0000-00000B000000}">
      <formula1>$B$96:$B$101</formula1>
    </dataValidation>
    <dataValidation type="list" allowBlank="1" showInputMessage="1" showErrorMessage="1" sqref="F16" xr:uid="{00000000-0002-0000-0000-000008000000}">
      <formula1>$C$95:$C$98</formula1>
    </dataValidation>
  </dataValidations>
  <pageMargins left="0.82" right="0.59055118110236227" top="0.43307086614173229" bottom="0.35433070866141736" header="0" footer="0"/>
  <pageSetup scale="70" orientation="portrait" horizontalDpi="4294967295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3" id="{617E03F0-82DD-4DCF-B19C-7BE474689F92}">
            <x14:iconSet iconSet="3Symbols2" custom="1">
              <x14:cfvo type="percent">
                <xm:f>0</xm:f>
              </x14:cfvo>
              <x14:cfvo type="num" gte="0">
                <xm:f>-5</xm:f>
              </x14:cfvo>
              <x14:cfvo type="num">
                <xm:f>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H43:H45</xm:sqref>
        </x14:conditionalFormatting>
        <x14:conditionalFormatting xmlns:xm="http://schemas.microsoft.com/office/excel/2006/main">
          <x14:cfRule type="iconSet" priority="62" id="{854919EC-CE77-4384-96DE-994AB7D35C7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D48</xm:sqref>
        </x14:conditionalFormatting>
        <x14:conditionalFormatting xmlns:xm="http://schemas.microsoft.com/office/excel/2006/main">
          <x14:cfRule type="iconSet" priority="61" id="{794141FB-C7F2-4673-9278-EF14AEA4224C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formula" gte="0">
                <xm:f>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E48:G48</xm:sqref>
        </x14:conditionalFormatting>
        <x14:conditionalFormatting xmlns:xm="http://schemas.microsoft.com/office/excel/2006/main">
          <x14:cfRule type="iconSet" priority="53" id="{32D81E52-E479-4BA1-8A6D-AAA6EEC3D420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C53</xm:sqref>
        </x14:conditionalFormatting>
        <x14:conditionalFormatting xmlns:xm="http://schemas.microsoft.com/office/excel/2006/main">
          <x14:cfRule type="iconSet" priority="52" id="{A4F5442B-4B89-4609-8040-0172A03ECC13}">
            <x14:iconSet iconSet="3Symbols2" custom="1">
              <x14:cfvo type="percent">
                <xm:f>0</xm:f>
              </x14:cfvo>
              <x14:cfvo type="formula">
                <xm:f>-$H$31</xm:f>
              </x14:cfvo>
              <x14:cfvo type="formula" gte="0">
                <xm:f>$H$31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C54</xm:sqref>
        </x14:conditionalFormatting>
        <x14:conditionalFormatting xmlns:xm="http://schemas.microsoft.com/office/excel/2006/main">
          <x14:cfRule type="iconSet" priority="51" id="{78B2F755-053C-4D20-8E6B-14CA00B93517}">
            <x14:iconSet iconSet="3Symbols2" custom="1">
              <x14:cfvo type="percent">
                <xm:f>0</xm:f>
              </x14:cfvo>
              <x14:cfvo type="formula">
                <xm:f>-$H$32</xm:f>
              </x14:cfvo>
              <x14:cfvo type="formula" gte="0">
                <xm:f>$H$32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C55</xm:sqref>
        </x14:conditionalFormatting>
        <x14:conditionalFormatting xmlns:xm="http://schemas.microsoft.com/office/excel/2006/main">
          <x14:cfRule type="iconSet" priority="50" id="{5AD0FBF7-B777-43F5-BFCE-B2AB6BAB4E9E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 gte="0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C56</xm:sqref>
        </x14:conditionalFormatting>
        <x14:conditionalFormatting xmlns:xm="http://schemas.microsoft.com/office/excel/2006/main">
          <x14:cfRule type="iconSet" priority="49" id="{EA692A45-21A2-46CE-8183-68BDA386AD99}">
            <x14:iconSet iconSet="3Symbols2" custom="1">
              <x14:cfvo type="percent">
                <xm:f>0</xm:f>
              </x14:cfvo>
              <x14:cfvo type="formula">
                <xm:f>-$H$29</xm:f>
              </x14:cfvo>
              <x14:cfvo type="formula" gte="0">
                <xm:f>$H$29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C57</xm:sqref>
        </x14:conditionalFormatting>
        <x14:conditionalFormatting xmlns:xm="http://schemas.microsoft.com/office/excel/2006/main">
          <x14:cfRule type="iconSet" priority="34" id="{258450D8-506A-479C-BC11-42DB76DF8978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N52</xm:sqref>
        </x14:conditionalFormatting>
        <x14:conditionalFormatting xmlns:xm="http://schemas.microsoft.com/office/excel/2006/main">
          <x14:cfRule type="iconSet" priority="33" id="{2F5D971C-EBBE-46F2-A296-A4789D25BE04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>
                <xm:f>$H$30</xm:f>
              </x14:cfvo>
              <x14:cfIcon iconSet="3Symbols2" iconId="1"/>
              <x14:cfIcon iconSet="3Symbols2" iconId="2"/>
              <x14:cfIcon iconSet="3Symbols2" iconId="1"/>
            </x14:iconSet>
          </x14:cfRule>
          <xm:sqref>O52</xm:sqref>
        </x14:conditionalFormatting>
        <x14:conditionalFormatting xmlns:xm="http://schemas.microsoft.com/office/excel/2006/main">
          <x14:cfRule type="iconSet" priority="23" id="{C5C98DD7-AAC0-4651-8241-2FBC2E2424E3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D38</xm:sqref>
        </x14:conditionalFormatting>
        <x14:conditionalFormatting xmlns:xm="http://schemas.microsoft.com/office/excel/2006/main">
          <x14:cfRule type="iconSet" priority="22" id="{9AFE150D-8259-4754-AAD2-FBE2990884D2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D39:J39</xm:sqref>
        </x14:conditionalFormatting>
        <x14:conditionalFormatting xmlns:xm="http://schemas.microsoft.com/office/excel/2006/main">
          <x14:cfRule type="iconSet" priority="21" id="{CA0EC999-0FE4-4EF8-8A24-34EC88E9B610}">
            <x14:iconSet iconSet="3Symbols2" custom="1">
              <x14:cfvo type="percent">
                <xm:f>0</xm:f>
              </x14:cfvo>
              <x14:cfvo type="formula">
                <xm:f>-$H$30</xm:f>
              </x14:cfvo>
              <x14:cfvo type="formula">
                <xm:f>$H$30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E38</xm:sqref>
        </x14:conditionalFormatting>
        <x14:conditionalFormatting xmlns:xm="http://schemas.microsoft.com/office/excel/2006/main">
          <x14:cfRule type="iconSet" priority="17" id="{A7F30DCE-5E43-4DD3-97BB-6F45E4A2A202}">
            <x14:iconSet iconSet="3Symbols2" custom="1">
              <x14:cfvo type="percent">
                <xm:f>0</xm:f>
              </x14:cfvo>
              <x14:cfvo type="num">
                <xm:f>0.5</xm:f>
              </x14:cfvo>
              <x14:cfvo type="num" gte="0">
                <xm:f>1.5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C17</xm:sqref>
        </x14:conditionalFormatting>
        <x14:conditionalFormatting xmlns:xm="http://schemas.microsoft.com/office/excel/2006/main">
          <x14:cfRule type="iconSet" priority="16" id="{E6688B1D-B597-4DE7-BDF0-AABDC51FDAF6}">
            <x14:iconSet iconSet="3Symbols2" custom="1">
              <x14:cfvo type="percent">
                <xm:f>0</xm:f>
              </x14:cfvo>
              <x14:cfvo type="num">
                <xm:f>0.5</xm:f>
              </x14:cfvo>
              <x14:cfvo type="num" gte="0">
                <xm:f>1.5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C18</xm:sqref>
        </x14:conditionalFormatting>
        <x14:conditionalFormatting xmlns:xm="http://schemas.microsoft.com/office/excel/2006/main">
          <x14:cfRule type="iconSet" priority="13" id="{3A882E91-52DF-463A-9041-3CFC1DFA7D91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0.5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N53:T53</xm:sqref>
        </x14:conditionalFormatting>
        <x14:conditionalFormatting xmlns:xm="http://schemas.microsoft.com/office/excel/2006/main">
          <x14:cfRule type="iconSet" priority="10" id="{93C82AC2-FF41-4EF3-A18A-3597F89296AC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F38</xm:sqref>
        </x14:conditionalFormatting>
        <x14:conditionalFormatting xmlns:xm="http://schemas.microsoft.com/office/excel/2006/main">
          <x14:cfRule type="iconSet" priority="9" id="{72DD884F-520E-4F50-991F-3AFEBAD6E02F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I38</xm:sqref>
        </x14:conditionalFormatting>
        <x14:conditionalFormatting xmlns:xm="http://schemas.microsoft.com/office/excel/2006/main">
          <x14:cfRule type="iconSet" priority="8" id="{449F0D01-3D37-4335-AAB5-2D718B8C31BB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H38</xm:sqref>
        </x14:conditionalFormatting>
        <x14:conditionalFormatting xmlns:xm="http://schemas.microsoft.com/office/excel/2006/main">
          <x14:cfRule type="iconSet" priority="7" id="{98767629-4A18-4D1A-918C-765C622C5CAB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G38</xm:sqref>
        </x14:conditionalFormatting>
        <x14:conditionalFormatting xmlns:xm="http://schemas.microsoft.com/office/excel/2006/main">
          <x14:cfRule type="iconSet" priority="6" id="{63271947-58B8-4459-BDAC-8335D23D00A3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J38</xm:sqref>
        </x14:conditionalFormatting>
        <x14:conditionalFormatting xmlns:xm="http://schemas.microsoft.com/office/excel/2006/main">
          <x14:cfRule type="iconSet" priority="5" id="{B143689F-125E-4643-9A51-E5975EBEA78B}">
            <x14:iconSet iconSet="3Symbols2" custom="1">
              <x14:cfvo type="percent">
                <xm:f>0</xm:f>
              </x14:cfvo>
              <x14:cfvo type="formula">
                <xm:f>IF($D$27="PRECISIÓN",$F$37-($F$37*($H$32/100)),$F$37-$D$32)</xm:f>
              </x14:cfvo>
              <x14:cfvo type="formula" gte="0">
                <xm:f>IF($D$27="PRECISIÓN",$F$37+($F$37*($H$32/100)),$F$37+$D$32)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P52</xm:sqref>
        </x14:conditionalFormatting>
        <x14:conditionalFormatting xmlns:xm="http://schemas.microsoft.com/office/excel/2006/main">
          <x14:cfRule type="iconSet" priority="4" id="{C52AB776-0CFB-4C60-9B9A-E752DB683E52}">
            <x14:iconSet iconSet="3Symbols2" custom="1">
              <x14:cfvo type="percent">
                <xm:f>0</xm:f>
              </x14:cfvo>
              <x14:cfvo type="formula">
                <xm:f>IF($D$27="ZERO/SPAN",$I$37-($I$37*($H$31/100)),$I$37-$D$32)</xm:f>
              </x14:cfvo>
              <x14:cfvo type="formula" gte="0">
                <xm:f>IF($D$27="ZERO/SPAN",$I$37+($I$37*($H$31/100)),$I$37+$D$32)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S52</xm:sqref>
        </x14:conditionalFormatting>
        <x14:conditionalFormatting xmlns:xm="http://schemas.microsoft.com/office/excel/2006/main">
          <x14:cfRule type="iconSet" priority="3" id="{189A5558-35D4-45CE-BB3F-B98B615DF12D}">
            <x14:iconSet iconSet="3Symbols2" custom="1">
              <x14:cfvo type="percent">
                <xm:f>0</xm:f>
              </x14:cfvo>
              <x14:cfvo type="formula">
                <xm:f>$H$37-$D$32</xm:f>
              </x14:cfvo>
              <x14:cfvo type="formula" gte="0">
                <xm:f>$H$37+$D$32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R52</xm:sqref>
        </x14:conditionalFormatting>
        <x14:conditionalFormatting xmlns:xm="http://schemas.microsoft.com/office/excel/2006/main">
          <x14:cfRule type="iconSet" priority="2" id="{3B7BC826-89D0-481C-8777-0D9622067A7C}">
            <x14:iconSet iconSet="3Symbols2" custom="1">
              <x14:cfvo type="percent">
                <xm:f>0</xm:f>
              </x14:cfvo>
              <x14:cfvo type="formula">
                <xm:f>$G$37-$D$32</xm:f>
              </x14:cfvo>
              <x14:cfvo type="formula" gte="0">
                <xm:f>$G$37+$D$32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Q52</xm:sqref>
        </x14:conditionalFormatting>
        <x14:conditionalFormatting xmlns:xm="http://schemas.microsoft.com/office/excel/2006/main">
          <x14:cfRule type="iconSet" priority="1" id="{D563D3D6-B1AC-486F-819D-3DE529CEF175}">
            <x14:iconSet iconSet="3Symbols2" custom="1">
              <x14:cfvo type="percent">
                <xm:f>0</xm:f>
              </x14:cfvo>
              <x14:cfvo type="formula">
                <xm:f>IF($D$27="ZERO/SPAN",$J$37-($J$37*($H$31/100)),$J$37-$D$32)</xm:f>
              </x14:cfvo>
              <x14:cfvo type="formula" gte="0">
                <xm:f>IF($D$27="ZERO/SPAN",$J$37+($J$37*($H$31/100)),$J$37+$D$32)</xm:f>
              </x14:cfvo>
              <x14:cfIcon iconSet="3Symbols2" iconId="0"/>
              <x14:cfIcon iconSet="3Symbols2" iconId="2"/>
              <x14:cfIcon iconSet="3Symbols2" iconId="0"/>
            </x14:iconSet>
          </x14:cfRule>
          <xm:sqref>T52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F9"/>
  <sheetViews>
    <sheetView workbookViewId="0">
      <selection activeCell="L4" sqref="L4"/>
    </sheetView>
  </sheetViews>
  <sheetFormatPr baseColWidth="10" defaultRowHeight="12.75" x14ac:dyDescent="0.2"/>
  <cols>
    <col min="1" max="16384" width="11.42578125" style="108"/>
  </cols>
  <sheetData>
    <row r="2" spans="2:6" x14ac:dyDescent="0.2">
      <c r="B2" s="111"/>
      <c r="C2" s="111" t="s">
        <v>67</v>
      </c>
      <c r="D2" s="111" t="s">
        <v>68</v>
      </c>
      <c r="E2" s="112"/>
      <c r="F2" s="112"/>
    </row>
    <row r="3" spans="2:6" x14ac:dyDescent="0.2">
      <c r="B3" s="111"/>
      <c r="C3" s="113" t="s">
        <v>53</v>
      </c>
      <c r="D3" s="113" t="s">
        <v>52</v>
      </c>
      <c r="E3" s="112" t="s">
        <v>69</v>
      </c>
      <c r="F3" s="114">
        <f>FORMATO!E10</f>
        <v>46217</v>
      </c>
    </row>
    <row r="4" spans="2:6" x14ac:dyDescent="0.2">
      <c r="B4" s="115">
        <f>C4</f>
        <v>0</v>
      </c>
      <c r="C4" s="115">
        <v>0</v>
      </c>
      <c r="D4" s="116">
        <f>FORMATO!E38</f>
        <v>-0.2</v>
      </c>
      <c r="E4" s="112"/>
      <c r="F4" s="112"/>
    </row>
    <row r="5" spans="2:6" x14ac:dyDescent="0.2">
      <c r="B5" s="115">
        <f>C5</f>
        <v>38</v>
      </c>
      <c r="C5" s="115">
        <f>FORMATO!F37</f>
        <v>38</v>
      </c>
      <c r="D5" s="116">
        <f>FORMATO!F38</f>
        <v>39.660000000000004</v>
      </c>
      <c r="E5" s="112"/>
      <c r="F5" s="112"/>
    </row>
    <row r="6" spans="2:6" x14ac:dyDescent="0.2">
      <c r="B6" s="115">
        <f>C6</f>
        <v>79.8</v>
      </c>
      <c r="C6" s="115">
        <f>FORMATO!G37</f>
        <v>79.8</v>
      </c>
      <c r="D6" s="116">
        <f>FORMATO!G38</f>
        <v>80.440000000000012</v>
      </c>
      <c r="E6" s="112"/>
      <c r="F6" s="112"/>
    </row>
    <row r="7" spans="2:6" x14ac:dyDescent="0.2">
      <c r="B7" s="115">
        <f>C7</f>
        <v>139.6</v>
      </c>
      <c r="C7" s="115">
        <f>FORMATO!H37</f>
        <v>139.6</v>
      </c>
      <c r="D7" s="116">
        <f>FORMATO!H38</f>
        <v>140</v>
      </c>
      <c r="E7" s="112"/>
      <c r="F7" s="112"/>
    </row>
    <row r="8" spans="2:6" x14ac:dyDescent="0.2">
      <c r="B8" s="115">
        <f>C8</f>
        <v>180</v>
      </c>
      <c r="C8" s="115">
        <f>FORMATO!I37</f>
        <v>180</v>
      </c>
      <c r="D8" s="116">
        <f>FORMATO!I38</f>
        <v>180.16</v>
      </c>
      <c r="E8" s="112"/>
      <c r="F8" s="112"/>
    </row>
    <row r="9" spans="2:6" x14ac:dyDescent="0.2">
      <c r="B9" s="112"/>
      <c r="C9" s="112"/>
      <c r="D9" s="112"/>
      <c r="E9" s="112"/>
      <c r="F9" s="112"/>
    </row>
  </sheetData>
  <sheetProtection algorithmName="SHA-512" hashValue="85yu6u9BAB6JGc1KE+vbOV7CHn32zQrA2ANk0Kn1X9PMdLMQ+SvUMcJcABUrGeTF/I/vK7raHP2WmdKNQHigKQ==" saltValue="tEUAnUeZc8ojCbOn2FGfGw==" spinCount="100000" sheet="1" objects="1" scenarios="1" selectLockedCells="1" selectUn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3:G5"/>
  <sheetViews>
    <sheetView workbookViewId="0">
      <selection activeCell="B3" sqref="B3:G5"/>
    </sheetView>
  </sheetViews>
  <sheetFormatPr baseColWidth="10" defaultRowHeight="12.75" x14ac:dyDescent="0.2"/>
  <cols>
    <col min="1" max="16384" width="11.42578125" style="108"/>
  </cols>
  <sheetData>
    <row r="3" spans="2:7" ht="25.5" x14ac:dyDescent="0.2">
      <c r="B3" s="112"/>
      <c r="C3" s="113" t="s">
        <v>53</v>
      </c>
      <c r="D3" s="117" t="s">
        <v>71</v>
      </c>
      <c r="E3" s="117" t="s">
        <v>72</v>
      </c>
      <c r="F3" s="112" t="s">
        <v>69</v>
      </c>
      <c r="G3" s="114">
        <f>FORMATO!E10</f>
        <v>46217</v>
      </c>
    </row>
    <row r="4" spans="2:7" x14ac:dyDescent="0.2">
      <c r="B4" s="112">
        <f>C4</f>
        <v>0</v>
      </c>
      <c r="C4" s="118">
        <f>FORMATO!E37</f>
        <v>0</v>
      </c>
      <c r="D4" s="118">
        <f>FORMATO!E38</f>
        <v>-0.2</v>
      </c>
      <c r="E4" s="118">
        <f>FORMATO!D38</f>
        <v>-0.36000000000000004</v>
      </c>
      <c r="F4" s="112"/>
      <c r="G4" s="112"/>
    </row>
    <row r="5" spans="2:7" x14ac:dyDescent="0.2">
      <c r="B5" s="112">
        <f>C5</f>
        <v>180</v>
      </c>
      <c r="C5" s="118">
        <f>FORMATO!I37</f>
        <v>180</v>
      </c>
      <c r="D5" s="112">
        <f>FORMATO!I38</f>
        <v>180.16</v>
      </c>
      <c r="E5" s="118">
        <f>FORMATO!J38</f>
        <v>179.66</v>
      </c>
      <c r="F5" s="112"/>
      <c r="G5" s="112"/>
    </row>
  </sheetData>
  <sheetProtection algorithmName="SHA-512" hashValue="HGTO9n+xdFpAVqqGc7OSd7crQErXWIqHM+mord/9sT8GpnVUGfX2M2lFwxQrxralI4fQ/rRpESuEjY9Gv8lAVA==" saltValue="Lg0jv7rScsXAad1UB8eBCQ==" spinCount="100000" sheet="1" objects="1" scenarios="1" selectLockedCells="1" selectUn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F5"/>
  <sheetViews>
    <sheetView workbookViewId="0">
      <selection activeCell="J16" sqref="J16"/>
    </sheetView>
  </sheetViews>
  <sheetFormatPr baseColWidth="10" defaultRowHeight="12.75" x14ac:dyDescent="0.2"/>
  <cols>
    <col min="1" max="16384" width="11.42578125" style="108"/>
  </cols>
  <sheetData>
    <row r="3" spans="2:6" ht="25.5" x14ac:dyDescent="0.2">
      <c r="B3" s="112"/>
      <c r="C3" s="113" t="s">
        <v>53</v>
      </c>
      <c r="D3" s="117" t="s">
        <v>71</v>
      </c>
      <c r="E3" s="112" t="s">
        <v>69</v>
      </c>
      <c r="F3" s="114">
        <f>FORMATO!E10</f>
        <v>46217</v>
      </c>
    </row>
    <row r="4" spans="2:6" x14ac:dyDescent="0.2">
      <c r="B4" s="112">
        <f>C4</f>
        <v>0</v>
      </c>
      <c r="C4" s="112">
        <f>FORMATO!E37</f>
        <v>0</v>
      </c>
      <c r="D4" s="119">
        <f>FORMATO!E38</f>
        <v>-0.2</v>
      </c>
      <c r="E4" s="112"/>
      <c r="F4" s="112"/>
    </row>
    <row r="5" spans="2:6" x14ac:dyDescent="0.2">
      <c r="B5" s="112">
        <f>C5</f>
        <v>38</v>
      </c>
      <c r="C5" s="120">
        <f>FORMATO!F37</f>
        <v>38</v>
      </c>
      <c r="D5" s="112">
        <f>FORMATO!F38</f>
        <v>39.660000000000004</v>
      </c>
      <c r="E5" s="112"/>
      <c r="F5" s="112"/>
    </row>
  </sheetData>
  <sheetProtection algorithmName="SHA-512" hashValue="UJ7Xi7Hh5FVhT0DgzlMuK8mP2PL2nnolHMLZ7x1ULwULcIMO0b6X3nC9fKF2tDcyB4iHI16RDuKRd6jxCKH+fw==" saltValue="mAeLcbVVRDKmzEgUHf0NCg==" spinCount="100000" sheet="1" objects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FORMATO</vt:lpstr>
      <vt:lpstr>Garfica MP</vt:lpstr>
      <vt:lpstr>Grafica Z-S</vt:lpstr>
      <vt:lpstr>Grafica PREC</vt:lpstr>
      <vt:lpstr>FORMATO!Área_de_impresión</vt:lpstr>
    </vt:vector>
  </TitlesOfParts>
  <Company>UNAL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REDAIRE</dc:creator>
  <cp:lastModifiedBy>Informatica</cp:lastModifiedBy>
  <cp:lastPrinted>2013-12-11T19:04:21Z</cp:lastPrinted>
  <dcterms:created xsi:type="dcterms:W3CDTF">2005-04-27T21:21:30Z</dcterms:created>
  <dcterms:modified xsi:type="dcterms:W3CDTF">2026-07-15T01:49:24Z</dcterms:modified>
</cp:coreProperties>
</file>