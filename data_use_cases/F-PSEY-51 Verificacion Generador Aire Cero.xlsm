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dAire 26\Desktop\"/>
    </mc:Choice>
  </mc:AlternateContent>
  <xr:revisionPtr revIDLastSave="0" documentId="13_ncr:1_{37E82EEB-061D-40F5-AA46-B19DEEF62E30}" xr6:coauthVersionLast="36" xr6:coauthVersionMax="36" xr10:uidLastSave="{00000000-0000-0000-0000-000000000000}"/>
  <bookViews>
    <workbookView showHorizontalScroll="0" showVerticalScroll="0" showSheetTabs="0" xWindow="0" yWindow="0" windowWidth="20490" windowHeight="7395" xr2:uid="{00000000-000D-0000-FFFF-FFFF00000000}"/>
  </bookViews>
  <sheets>
    <sheet name="FORMATO" sheetId="4" r:id="rId1"/>
    <sheet name="Mantenientos" sheetId="10" r:id="rId2"/>
  </sheets>
  <definedNames>
    <definedName name="_xlnm.Print_Area" localSheetId="0">FORMATO!$A$1:$J$91</definedName>
  </definedNames>
  <calcPr calcId="191029"/>
</workbook>
</file>

<file path=xl/calcChain.xml><?xml version="1.0" encoding="utf-8"?>
<calcChain xmlns="http://schemas.openxmlformats.org/spreadsheetml/2006/main">
  <c r="G72" i="4" l="1"/>
  <c r="C72" i="4"/>
  <c r="G63" i="4"/>
  <c r="C63" i="4"/>
  <c r="C54" i="4"/>
  <c r="G54" i="4"/>
  <c r="G45" i="4"/>
  <c r="C45" i="4"/>
  <c r="G36" i="4"/>
  <c r="C36" i="4"/>
  <c r="G71" i="4" l="1"/>
  <c r="D81" i="4" s="1"/>
  <c r="C71" i="4"/>
  <c r="C81" i="4" s="1"/>
  <c r="G62" i="4"/>
  <c r="D80" i="4" s="1"/>
  <c r="C62" i="4"/>
  <c r="G53" i="4"/>
  <c r="C53" i="4"/>
  <c r="C79" i="4" s="1"/>
  <c r="G44" i="4"/>
  <c r="D78" i="4" s="1"/>
  <c r="C44" i="4"/>
  <c r="C78" i="4" s="1"/>
  <c r="G35" i="4"/>
  <c r="D77" i="4" s="1"/>
  <c r="C35" i="4"/>
  <c r="C77" i="4" s="1"/>
  <c r="C80" i="4"/>
  <c r="D79" i="4" l="1"/>
  <c r="E77" i="4"/>
  <c r="E78" i="4" l="1"/>
  <c r="E81" i="4"/>
  <c r="E79" i="4"/>
  <c r="E80" i="4"/>
</calcChain>
</file>

<file path=xl/sharedStrings.xml><?xml version="1.0" encoding="utf-8"?>
<sst xmlns="http://schemas.openxmlformats.org/spreadsheetml/2006/main" count="240" uniqueCount="123">
  <si>
    <t>Observaciones:</t>
  </si>
  <si>
    <t>Serie:</t>
  </si>
  <si>
    <t>Marca:</t>
  </si>
  <si>
    <t>Modelo:</t>
  </si>
  <si>
    <t>Generador Aire Cero</t>
  </si>
  <si>
    <t>Estación:</t>
  </si>
  <si>
    <t xml:space="preserve">Modelo: </t>
  </si>
  <si>
    <t xml:space="preserve">Marca: </t>
  </si>
  <si>
    <t>Pagina 1 de 1</t>
  </si>
  <si>
    <t>LABORATORIO DE CALIDAD DEL AIRE</t>
  </si>
  <si>
    <t>Municipio:</t>
  </si>
  <si>
    <t>TAPI</t>
  </si>
  <si>
    <t>Código Servicio:</t>
  </si>
  <si>
    <t>1. INFORMACIÓN DEL SITIO</t>
  </si>
  <si>
    <t>MEDELLÍN</t>
  </si>
  <si>
    <t>MED-PJIC</t>
  </si>
  <si>
    <t>(aaaa-mm-dd)</t>
  </si>
  <si>
    <t>Hora de inicio (24h):</t>
  </si>
  <si>
    <t>Hora de finalización (24h):</t>
  </si>
  <si>
    <t>? ? ?</t>
  </si>
  <si>
    <t xml:space="preserve">Nombre del Responsable; Cargo: </t>
  </si>
  <si>
    <t>Jose David Hurtado - Ingeniero Operativo</t>
  </si>
  <si>
    <t>Sin Vo. Bo.</t>
  </si>
  <si>
    <t xml:space="preserve">Vo. Bo.; Cargo: </t>
  </si>
  <si>
    <t>CO</t>
  </si>
  <si>
    <t xml:space="preserve"> Versión : 01</t>
  </si>
  <si>
    <t>VERIFICACIÓN DE GENERADOR DE AIRE CERO</t>
  </si>
  <si>
    <t>Fecha de Verificación (aaaa-mm-dd):</t>
  </si>
  <si>
    <t>Opciones de Fabrica:</t>
  </si>
  <si>
    <t>3. EQUIPO DE REFERENCIA</t>
  </si>
  <si>
    <t>Verificado</t>
  </si>
  <si>
    <t>4. ANALIZADORES EMPLEADOS</t>
  </si>
  <si>
    <t>Analizador de Automatico de gas</t>
  </si>
  <si>
    <t>100E</t>
  </si>
  <si>
    <t xml:space="preserve">1-               Marca: </t>
  </si>
  <si>
    <t xml:space="preserve">2-               Marca: </t>
  </si>
  <si>
    <t xml:space="preserve">3-               Marca: </t>
  </si>
  <si>
    <t xml:space="preserve">4-               Marca: </t>
  </si>
  <si>
    <t>SO2</t>
  </si>
  <si>
    <t>Estabilidad Lectura:</t>
  </si>
  <si>
    <t>NO</t>
  </si>
  <si>
    <t>NO2</t>
  </si>
  <si>
    <t>O3</t>
  </si>
  <si>
    <t>5. CRITERIO DE ACEPTACIÓN:</t>
  </si>
  <si>
    <t>Parametro</t>
  </si>
  <si>
    <t>Valor Equipo de Referencia</t>
  </si>
  <si>
    <t>Valor Equipo Bajo Prueba</t>
  </si>
  <si>
    <t>ACEPTACION
(error)</t>
  </si>
  <si>
    <t>Mauricio Ramírez A. - Ingeniero Analista y Aseguramiento de Datos</t>
  </si>
  <si>
    <t>Item</t>
  </si>
  <si>
    <t>Repuesto</t>
  </si>
  <si>
    <t>Referencia</t>
  </si>
  <si>
    <t xml:space="preserve">5. DATOS OBTENIDOS CON EQUIPO REFERENCIA: </t>
  </si>
  <si>
    <t xml:space="preserve">5. DATOS OBTENIDOS CON EQUIPO BAJO PRUEBA: </t>
  </si>
  <si>
    <t>2. INFORMACIÓN GENERADOR AIRE CERO DE ESTACION</t>
  </si>
  <si>
    <t>Ultima Calib.</t>
  </si>
  <si>
    <t>Nota: Para lo Analizadores marca Thermo tomar datos cada 10 segundos depues de que las lecturas sean estables.</t>
  </si>
  <si>
    <t>N/A</t>
  </si>
  <si>
    <t>200E</t>
  </si>
  <si>
    <t>400E</t>
  </si>
  <si>
    <t>Fecha (aaaa-mm-dd)</t>
  </si>
  <si>
    <t>4. TIPO DE CALIBRACION</t>
  </si>
  <si>
    <t>BAR-PDLA</t>
  </si>
  <si>
    <t>GIRARDOTA</t>
  </si>
  <si>
    <t>ZERO/SPAN</t>
  </si>
  <si>
    <t>GIR-IECO</t>
  </si>
  <si>
    <t>BELLO</t>
  </si>
  <si>
    <t>PRECISIÓN</t>
  </si>
  <si>
    <t>GIR-SOSN</t>
  </si>
  <si>
    <t>MULTIPUNTO</t>
  </si>
  <si>
    <t>BEL-USBV</t>
  </si>
  <si>
    <t>ITAGUI</t>
  </si>
  <si>
    <t>AJUSTE PREC</t>
  </si>
  <si>
    <t>MED-UNNV</t>
  </si>
  <si>
    <t>CALDAS</t>
  </si>
  <si>
    <t>MED-MIRA</t>
  </si>
  <si>
    <t>SABANETA</t>
  </si>
  <si>
    <t>MED-MANT</t>
  </si>
  <si>
    <t>ESTRELLA</t>
  </si>
  <si>
    <t>MED-EXSA</t>
  </si>
  <si>
    <t>BARBOSA</t>
  </si>
  <si>
    <t>MED-UNFM</t>
  </si>
  <si>
    <t>COPACABANA</t>
  </si>
  <si>
    <t>MED-UDEM</t>
  </si>
  <si>
    <t>***Editar***</t>
  </si>
  <si>
    <t>MED-LAYE</t>
  </si>
  <si>
    <t>ITA-CJUS</t>
  </si>
  <si>
    <t>ITA-CRSV</t>
  </si>
  <si>
    <t>ITA-CONC</t>
  </si>
  <si>
    <t>CAL-PMER</t>
  </si>
  <si>
    <t>CAL-LASA</t>
  </si>
  <si>
    <t>EST-METR</t>
  </si>
  <si>
    <t>2. y 3.</t>
  </si>
  <si>
    <t>THERMO</t>
  </si>
  <si>
    <t>T200</t>
  </si>
  <si>
    <t>HORIBA</t>
  </si>
  <si>
    <t>APNA-370</t>
  </si>
  <si>
    <t>AADCO</t>
  </si>
  <si>
    <t>Nombre del Responsable</t>
  </si>
  <si>
    <t>300E</t>
  </si>
  <si>
    <t>48C</t>
  </si>
  <si>
    <t>49C</t>
  </si>
  <si>
    <t>T300</t>
  </si>
  <si>
    <t>Código  F-PSEY-51</t>
  </si>
  <si>
    <t>Juan Esteban Sereno - Ingeniero Aux. Infraestructura</t>
  </si>
  <si>
    <t>Hugo Santana - Ingeniero Infraestructura</t>
  </si>
  <si>
    <t>Fabian Moreno C. - Coordinador Servicios de Ensayo</t>
  </si>
  <si>
    <t>Tiberio Benavides H. - Coordinador Servicios Metrología</t>
  </si>
  <si>
    <t>Fabian Moreno C. - Ingeniero de Aseguramiento de Calidad en Campo</t>
  </si>
  <si>
    <t>MED-UNNP</t>
  </si>
  <si>
    <t>751H</t>
  </si>
  <si>
    <t>Scrubber CO</t>
  </si>
  <si>
    <t>PRAXAIR</t>
  </si>
  <si>
    <t>CC499067</t>
  </si>
  <si>
    <t>APSA-370</t>
  </si>
  <si>
    <t>CILINDRO</t>
  </si>
  <si>
    <t>Valor 1:</t>
  </si>
  <si>
    <t>Valor 2:</t>
  </si>
  <si>
    <t>Valor 3:</t>
  </si>
  <si>
    <t>Valor 4:</t>
  </si>
  <si>
    <t>Valor 5:</t>
  </si>
  <si>
    <t>Prom:</t>
  </si>
  <si>
    <t>CVPBD19A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</si>
</sst>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yyyy\-mm\-dd;@"/>
    <numFmt numFmtId="166" formatCode="0.000"/>
    <numFmt numFmtId="167" formatCode="h:mm:ss;@"/>
  </numFmts>
  <fonts count="13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sz val="10"/>
      <color rgb="FFC00000"/>
      <name val="Arial"/>
      <family val="2"/>
    </font>
    <font>
      <b/>
      <sz val="10"/>
      <color theme="4" tint="-0.249977111117893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4" borderId="5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protection locked="0"/>
    </xf>
    <xf numFmtId="0" fontId="4" fillId="4" borderId="0" xfId="0" applyFont="1" applyFill="1" applyBorder="1" applyAlignment="1" applyProtection="1">
      <alignment horizontal="left"/>
      <protection locked="0"/>
    </xf>
    <xf numFmtId="165" fontId="4" fillId="4" borderId="1" xfId="0" applyNumberFormat="1" applyFont="1" applyFill="1" applyBorder="1" applyAlignment="1" applyProtection="1">
      <alignment horizontal="left"/>
      <protection locked="0"/>
    </xf>
    <xf numFmtId="167" fontId="4" fillId="4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" fillId="3" borderId="0" xfId="0" applyFont="1" applyFill="1" applyAlignment="1" applyProtection="1"/>
    <xf numFmtId="0" fontId="5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8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1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6" fillId="2" borderId="0" xfId="0" applyFont="1" applyFill="1" applyBorder="1" applyAlignment="1" applyProtection="1">
      <alignment horizontal="left"/>
    </xf>
    <xf numFmtId="0" fontId="6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1" fillId="3" borderId="0" xfId="0" applyFont="1" applyFill="1" applyBorder="1" applyAlignment="1" applyProtection="1"/>
    <xf numFmtId="0" fontId="4" fillId="2" borderId="0" xfId="0" applyFont="1" applyFill="1" applyBorder="1" applyAlignment="1" applyProtection="1">
      <alignment horizontal="center" wrapText="1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8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165" fontId="1" fillId="2" borderId="10" xfId="0" applyNumberFormat="1" applyFont="1" applyFill="1" applyBorder="1" applyAlignment="1" applyProtection="1">
      <alignment horizontal="left"/>
    </xf>
    <xf numFmtId="0" fontId="4" fillId="4" borderId="5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Alignment="1" applyProtection="1">
      <alignment horizontal="center"/>
    </xf>
    <xf numFmtId="2" fontId="1" fillId="2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 wrapText="1"/>
    </xf>
    <xf numFmtId="164" fontId="8" fillId="2" borderId="0" xfId="0" applyNumberFormat="1" applyFont="1" applyFill="1" applyBorder="1" applyAlignment="1" applyProtection="1">
      <alignment horizontal="left"/>
    </xf>
    <xf numFmtId="0" fontId="1" fillId="2" borderId="9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3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1" xfId="0" applyFont="1" applyFill="1" applyBorder="1" applyAlignment="1" applyProtection="1">
      <alignment horizontal="left" vertical="center"/>
    </xf>
    <xf numFmtId="0" fontId="4" fillId="4" borderId="8" xfId="0" applyFont="1" applyFill="1" applyBorder="1" applyAlignment="1" applyProtection="1">
      <alignment horizontal="left"/>
      <protection locked="0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0" fontId="4" fillId="2" borderId="10" xfId="0" applyFont="1" applyFill="1" applyBorder="1" applyAlignment="1" applyProtection="1">
      <alignment horizontal="left"/>
      <protection locked="0"/>
    </xf>
    <xf numFmtId="165" fontId="1" fillId="2" borderId="12" xfId="0" applyNumberFormat="1" applyFont="1" applyFill="1" applyBorder="1" applyAlignment="1" applyProtection="1">
      <alignment horizontal="left"/>
    </xf>
    <xf numFmtId="165" fontId="4" fillId="4" borderId="0" xfId="0" applyNumberFormat="1" applyFont="1" applyFill="1" applyBorder="1" applyAlignment="1" applyProtection="1">
      <alignment horizontal="left"/>
      <protection locked="0"/>
    </xf>
    <xf numFmtId="0" fontId="4" fillId="2" borderId="0" xfId="0" applyFont="1" applyFill="1" applyBorder="1" applyAlignment="1" applyProtection="1">
      <alignment horizontal="left"/>
      <protection locked="0"/>
    </xf>
    <xf numFmtId="165" fontId="1" fillId="2" borderId="0" xfId="0" applyNumberFormat="1" applyFont="1" applyFill="1" applyBorder="1" applyAlignment="1" applyProtection="1">
      <alignment horizontal="left"/>
    </xf>
    <xf numFmtId="165" fontId="4" fillId="2" borderId="0" xfId="0" applyNumberFormat="1" applyFont="1" applyFill="1" applyBorder="1" applyAlignment="1" applyProtection="1">
      <alignment horizontal="left"/>
      <protection locked="0"/>
    </xf>
    <xf numFmtId="0" fontId="4" fillId="2" borderId="0" xfId="0" applyFont="1" applyFill="1" applyBorder="1" applyAlignment="1" applyProtection="1">
      <protection locked="0"/>
    </xf>
    <xf numFmtId="0" fontId="4" fillId="2" borderId="8" xfId="0" applyFont="1" applyFill="1" applyBorder="1" applyAlignment="1" applyProtection="1">
      <protection locked="0"/>
    </xf>
    <xf numFmtId="0" fontId="4" fillId="2" borderId="4" xfId="0" applyFont="1" applyFill="1" applyBorder="1" applyAlignment="1" applyProtection="1">
      <alignment horizontal="left"/>
    </xf>
    <xf numFmtId="0" fontId="1" fillId="2" borderId="11" xfId="0" applyFont="1" applyFill="1" applyBorder="1" applyAlignment="1" applyProtection="1">
      <alignment horizontal="right"/>
      <protection locked="0"/>
    </xf>
    <xf numFmtId="0" fontId="1" fillId="2" borderId="9" xfId="0" applyFont="1" applyFill="1" applyBorder="1" applyAlignment="1" applyProtection="1">
      <alignment horizontal="right"/>
      <protection locked="0"/>
    </xf>
    <xf numFmtId="0" fontId="1" fillId="2" borderId="0" xfId="0" applyFont="1" applyFill="1" applyBorder="1" applyAlignment="1" applyProtection="1">
      <alignment horizontal="right"/>
      <protection locked="0"/>
    </xf>
    <xf numFmtId="0" fontId="4" fillId="4" borderId="12" xfId="0" applyFont="1" applyFill="1" applyBorder="1" applyAlignment="1" applyProtection="1">
      <protection locked="0"/>
    </xf>
    <xf numFmtId="0" fontId="1" fillId="2" borderId="3" xfId="0" applyFont="1" applyFill="1" applyBorder="1" applyAlignment="1" applyProtection="1">
      <alignment horizontal="center"/>
    </xf>
    <xf numFmtId="164" fontId="4" fillId="2" borderId="3" xfId="0" applyNumberFormat="1" applyFont="1" applyFill="1" applyBorder="1" applyAlignment="1" applyProtection="1">
      <alignment horizontal="center"/>
    </xf>
    <xf numFmtId="166" fontId="4" fillId="2" borderId="3" xfId="0" applyNumberFormat="1" applyFont="1" applyFill="1" applyBorder="1" applyAlignment="1" applyProtection="1">
      <alignment horizontal="center"/>
    </xf>
    <xf numFmtId="164" fontId="10" fillId="2" borderId="3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right"/>
    </xf>
    <xf numFmtId="0" fontId="0" fillId="0" borderId="3" xfId="0" applyBorder="1"/>
    <xf numFmtId="0" fontId="1" fillId="0" borderId="3" xfId="0" applyFont="1" applyBorder="1" applyAlignment="1">
      <alignment horizontal="center"/>
    </xf>
    <xf numFmtId="2" fontId="9" fillId="4" borderId="0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left"/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2" fontId="4" fillId="4" borderId="12" xfId="0" applyNumberFormat="1" applyFont="1" applyFill="1" applyBorder="1" applyAlignment="1" applyProtection="1">
      <protection locked="0"/>
    </xf>
    <xf numFmtId="165" fontId="0" fillId="0" borderId="3" xfId="0" applyNumberFormat="1" applyBorder="1"/>
    <xf numFmtId="0" fontId="11" fillId="2" borderId="13" xfId="0" applyFont="1" applyFill="1" applyBorder="1" applyAlignment="1" applyProtection="1">
      <alignment vertical="center"/>
    </xf>
    <xf numFmtId="0" fontId="12" fillId="2" borderId="14" xfId="0" applyFont="1" applyFill="1" applyBorder="1" applyAlignment="1" applyProtection="1"/>
    <xf numFmtId="0" fontId="11" fillId="2" borderId="15" xfId="0" applyFont="1" applyFill="1" applyBorder="1" applyAlignment="1" applyProtection="1">
      <alignment vertical="center"/>
    </xf>
    <xf numFmtId="0" fontId="11" fillId="2" borderId="16" xfId="0" applyFont="1" applyFill="1" applyBorder="1" applyAlignment="1" applyProtection="1"/>
    <xf numFmtId="0" fontId="11" fillId="2" borderId="16" xfId="0" applyFont="1" applyFill="1" applyBorder="1" applyAlignment="1" applyProtection="1">
      <alignment horizontal="left"/>
    </xf>
    <xf numFmtId="0" fontId="12" fillId="2" borderId="0" xfId="0" applyFont="1" applyFill="1" applyAlignment="1" applyProtection="1"/>
    <xf numFmtId="0" fontId="12" fillId="2" borderId="17" xfId="0" applyFont="1" applyFill="1" applyBorder="1" applyAlignment="1" applyProtection="1"/>
    <xf numFmtId="0" fontId="12" fillId="2" borderId="17" xfId="0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protection locked="0"/>
    </xf>
    <xf numFmtId="0" fontId="11" fillId="2" borderId="19" xfId="0" applyFont="1" applyFill="1" applyBorder="1" applyAlignment="1" applyProtection="1"/>
    <xf numFmtId="0" fontId="12" fillId="2" borderId="19" xfId="0" applyFont="1" applyFill="1" applyBorder="1" applyAlignment="1" applyProtection="1"/>
    <xf numFmtId="0" fontId="11" fillId="2" borderId="20" xfId="0" applyFont="1" applyFill="1" applyBorder="1" applyAlignment="1" applyProtection="1"/>
    <xf numFmtId="0" fontId="12" fillId="2" borderId="20" xfId="0" applyFont="1" applyFill="1" applyBorder="1" applyAlignment="1" applyProtection="1"/>
    <xf numFmtId="0" fontId="12" fillId="5" borderId="17" xfId="0" applyFont="1" applyFill="1" applyBorder="1" applyAlignment="1" applyProtection="1">
      <protection locked="0"/>
    </xf>
    <xf numFmtId="0" fontId="12" fillId="5" borderId="21" xfId="0" applyFont="1" applyFill="1" applyBorder="1" applyAlignment="1" applyProtection="1">
      <protection locked="0"/>
    </xf>
    <xf numFmtId="0" fontId="1" fillId="2" borderId="22" xfId="0" applyFont="1" applyFill="1" applyBorder="1" applyAlignment="1" applyProtection="1"/>
    <xf numFmtId="0" fontId="12" fillId="2" borderId="22" xfId="0" applyFont="1" applyFill="1" applyBorder="1" applyAlignment="1" applyProtection="1"/>
    <xf numFmtId="0" fontId="12" fillId="2" borderId="23" xfId="0" applyFont="1" applyFill="1" applyBorder="1" applyAlignment="1" applyProtection="1"/>
    <xf numFmtId="0" fontId="12" fillId="2" borderId="0" xfId="0" applyFont="1" applyFill="1" applyBorder="1" applyAlignment="1" applyProtection="1"/>
    <xf numFmtId="0" fontId="12" fillId="2" borderId="24" xfId="0" applyFont="1" applyFill="1" applyBorder="1" applyAlignment="1" applyProtection="1"/>
    <xf numFmtId="0" fontId="12" fillId="2" borderId="0" xfId="0" applyFont="1" applyFill="1" applyBorder="1" applyAlignment="1" applyProtection="1">
      <alignment horizontal="center"/>
    </xf>
    <xf numFmtId="164" fontId="12" fillId="2" borderId="0" xfId="0" applyNumberFormat="1" applyFont="1" applyFill="1" applyBorder="1" applyAlignment="1" applyProtection="1">
      <alignment horizontal="center"/>
    </xf>
    <xf numFmtId="0" fontId="12" fillId="2" borderId="25" xfId="0" applyFont="1" applyFill="1" applyBorder="1" applyAlignment="1" applyProtection="1"/>
    <xf numFmtId="0" fontId="12" fillId="2" borderId="26" xfId="0" applyFont="1" applyFill="1" applyBorder="1" applyAlignment="1" applyProtection="1"/>
    <xf numFmtId="2" fontId="4" fillId="2" borderId="3" xfId="0" applyNumberFormat="1" applyFont="1" applyFill="1" applyBorder="1" applyAlignment="1" applyProtection="1">
      <alignment horizontal="center"/>
    </xf>
    <xf numFmtId="166" fontId="4" fillId="4" borderId="12" xfId="0" applyNumberFormat="1" applyFont="1" applyFill="1" applyBorder="1" applyAlignment="1" applyProtection="1">
      <protection locked="0"/>
    </xf>
    <xf numFmtId="164" fontId="8" fillId="2" borderId="0" xfId="0" applyNumberFormat="1" applyFont="1" applyFill="1" applyBorder="1" applyAlignment="1" applyProtection="1">
      <alignment horizontal="left"/>
    </xf>
    <xf numFmtId="164" fontId="7" fillId="4" borderId="1" xfId="0" applyNumberFormat="1" applyFont="1" applyFill="1" applyBorder="1" applyAlignment="1" applyProtection="1">
      <alignment horizontal="left"/>
      <protection locked="0"/>
    </xf>
    <xf numFmtId="0" fontId="5" fillId="2" borderId="3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left"/>
      <protection locked="0"/>
    </xf>
    <xf numFmtId="0" fontId="1" fillId="4" borderId="2" xfId="0" applyFont="1" applyFill="1" applyBorder="1" applyAlignment="1" applyProtection="1">
      <alignment horizontal="left"/>
      <protection locked="0"/>
    </xf>
    <xf numFmtId="0" fontId="1" fillId="2" borderId="6" xfId="0" applyFont="1" applyFill="1" applyBorder="1" applyAlignment="1" applyProtection="1">
      <alignment horizontal="center" vertical="center" wrapText="1"/>
    </xf>
    <xf numFmtId="0" fontId="1" fillId="2" borderId="7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2" fontId="9" fillId="4" borderId="10" xfId="0" applyNumberFormat="1" applyFont="1" applyFill="1" applyBorder="1" applyAlignment="1" applyProtection="1">
      <alignment horizontal="right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6600"/>
      <color rgb="FF006600"/>
      <color rgb="FF663300"/>
      <color rgb="FF0099FF"/>
      <color rgb="FF3366FF"/>
      <color rgb="FF00FFCC"/>
      <color rgb="FF66FFCC"/>
      <color rgb="FF00CC66"/>
      <color rgb="FF996633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400049</xdr:colOff>
      <xdr:row>1</xdr:row>
      <xdr:rowOff>38100</xdr:rowOff>
    </xdr:from>
    <xdr:to>
      <xdr:col>2</xdr:col>
      <xdr:colOff>480579</xdr:colOff>
      <xdr:row>4</xdr:row>
      <xdr:rowOff>219075</xdr:rowOff>
    </xdr:to>
    <xdr:pic>
      <xdr:nvPicPr>
        <xdr:cNvPr id="3" name="Imagen 2" descr="tag-lab-calaire-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495299" y="133350"/>
          <a:ext cx="1575955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158"/>
  <sheetViews>
    <sheetView tabSelected="1" topLeftCell="A22" zoomScaleNormal="100" zoomScaleSheetLayoutView="100" workbookViewId="0">
      <selection activeCell="G26" sqref="G26"/>
    </sheetView>
  </sheetViews>
  <sheetFormatPr baseColWidth="10" defaultColWidth="11.42578125" defaultRowHeight="12.75" x14ac:dyDescent="0.2"/>
  <cols>
    <col min="1" max="1" width="1.42578125" style="1" customWidth="1"/>
    <col min="2" max="2" width="22.42578125" style="1" customWidth="1"/>
    <col min="3" max="3" width="13.7109375" style="1" customWidth="1"/>
    <col min="4" max="4" width="13.5703125" style="1" customWidth="1"/>
    <col min="5" max="5" width="13.7109375" style="1" customWidth="1"/>
    <col min="6" max="6" width="17.7109375" style="1" customWidth="1"/>
    <col min="7" max="10" width="13.5703125" style="1" customWidth="1"/>
    <col min="11" max="11" width="1.42578125" style="2" customWidth="1"/>
    <col min="12" max="12" width="1" style="1" customWidth="1"/>
    <col min="13" max="16384" width="11.42578125" style="1"/>
  </cols>
  <sheetData>
    <row r="1" spans="1:12" ht="7.5" customHeight="1" x14ac:dyDescent="0.2">
      <c r="A1" s="10"/>
      <c r="B1" s="10"/>
      <c r="C1" s="10"/>
      <c r="D1" s="10"/>
      <c r="E1" s="10"/>
      <c r="F1" s="10"/>
      <c r="G1" s="10"/>
      <c r="H1" s="10"/>
      <c r="I1" s="10"/>
      <c r="J1" s="10"/>
      <c r="K1" s="11"/>
      <c r="L1" s="12"/>
    </row>
    <row r="2" spans="1:12" ht="18.75" customHeight="1" x14ac:dyDescent="0.2">
      <c r="A2" s="10"/>
      <c r="B2" s="118"/>
      <c r="C2" s="118"/>
      <c r="D2" s="119" t="s">
        <v>9</v>
      </c>
      <c r="E2" s="120"/>
      <c r="F2" s="120"/>
      <c r="G2" s="120"/>
      <c r="H2" s="121"/>
      <c r="I2" s="127" t="s">
        <v>103</v>
      </c>
      <c r="J2" s="128"/>
      <c r="K2" s="10"/>
      <c r="L2" s="12"/>
    </row>
    <row r="3" spans="1:12" ht="12.75" customHeight="1" x14ac:dyDescent="0.2">
      <c r="A3" s="10"/>
      <c r="B3" s="118"/>
      <c r="C3" s="118"/>
      <c r="D3" s="122"/>
      <c r="E3" s="123"/>
      <c r="F3" s="123"/>
      <c r="G3" s="123"/>
      <c r="H3" s="124"/>
      <c r="I3" s="129" t="s">
        <v>25</v>
      </c>
      <c r="J3" s="130"/>
      <c r="K3" s="10"/>
      <c r="L3" s="12"/>
    </row>
    <row r="4" spans="1:12" ht="12.75" customHeight="1" x14ac:dyDescent="0.2">
      <c r="A4" s="10"/>
      <c r="B4" s="118"/>
      <c r="C4" s="118"/>
      <c r="D4" s="119" t="s">
        <v>26</v>
      </c>
      <c r="E4" s="120"/>
      <c r="F4" s="120"/>
      <c r="G4" s="120"/>
      <c r="H4" s="121"/>
      <c r="I4" s="131"/>
      <c r="J4" s="132"/>
      <c r="K4" s="10"/>
      <c r="L4" s="12"/>
    </row>
    <row r="5" spans="1:12" ht="19.5" customHeight="1" x14ac:dyDescent="0.2">
      <c r="A5" s="10"/>
      <c r="B5" s="118"/>
      <c r="C5" s="118"/>
      <c r="D5" s="122"/>
      <c r="E5" s="123"/>
      <c r="F5" s="123"/>
      <c r="G5" s="123"/>
      <c r="H5" s="124"/>
      <c r="I5" s="127" t="s">
        <v>8</v>
      </c>
      <c r="J5" s="128"/>
      <c r="K5" s="10"/>
      <c r="L5" s="12"/>
    </row>
    <row r="6" spans="1:12" ht="12.75" customHeight="1" x14ac:dyDescent="0.2">
      <c r="A6" s="10"/>
      <c r="B6" s="13"/>
      <c r="C6" s="13"/>
      <c r="D6" s="14"/>
      <c r="E6" s="14"/>
      <c r="F6" s="14"/>
      <c r="G6" s="14"/>
      <c r="H6" s="14"/>
      <c r="I6" s="15"/>
      <c r="J6" s="15"/>
      <c r="K6" s="10"/>
      <c r="L6" s="12"/>
    </row>
    <row r="7" spans="1:12" ht="15" customHeight="1" x14ac:dyDescent="0.2">
      <c r="A7" s="10"/>
      <c r="B7" s="16" t="s">
        <v>13</v>
      </c>
      <c r="C7" s="17"/>
      <c r="D7" s="17"/>
      <c r="E7" s="17"/>
      <c r="F7" s="17"/>
      <c r="G7" s="17"/>
      <c r="H7" s="14"/>
      <c r="I7" s="14"/>
      <c r="J7" s="14"/>
      <c r="K7" s="10"/>
      <c r="L7" s="12"/>
    </row>
    <row r="8" spans="1:12" ht="15" customHeight="1" x14ac:dyDescent="0.2">
      <c r="A8" s="10"/>
      <c r="B8" s="18" t="s">
        <v>5</v>
      </c>
      <c r="C8" s="3" t="s">
        <v>73</v>
      </c>
      <c r="D8" s="19" t="s">
        <v>10</v>
      </c>
      <c r="E8" s="3" t="s">
        <v>14</v>
      </c>
      <c r="F8" s="20" t="s">
        <v>12</v>
      </c>
      <c r="G8" s="3"/>
      <c r="H8" s="21"/>
      <c r="I8" s="22"/>
      <c r="J8" s="22"/>
      <c r="K8" s="10"/>
      <c r="L8" s="12"/>
    </row>
    <row r="9" spans="1:12" ht="15" customHeight="1" x14ac:dyDescent="0.2">
      <c r="A9" s="10"/>
      <c r="B9" s="23" t="s">
        <v>17</v>
      </c>
      <c r="C9" s="9">
        <v>0.41666666666666669</v>
      </c>
      <c r="D9" s="11"/>
      <c r="E9" s="24" t="s">
        <v>18</v>
      </c>
      <c r="F9" s="9">
        <v>0.47986111111111113</v>
      </c>
      <c r="G9" s="11"/>
      <c r="H9" s="25"/>
      <c r="I9" s="11"/>
      <c r="J9" s="11"/>
      <c r="K9" s="10"/>
      <c r="L9" s="12"/>
    </row>
    <row r="10" spans="1:12" ht="15" customHeight="1" x14ac:dyDescent="0.2">
      <c r="A10" s="10"/>
      <c r="B10" s="133" t="s">
        <v>27</v>
      </c>
      <c r="C10" s="134"/>
      <c r="D10" s="134"/>
      <c r="E10" s="135">
        <v>46231</v>
      </c>
      <c r="F10" s="135"/>
      <c r="G10" s="26"/>
      <c r="H10" s="27"/>
      <c r="I10" s="28"/>
      <c r="J10" s="28"/>
      <c r="K10" s="10"/>
      <c r="L10" s="12"/>
    </row>
    <row r="11" spans="1:12" ht="11.25" customHeight="1" x14ac:dyDescent="0.2">
      <c r="A11" s="10"/>
      <c r="B11" s="10"/>
      <c r="C11" s="10"/>
      <c r="D11" s="10"/>
      <c r="E11" s="10"/>
      <c r="F11" s="10"/>
      <c r="G11" s="10"/>
      <c r="H11" s="10"/>
      <c r="I11" s="10"/>
      <c r="J11" s="28"/>
      <c r="K11" s="10"/>
      <c r="L11" s="12"/>
    </row>
    <row r="12" spans="1:12" s="2" customFormat="1" ht="11.25" customHeight="1" x14ac:dyDescent="0.2">
      <c r="A12" s="11"/>
      <c r="B12" s="29"/>
      <c r="C12" s="30"/>
      <c r="D12" s="30"/>
      <c r="E12" s="30"/>
      <c r="F12" s="30"/>
      <c r="G12" s="30"/>
      <c r="H12" s="30"/>
      <c r="I12" s="30"/>
      <c r="J12" s="31"/>
      <c r="K12" s="32"/>
      <c r="L12" s="33"/>
    </row>
    <row r="13" spans="1:12" ht="12.75" customHeight="1" x14ac:dyDescent="0.2">
      <c r="A13" s="10"/>
      <c r="B13" s="62" t="s">
        <v>54</v>
      </c>
      <c r="C13" s="17"/>
      <c r="D13" s="17"/>
      <c r="E13" s="17"/>
      <c r="F13" s="17"/>
      <c r="G13" s="17"/>
      <c r="H13" s="34"/>
      <c r="I13" s="34"/>
      <c r="J13" s="11"/>
      <c r="K13" s="10"/>
      <c r="L13" s="12"/>
    </row>
    <row r="14" spans="1:12" ht="15" customHeight="1" x14ac:dyDescent="0.2">
      <c r="A14" s="10"/>
      <c r="B14" s="18" t="s">
        <v>2</v>
      </c>
      <c r="C14" s="3" t="s">
        <v>11</v>
      </c>
      <c r="D14" s="20"/>
      <c r="E14" s="19" t="s">
        <v>3</v>
      </c>
      <c r="F14" s="52" t="s">
        <v>110</v>
      </c>
      <c r="G14" s="19" t="s">
        <v>1</v>
      </c>
      <c r="H14" s="63">
        <v>220</v>
      </c>
      <c r="I14" s="11"/>
      <c r="J14" s="11"/>
      <c r="K14" s="10"/>
      <c r="L14" s="12"/>
    </row>
    <row r="15" spans="1:12" ht="15" customHeight="1" x14ac:dyDescent="0.2">
      <c r="A15" s="10"/>
      <c r="B15" s="57" t="s">
        <v>28</v>
      </c>
      <c r="C15" s="5" t="s">
        <v>111</v>
      </c>
      <c r="D15" s="26"/>
      <c r="E15" s="58"/>
      <c r="F15" s="64"/>
      <c r="G15" s="58"/>
      <c r="H15" s="65"/>
      <c r="I15" s="11"/>
      <c r="J15" s="11"/>
      <c r="K15" s="10"/>
      <c r="L15" s="12"/>
    </row>
    <row r="16" spans="1:12" ht="11.25" customHeight="1" x14ac:dyDescent="0.2">
      <c r="A16" s="10"/>
      <c r="B16" s="11"/>
      <c r="C16" s="11"/>
      <c r="D16" s="11"/>
      <c r="E16" s="11"/>
      <c r="F16" s="11"/>
      <c r="G16" s="11"/>
      <c r="H16" s="11"/>
      <c r="I16" s="11"/>
      <c r="J16" s="35"/>
      <c r="K16" s="10"/>
      <c r="L16" s="12"/>
    </row>
    <row r="17" spans="1:12" ht="12.75" customHeight="1" x14ac:dyDescent="0.2">
      <c r="A17" s="10"/>
      <c r="B17" s="36" t="s">
        <v>29</v>
      </c>
      <c r="C17" s="36"/>
      <c r="D17" s="36"/>
      <c r="E17" s="36"/>
      <c r="F17" s="36"/>
      <c r="G17" s="36"/>
      <c r="H17" s="35"/>
      <c r="I17" s="35"/>
      <c r="J17" s="10"/>
      <c r="K17" s="10"/>
      <c r="L17" s="12"/>
    </row>
    <row r="18" spans="1:12" ht="15" customHeight="1" x14ac:dyDescent="0.2">
      <c r="A18" s="10"/>
      <c r="B18" s="37" t="s">
        <v>4</v>
      </c>
      <c r="C18" s="38"/>
      <c r="D18" s="38"/>
      <c r="E18" s="20"/>
      <c r="F18" s="38"/>
      <c r="G18" s="20"/>
      <c r="H18" s="40"/>
      <c r="I18" s="38"/>
      <c r="J18" s="39"/>
      <c r="K18" s="10"/>
      <c r="L18" s="12"/>
    </row>
    <row r="19" spans="1:12" ht="15" customHeight="1" x14ac:dyDescent="0.2">
      <c r="A19" s="10"/>
      <c r="B19" s="60" t="s">
        <v>7</v>
      </c>
      <c r="C19" s="4" t="s">
        <v>112</v>
      </c>
      <c r="D19" s="61" t="s">
        <v>6</v>
      </c>
      <c r="E19" s="5" t="s">
        <v>115</v>
      </c>
      <c r="F19" s="61" t="s">
        <v>1</v>
      </c>
      <c r="G19" s="5" t="s">
        <v>113</v>
      </c>
      <c r="H19" s="61" t="s">
        <v>30</v>
      </c>
      <c r="I19" s="8">
        <v>45586</v>
      </c>
      <c r="J19" s="51" t="s">
        <v>16</v>
      </c>
      <c r="K19" s="10"/>
      <c r="L19" s="12"/>
    </row>
    <row r="20" spans="1:12" ht="15" customHeight="1" x14ac:dyDescent="0.2">
      <c r="A20" s="10"/>
      <c r="B20" s="24"/>
      <c r="C20" s="71"/>
      <c r="D20" s="24"/>
      <c r="E20" s="68"/>
      <c r="F20" s="24"/>
      <c r="G20" s="70"/>
      <c r="H20" s="69"/>
      <c r="I20" s="70"/>
      <c r="J20" s="69"/>
      <c r="K20" s="10"/>
      <c r="L20" s="12"/>
    </row>
    <row r="21" spans="1:12" ht="15" customHeight="1" x14ac:dyDescent="0.2">
      <c r="A21" s="10"/>
      <c r="B21" s="42" t="s">
        <v>31</v>
      </c>
      <c r="C21" s="71"/>
      <c r="D21" s="24"/>
      <c r="E21" s="68"/>
      <c r="F21" s="24"/>
      <c r="G21" s="70"/>
      <c r="H21" s="69"/>
      <c r="I21" s="70"/>
      <c r="J21" s="69"/>
      <c r="K21" s="10"/>
      <c r="L21" s="12"/>
    </row>
    <row r="22" spans="1:12" ht="15" customHeight="1" x14ac:dyDescent="0.2">
      <c r="A22" s="10"/>
      <c r="B22" s="37" t="s">
        <v>32</v>
      </c>
      <c r="C22" s="38"/>
      <c r="D22" s="38"/>
      <c r="E22" s="20"/>
      <c r="F22" s="38"/>
      <c r="G22" s="20"/>
      <c r="H22" s="40"/>
      <c r="I22" s="38"/>
      <c r="J22" s="39"/>
      <c r="K22" s="10"/>
      <c r="L22" s="12"/>
    </row>
    <row r="23" spans="1:12" ht="15" customHeight="1" x14ac:dyDescent="0.2">
      <c r="A23" s="10"/>
      <c r="B23" s="23" t="s">
        <v>34</v>
      </c>
      <c r="C23" s="6" t="s">
        <v>11</v>
      </c>
      <c r="D23" s="24" t="s">
        <v>6</v>
      </c>
      <c r="E23" s="7" t="s">
        <v>102</v>
      </c>
      <c r="F23" s="24" t="s">
        <v>1</v>
      </c>
      <c r="G23" s="7">
        <v>509</v>
      </c>
      <c r="H23" s="24" t="s">
        <v>55</v>
      </c>
      <c r="I23" s="67">
        <v>46216</v>
      </c>
      <c r="J23" s="66" t="s">
        <v>16</v>
      </c>
      <c r="K23" s="10"/>
      <c r="L23" s="12"/>
    </row>
    <row r="24" spans="1:12" ht="15" customHeight="1" x14ac:dyDescent="0.2">
      <c r="A24" s="10"/>
      <c r="B24" s="23" t="s">
        <v>35</v>
      </c>
      <c r="C24" s="6" t="s">
        <v>95</v>
      </c>
      <c r="D24" s="24" t="s">
        <v>6</v>
      </c>
      <c r="E24" s="7" t="s">
        <v>114</v>
      </c>
      <c r="F24" s="24" t="s">
        <v>1</v>
      </c>
      <c r="G24" s="7">
        <v>139991</v>
      </c>
      <c r="H24" s="24" t="s">
        <v>55</v>
      </c>
      <c r="I24" s="67">
        <v>46134</v>
      </c>
      <c r="J24" s="66" t="s">
        <v>16</v>
      </c>
      <c r="K24" s="10"/>
      <c r="L24" s="12"/>
    </row>
    <row r="25" spans="1:12" ht="15" customHeight="1" x14ac:dyDescent="0.2">
      <c r="A25" s="10"/>
      <c r="B25" s="23" t="s">
        <v>36</v>
      </c>
      <c r="C25" s="6" t="s">
        <v>95</v>
      </c>
      <c r="D25" s="24" t="s">
        <v>6</v>
      </c>
      <c r="E25" s="7" t="s">
        <v>96</v>
      </c>
      <c r="F25" s="24" t="s">
        <v>1</v>
      </c>
      <c r="G25" s="7" t="s">
        <v>122</v>
      </c>
      <c r="H25" s="24" t="s">
        <v>55</v>
      </c>
      <c r="I25" s="67">
        <v>46217</v>
      </c>
      <c r="J25" s="66" t="s">
        <v>16</v>
      </c>
      <c r="K25" s="10"/>
      <c r="L25" s="12"/>
    </row>
    <row r="26" spans="1:12" ht="15" customHeight="1" x14ac:dyDescent="0.2">
      <c r="A26" s="10"/>
      <c r="B26" s="57" t="s">
        <v>37</v>
      </c>
      <c r="C26" s="4" t="s">
        <v>93</v>
      </c>
      <c r="D26" s="58" t="s">
        <v>6</v>
      </c>
      <c r="E26" s="5" t="s">
        <v>101</v>
      </c>
      <c r="F26" s="58" t="s">
        <v>1</v>
      </c>
      <c r="G26" s="5"/>
      <c r="H26" s="82" t="s">
        <v>55</v>
      </c>
      <c r="I26" s="8">
        <v>46217</v>
      </c>
      <c r="J26" s="51" t="s">
        <v>16</v>
      </c>
      <c r="K26" s="10"/>
      <c r="L26" s="12"/>
    </row>
    <row r="27" spans="1:12" ht="15" customHeight="1" x14ac:dyDescent="0.2">
      <c r="A27" s="10"/>
      <c r="B27" s="24"/>
      <c r="C27" s="71"/>
      <c r="D27" s="24"/>
      <c r="E27" s="68"/>
      <c r="F27" s="24"/>
      <c r="G27" s="70"/>
      <c r="H27" s="69"/>
      <c r="I27" s="70"/>
      <c r="J27" s="69"/>
      <c r="K27" s="10"/>
      <c r="L27" s="12"/>
    </row>
    <row r="28" spans="1:12" ht="15" customHeight="1" x14ac:dyDescent="0.2">
      <c r="A28" s="10"/>
      <c r="B28" s="42" t="s">
        <v>52</v>
      </c>
      <c r="C28" s="71"/>
      <c r="D28" s="24"/>
      <c r="F28" s="42" t="s">
        <v>53</v>
      </c>
      <c r="G28" s="71"/>
      <c r="H28" s="24"/>
      <c r="I28" s="70"/>
      <c r="J28" s="69"/>
      <c r="K28" s="10"/>
      <c r="L28" s="12"/>
    </row>
    <row r="29" spans="1:12" ht="15" customHeight="1" x14ac:dyDescent="0.2">
      <c r="A29" s="10"/>
      <c r="B29" s="73" t="s">
        <v>38</v>
      </c>
      <c r="C29" s="72"/>
      <c r="D29" s="24"/>
      <c r="F29" s="73" t="s">
        <v>38</v>
      </c>
      <c r="G29" s="72"/>
      <c r="H29" s="24"/>
      <c r="I29" s="70"/>
      <c r="J29" s="69"/>
      <c r="K29" s="10"/>
      <c r="L29" s="12"/>
    </row>
    <row r="30" spans="1:12" ht="15" customHeight="1" x14ac:dyDescent="0.2">
      <c r="A30" s="10"/>
      <c r="B30" s="74" t="s">
        <v>116</v>
      </c>
      <c r="C30" s="77">
        <v>0.55000000000000004</v>
      </c>
      <c r="D30" s="24"/>
      <c r="F30" s="74" t="s">
        <v>116</v>
      </c>
      <c r="G30" s="88">
        <v>0.62</v>
      </c>
      <c r="H30" s="24"/>
      <c r="I30" s="70"/>
      <c r="J30" s="69"/>
      <c r="K30" s="10"/>
      <c r="L30" s="12"/>
    </row>
    <row r="31" spans="1:12" ht="15" customHeight="1" x14ac:dyDescent="0.2">
      <c r="A31" s="10"/>
      <c r="B31" s="74" t="s">
        <v>117</v>
      </c>
      <c r="C31" s="77">
        <v>0.57999999999999996</v>
      </c>
      <c r="D31" s="24"/>
      <c r="F31" s="74" t="s">
        <v>117</v>
      </c>
      <c r="G31" s="88">
        <v>0.7</v>
      </c>
      <c r="H31" s="24"/>
      <c r="I31" s="70"/>
      <c r="J31" s="69"/>
      <c r="K31" s="10"/>
      <c r="L31" s="12"/>
    </row>
    <row r="32" spans="1:12" ht="15" customHeight="1" x14ac:dyDescent="0.2">
      <c r="A32" s="10"/>
      <c r="B32" s="74" t="s">
        <v>118</v>
      </c>
      <c r="C32" s="77">
        <v>0.69</v>
      </c>
      <c r="D32" s="24"/>
      <c r="F32" s="74" t="s">
        <v>118</v>
      </c>
      <c r="G32" s="88">
        <v>0.74</v>
      </c>
      <c r="H32" s="24"/>
      <c r="I32" s="70"/>
      <c r="J32" s="69"/>
      <c r="K32" s="10"/>
      <c r="L32" s="12"/>
    </row>
    <row r="33" spans="1:12" ht="15" customHeight="1" x14ac:dyDescent="0.2">
      <c r="A33" s="10"/>
      <c r="B33" s="74" t="s">
        <v>119</v>
      </c>
      <c r="C33" s="88">
        <v>0.7</v>
      </c>
      <c r="D33" s="24"/>
      <c r="F33" s="74" t="s">
        <v>119</v>
      </c>
      <c r="G33" s="88">
        <v>0.78</v>
      </c>
      <c r="H33" s="24"/>
      <c r="I33" s="70"/>
      <c r="J33" s="69"/>
      <c r="K33" s="10"/>
      <c r="L33" s="12"/>
    </row>
    <row r="34" spans="1:12" ht="15" customHeight="1" x14ac:dyDescent="0.2">
      <c r="A34" s="10"/>
      <c r="B34" s="74" t="s">
        <v>120</v>
      </c>
      <c r="C34" s="88">
        <v>0.75</v>
      </c>
      <c r="D34" s="24"/>
      <c r="F34" s="74" t="s">
        <v>120</v>
      </c>
      <c r="G34" s="88">
        <v>0.74</v>
      </c>
      <c r="H34" s="24"/>
      <c r="I34" s="70"/>
      <c r="J34" s="69"/>
      <c r="K34" s="10"/>
      <c r="L34" s="12"/>
    </row>
    <row r="35" spans="1:12" ht="15" customHeight="1" x14ac:dyDescent="0.2">
      <c r="A35" s="10"/>
      <c r="B35" s="74" t="s">
        <v>121</v>
      </c>
      <c r="C35" s="115">
        <f>AVERAGE(C30:C34)</f>
        <v>0.65399999999999991</v>
      </c>
      <c r="D35" s="24"/>
      <c r="F35" s="74" t="s">
        <v>121</v>
      </c>
      <c r="G35" s="115">
        <f>AVERAGE(G30:G34)</f>
        <v>0.71599999999999997</v>
      </c>
      <c r="H35" s="24"/>
      <c r="I35" s="70"/>
      <c r="J35" s="69"/>
      <c r="K35" s="10"/>
      <c r="L35" s="12"/>
    </row>
    <row r="36" spans="1:12" ht="15" customHeight="1" x14ac:dyDescent="0.2">
      <c r="A36" s="10"/>
      <c r="B36" s="75" t="s">
        <v>39</v>
      </c>
      <c r="C36" s="136">
        <f>IFERROR(_xlfn.STDEV.S(C30:C34),"+")</f>
        <v>8.5029406677925662E-2</v>
      </c>
      <c r="D36" s="24"/>
      <c r="F36" s="75" t="s">
        <v>39</v>
      </c>
      <c r="G36" s="136">
        <f>IFERROR(_xlfn.STDEV.S(G30:G34),"+")</f>
        <v>6.0663003552412421E-2</v>
      </c>
      <c r="H36" s="24"/>
      <c r="I36" s="70"/>
      <c r="J36" s="69"/>
      <c r="K36" s="10"/>
      <c r="L36" s="12"/>
    </row>
    <row r="37" spans="1:12" ht="15" customHeight="1" x14ac:dyDescent="0.2">
      <c r="A37" s="10"/>
      <c r="B37" s="24"/>
      <c r="C37" s="71"/>
      <c r="D37" s="24"/>
      <c r="F37" s="24"/>
      <c r="G37" s="71"/>
      <c r="H37" s="24"/>
      <c r="I37" s="70"/>
      <c r="J37" s="69"/>
      <c r="K37" s="10"/>
      <c r="L37" s="12"/>
    </row>
    <row r="38" spans="1:12" ht="15" customHeight="1" x14ac:dyDescent="0.2">
      <c r="A38" s="10"/>
      <c r="B38" s="73" t="s">
        <v>40</v>
      </c>
      <c r="C38" s="72"/>
      <c r="D38" s="24"/>
      <c r="F38" s="73" t="s">
        <v>40</v>
      </c>
      <c r="G38" s="72"/>
      <c r="H38" s="24"/>
      <c r="I38" s="70"/>
      <c r="J38" s="69"/>
      <c r="K38" s="10"/>
      <c r="L38" s="12"/>
    </row>
    <row r="39" spans="1:12" ht="15" customHeight="1" x14ac:dyDescent="0.2">
      <c r="A39" s="10"/>
      <c r="B39" s="74" t="s">
        <v>116</v>
      </c>
      <c r="C39" s="88">
        <v>-0.81</v>
      </c>
      <c r="D39" s="24"/>
      <c r="F39" s="74" t="s">
        <v>116</v>
      </c>
      <c r="G39" s="77">
        <v>-1.03</v>
      </c>
      <c r="H39" s="24"/>
      <c r="I39" s="70"/>
      <c r="J39" s="69"/>
      <c r="K39" s="10"/>
      <c r="L39" s="12"/>
    </row>
    <row r="40" spans="1:12" ht="15" customHeight="1" x14ac:dyDescent="0.2">
      <c r="A40" s="10"/>
      <c r="B40" s="74" t="s">
        <v>117</v>
      </c>
      <c r="C40" s="88">
        <v>-0.74</v>
      </c>
      <c r="D40" s="24"/>
      <c r="F40" s="74" t="s">
        <v>117</v>
      </c>
      <c r="G40" s="77">
        <v>-1.33</v>
      </c>
      <c r="H40" s="24"/>
      <c r="I40" s="70"/>
      <c r="J40" s="69"/>
      <c r="K40" s="10"/>
      <c r="L40" s="12"/>
    </row>
    <row r="41" spans="1:12" ht="15" customHeight="1" x14ac:dyDescent="0.2">
      <c r="A41" s="10"/>
      <c r="B41" s="74" t="s">
        <v>118</v>
      </c>
      <c r="C41" s="88">
        <v>0.22</v>
      </c>
      <c r="D41" s="24"/>
      <c r="F41" s="74" t="s">
        <v>118</v>
      </c>
      <c r="G41" s="77">
        <v>-0.96</v>
      </c>
      <c r="H41" s="24"/>
      <c r="I41" s="70"/>
      <c r="J41" s="69"/>
      <c r="K41" s="10"/>
      <c r="L41" s="12"/>
    </row>
    <row r="42" spans="1:12" ht="15" customHeight="1" x14ac:dyDescent="0.2">
      <c r="A42" s="10"/>
      <c r="B42" s="74" t="s">
        <v>119</v>
      </c>
      <c r="C42" s="88">
        <v>0</v>
      </c>
      <c r="D42" s="24"/>
      <c r="F42" s="74" t="s">
        <v>119</v>
      </c>
      <c r="G42" s="77">
        <v>-1.03</v>
      </c>
      <c r="H42" s="24"/>
      <c r="I42" s="70"/>
      <c r="J42" s="69"/>
      <c r="K42" s="10"/>
      <c r="L42" s="12"/>
    </row>
    <row r="43" spans="1:12" ht="15" customHeight="1" x14ac:dyDescent="0.2">
      <c r="A43" s="10"/>
      <c r="B43" s="74" t="s">
        <v>120</v>
      </c>
      <c r="C43" s="88">
        <v>-0.15</v>
      </c>
      <c r="D43" s="24"/>
      <c r="F43" s="74" t="s">
        <v>120</v>
      </c>
      <c r="G43" s="77">
        <v>-0.96</v>
      </c>
      <c r="H43" s="24"/>
      <c r="I43" s="70"/>
      <c r="J43" s="69"/>
      <c r="K43" s="10"/>
      <c r="L43" s="12"/>
    </row>
    <row r="44" spans="1:12" ht="15" customHeight="1" x14ac:dyDescent="0.2">
      <c r="A44" s="10"/>
      <c r="B44" s="74" t="s">
        <v>121</v>
      </c>
      <c r="C44" s="115">
        <f>AVERAGE(C39:C43)</f>
        <v>-0.29599999999999999</v>
      </c>
      <c r="D44" s="24"/>
      <c r="F44" s="74" t="s">
        <v>121</v>
      </c>
      <c r="G44" s="115">
        <f>AVERAGE(G39:G43)</f>
        <v>-1.0620000000000001</v>
      </c>
      <c r="H44" s="24"/>
      <c r="I44" s="70"/>
      <c r="J44" s="69"/>
      <c r="K44" s="10"/>
      <c r="L44" s="12"/>
    </row>
    <row r="45" spans="1:12" ht="15" customHeight="1" x14ac:dyDescent="0.2">
      <c r="A45" s="10"/>
      <c r="B45" s="75" t="s">
        <v>39</v>
      </c>
      <c r="C45" s="136">
        <f>IFERROR(_xlfn.STDEV.S(C39:C43),"+")</f>
        <v>0.45730733648171445</v>
      </c>
      <c r="D45" s="24"/>
      <c r="F45" s="75" t="s">
        <v>39</v>
      </c>
      <c r="G45" s="136">
        <f>IFERROR(_xlfn.STDEV.S(G39:G43),"+")</f>
        <v>0.15385057685949655</v>
      </c>
      <c r="H45" s="24"/>
      <c r="I45" s="70"/>
      <c r="J45" s="69"/>
      <c r="K45" s="10"/>
      <c r="L45" s="12"/>
    </row>
    <row r="46" spans="1:12" ht="15" customHeight="1" x14ac:dyDescent="0.2">
      <c r="A46" s="10"/>
      <c r="B46" s="24"/>
      <c r="C46" s="71"/>
      <c r="D46" s="24"/>
      <c r="F46" s="24"/>
      <c r="G46" s="71"/>
      <c r="H46" s="24"/>
      <c r="I46" s="70"/>
      <c r="J46" s="69"/>
      <c r="K46" s="10"/>
      <c r="L46" s="12"/>
    </row>
    <row r="47" spans="1:12" ht="15" customHeight="1" x14ac:dyDescent="0.2">
      <c r="A47" s="10"/>
      <c r="B47" s="73" t="s">
        <v>41</v>
      </c>
      <c r="C47" s="72"/>
      <c r="D47" s="24"/>
      <c r="F47" s="73" t="s">
        <v>41</v>
      </c>
      <c r="G47" s="72"/>
      <c r="H47" s="24"/>
      <c r="I47" s="70"/>
      <c r="J47" s="69"/>
      <c r="K47" s="10"/>
      <c r="L47" s="12"/>
    </row>
    <row r="48" spans="1:12" ht="15" customHeight="1" x14ac:dyDescent="0.2">
      <c r="A48" s="10"/>
      <c r="B48" s="74" t="s">
        <v>116</v>
      </c>
      <c r="C48" s="77">
        <v>-0.37</v>
      </c>
      <c r="D48" s="24"/>
      <c r="F48" s="74" t="s">
        <v>116</v>
      </c>
      <c r="G48" s="77">
        <v>0.59</v>
      </c>
      <c r="H48" s="24"/>
      <c r="I48" s="70"/>
      <c r="J48" s="69"/>
      <c r="K48" s="10"/>
      <c r="L48" s="12"/>
    </row>
    <row r="49" spans="1:12" ht="15" customHeight="1" x14ac:dyDescent="0.2">
      <c r="A49" s="10"/>
      <c r="B49" s="74" t="s">
        <v>117</v>
      </c>
      <c r="C49" s="77">
        <v>-0.52</v>
      </c>
      <c r="D49" s="24"/>
      <c r="F49" s="74" t="s">
        <v>117</v>
      </c>
      <c r="G49" s="77">
        <v>0.43</v>
      </c>
      <c r="H49" s="24"/>
      <c r="I49" s="70"/>
      <c r="J49" s="69"/>
      <c r="K49" s="10"/>
      <c r="L49" s="12"/>
    </row>
    <row r="50" spans="1:12" ht="15" customHeight="1" x14ac:dyDescent="0.2">
      <c r="A50" s="10"/>
      <c r="B50" s="74" t="s">
        <v>118</v>
      </c>
      <c r="C50" s="77">
        <v>0.15</v>
      </c>
      <c r="D50" s="24"/>
      <c r="F50" s="74" t="s">
        <v>118</v>
      </c>
      <c r="G50" s="77">
        <v>0.51</v>
      </c>
      <c r="H50" s="24"/>
      <c r="I50" s="70"/>
      <c r="J50" s="69"/>
      <c r="K50" s="10"/>
      <c r="L50" s="12"/>
    </row>
    <row r="51" spans="1:12" ht="15" customHeight="1" x14ac:dyDescent="0.2">
      <c r="A51" s="10"/>
      <c r="B51" s="74" t="s">
        <v>119</v>
      </c>
      <c r="C51" s="77">
        <v>0.22</v>
      </c>
      <c r="D51" s="24"/>
      <c r="F51" s="74" t="s">
        <v>119</v>
      </c>
      <c r="G51" s="77">
        <v>0.81</v>
      </c>
      <c r="H51" s="24"/>
      <c r="I51" s="70"/>
      <c r="J51" s="69"/>
      <c r="K51" s="10"/>
      <c r="L51" s="12"/>
    </row>
    <row r="52" spans="1:12" ht="15" customHeight="1" x14ac:dyDescent="0.2">
      <c r="A52" s="10"/>
      <c r="B52" s="74" t="s">
        <v>120</v>
      </c>
      <c r="C52" s="77">
        <v>0.37</v>
      </c>
      <c r="D52" s="24"/>
      <c r="F52" s="74" t="s">
        <v>120</v>
      </c>
      <c r="G52" s="77">
        <v>0.28999999999999998</v>
      </c>
      <c r="H52" s="24"/>
      <c r="I52" s="70"/>
      <c r="J52" s="69"/>
      <c r="K52" s="10"/>
      <c r="L52" s="12"/>
    </row>
    <row r="53" spans="1:12" ht="15" customHeight="1" x14ac:dyDescent="0.2">
      <c r="A53" s="10"/>
      <c r="B53" s="74" t="s">
        <v>121</v>
      </c>
      <c r="C53" s="115">
        <f>AVERAGE(C48:C52)</f>
        <v>-3.0000000000000006E-2</v>
      </c>
      <c r="D53" s="24"/>
      <c r="F53" s="74" t="s">
        <v>121</v>
      </c>
      <c r="G53" s="115">
        <f>AVERAGE(G48:G52)</f>
        <v>0.52600000000000002</v>
      </c>
      <c r="H53" s="24"/>
      <c r="I53" s="70"/>
      <c r="J53" s="69"/>
      <c r="K53" s="10"/>
      <c r="L53" s="12"/>
    </row>
    <row r="54" spans="1:12" ht="15" customHeight="1" x14ac:dyDescent="0.2">
      <c r="A54" s="10"/>
      <c r="B54" s="75" t="s">
        <v>39</v>
      </c>
      <c r="C54" s="136">
        <f>IFERROR(_xlfn.STDEV.S(C48:C52),"+")</f>
        <v>0.39070449191172607</v>
      </c>
      <c r="D54" s="24"/>
      <c r="F54" s="75" t="s">
        <v>39</v>
      </c>
      <c r="G54" s="136">
        <f>IFERROR(_xlfn.STDEV.S(G48:G52),"+")</f>
        <v>0.19359752064528116</v>
      </c>
      <c r="H54" s="24"/>
      <c r="I54" s="70"/>
      <c r="J54" s="69"/>
      <c r="K54" s="10"/>
      <c r="L54" s="12"/>
    </row>
    <row r="55" spans="1:12" ht="15" customHeight="1" x14ac:dyDescent="0.2">
      <c r="A55" s="10"/>
      <c r="B55" s="24"/>
      <c r="C55" s="71"/>
      <c r="D55" s="24"/>
      <c r="F55" s="24"/>
      <c r="G55" s="71"/>
      <c r="H55" s="24"/>
      <c r="I55" s="70"/>
      <c r="J55" s="69"/>
      <c r="K55" s="10"/>
      <c r="L55" s="12"/>
    </row>
    <row r="56" spans="1:12" ht="15" customHeight="1" x14ac:dyDescent="0.2">
      <c r="A56" s="10"/>
      <c r="B56" s="73" t="s">
        <v>24</v>
      </c>
      <c r="C56" s="72"/>
      <c r="D56" s="24"/>
      <c r="F56" s="73" t="s">
        <v>24</v>
      </c>
      <c r="G56" s="72"/>
      <c r="H56" s="24"/>
      <c r="I56" s="70"/>
      <c r="J56" s="69"/>
      <c r="K56" s="10"/>
      <c r="L56" s="12"/>
    </row>
    <row r="57" spans="1:12" ht="15" customHeight="1" x14ac:dyDescent="0.2">
      <c r="A57" s="10"/>
      <c r="B57" s="74" t="s">
        <v>116</v>
      </c>
      <c r="C57" s="115">
        <v>0.60899999999999999</v>
      </c>
      <c r="D57" s="24"/>
      <c r="F57" s="74" t="s">
        <v>116</v>
      </c>
      <c r="G57" s="115">
        <v>0.58199999999999996</v>
      </c>
      <c r="H57" s="24"/>
      <c r="I57" s="70"/>
      <c r="J57" s="69"/>
      <c r="K57" s="10"/>
      <c r="L57" s="12"/>
    </row>
    <row r="58" spans="1:12" ht="15" customHeight="1" x14ac:dyDescent="0.2">
      <c r="A58" s="10"/>
      <c r="B58" s="74" t="s">
        <v>117</v>
      </c>
      <c r="C58" s="115">
        <v>0.60599999999999998</v>
      </c>
      <c r="D58" s="24"/>
      <c r="F58" s="74" t="s">
        <v>117</v>
      </c>
      <c r="G58" s="115">
        <v>0.58399999999999996</v>
      </c>
      <c r="H58" s="24"/>
      <c r="I58" s="70"/>
      <c r="J58" s="69"/>
      <c r="K58" s="10"/>
      <c r="L58" s="12"/>
    </row>
    <row r="59" spans="1:12" ht="15" customHeight="1" x14ac:dyDescent="0.2">
      <c r="A59" s="10"/>
      <c r="B59" s="74" t="s">
        <v>118</v>
      </c>
      <c r="C59" s="115">
        <v>0.57299999999999995</v>
      </c>
      <c r="D59" s="24"/>
      <c r="F59" s="74" t="s">
        <v>118</v>
      </c>
      <c r="G59" s="115">
        <v>0.59699999999999998</v>
      </c>
      <c r="H59" s="24"/>
      <c r="I59" s="70"/>
      <c r="J59" s="69"/>
      <c r="K59" s="10"/>
      <c r="L59" s="12"/>
    </row>
    <row r="60" spans="1:12" ht="15" customHeight="1" x14ac:dyDescent="0.2">
      <c r="A60" s="10"/>
      <c r="B60" s="74" t="s">
        <v>119</v>
      </c>
      <c r="C60" s="115">
        <v>0.56599999999999995</v>
      </c>
      <c r="D60" s="24"/>
      <c r="F60" s="74" t="s">
        <v>119</v>
      </c>
      <c r="G60" s="115">
        <v>0.59799999999999998</v>
      </c>
      <c r="H60" s="24"/>
      <c r="I60" s="70"/>
      <c r="J60" s="69"/>
      <c r="K60" s="10"/>
      <c r="L60" s="12"/>
    </row>
    <row r="61" spans="1:12" ht="15" customHeight="1" x14ac:dyDescent="0.2">
      <c r="A61" s="10"/>
      <c r="B61" s="74" t="s">
        <v>120</v>
      </c>
      <c r="C61" s="115">
        <v>0.58799999999999997</v>
      </c>
      <c r="D61" s="24"/>
      <c r="F61" s="74" t="s">
        <v>120</v>
      </c>
      <c r="G61" s="115">
        <v>0.59399999999999997</v>
      </c>
      <c r="H61" s="24"/>
      <c r="I61" s="70"/>
      <c r="J61" s="69"/>
      <c r="K61" s="10"/>
      <c r="L61" s="12"/>
    </row>
    <row r="62" spans="1:12" ht="15" customHeight="1" x14ac:dyDescent="0.2">
      <c r="A62" s="10"/>
      <c r="B62" s="74" t="s">
        <v>121</v>
      </c>
      <c r="C62" s="115">
        <f>AVERAGE(C57:C61)</f>
        <v>0.58839999999999992</v>
      </c>
      <c r="D62" s="24"/>
      <c r="F62" s="74" t="s">
        <v>121</v>
      </c>
      <c r="G62" s="115">
        <f>AVERAGE(G57:G61)</f>
        <v>0.59099999999999997</v>
      </c>
      <c r="H62" s="24"/>
      <c r="I62" s="70"/>
      <c r="J62" s="69"/>
      <c r="K62" s="10"/>
      <c r="L62" s="12"/>
    </row>
    <row r="63" spans="1:12" ht="15" customHeight="1" x14ac:dyDescent="0.2">
      <c r="A63" s="10"/>
      <c r="B63" s="75" t="s">
        <v>39</v>
      </c>
      <c r="C63" s="136">
        <f>IFERROR(_xlfn.STDEV.S(C57:C61),"+")</f>
        <v>1.9191143790821867E-2</v>
      </c>
      <c r="D63" s="24"/>
      <c r="F63" s="75" t="s">
        <v>39</v>
      </c>
      <c r="G63" s="136">
        <f>IFERROR(_xlfn.STDEV.S(G57:G61),"+")</f>
        <v>7.4833147735478894E-3</v>
      </c>
      <c r="H63" s="24"/>
      <c r="I63" s="70"/>
      <c r="J63" s="69"/>
      <c r="K63" s="10"/>
      <c r="L63" s="12"/>
    </row>
    <row r="64" spans="1:12" ht="15" customHeight="1" x14ac:dyDescent="0.2">
      <c r="A64" s="10"/>
      <c r="B64" s="76"/>
      <c r="C64" s="71"/>
      <c r="D64" s="24"/>
      <c r="E64" s="76"/>
      <c r="F64" s="71"/>
      <c r="G64" s="24"/>
      <c r="H64" s="69"/>
      <c r="I64" s="70"/>
      <c r="J64" s="69"/>
      <c r="K64" s="10"/>
      <c r="L64" s="12"/>
    </row>
    <row r="65" spans="1:12" ht="15" customHeight="1" x14ac:dyDescent="0.2">
      <c r="A65" s="10"/>
      <c r="B65" s="73" t="s">
        <v>42</v>
      </c>
      <c r="C65" s="72"/>
      <c r="D65" s="24"/>
      <c r="F65" s="73" t="s">
        <v>42</v>
      </c>
      <c r="G65" s="72"/>
      <c r="H65" s="69"/>
      <c r="I65" s="70"/>
      <c r="J65" s="69"/>
      <c r="K65" s="10"/>
      <c r="L65" s="12"/>
    </row>
    <row r="66" spans="1:12" ht="15" customHeight="1" x14ac:dyDescent="0.2">
      <c r="A66" s="10"/>
      <c r="B66" s="74" t="s">
        <v>116</v>
      </c>
      <c r="C66" s="88">
        <v>0</v>
      </c>
      <c r="D66" s="24"/>
      <c r="F66" s="74" t="s">
        <v>116</v>
      </c>
      <c r="G66" s="77">
        <v>0.2</v>
      </c>
      <c r="H66" s="69"/>
      <c r="I66" s="70"/>
      <c r="J66" s="69"/>
      <c r="K66" s="10"/>
      <c r="L66" s="12"/>
    </row>
    <row r="67" spans="1:12" ht="15" customHeight="1" x14ac:dyDescent="0.2">
      <c r="A67" s="10"/>
      <c r="B67" s="74" t="s">
        <v>117</v>
      </c>
      <c r="C67" s="88">
        <v>0.3</v>
      </c>
      <c r="D67" s="24"/>
      <c r="F67" s="74" t="s">
        <v>117</v>
      </c>
      <c r="G67" s="77">
        <v>0.1</v>
      </c>
      <c r="H67" s="69"/>
      <c r="I67" s="70"/>
      <c r="J67" s="69"/>
      <c r="K67" s="10"/>
      <c r="L67" s="12"/>
    </row>
    <row r="68" spans="1:12" ht="15" customHeight="1" x14ac:dyDescent="0.2">
      <c r="A68" s="10"/>
      <c r="B68" s="74" t="s">
        <v>118</v>
      </c>
      <c r="C68" s="88">
        <v>-1.1000000000000001</v>
      </c>
      <c r="D68" s="24"/>
      <c r="F68" s="74" t="s">
        <v>118</v>
      </c>
      <c r="G68" s="77">
        <v>-0.8</v>
      </c>
      <c r="H68" s="69"/>
      <c r="I68" s="70"/>
      <c r="J68" s="69"/>
      <c r="K68" s="10"/>
      <c r="L68" s="12"/>
    </row>
    <row r="69" spans="1:12" ht="15" customHeight="1" x14ac:dyDescent="0.2">
      <c r="A69" s="10"/>
      <c r="B69" s="74" t="s">
        <v>119</v>
      </c>
      <c r="C69" s="88">
        <v>-0.2</v>
      </c>
      <c r="D69" s="24"/>
      <c r="F69" s="74" t="s">
        <v>119</v>
      </c>
      <c r="G69" s="77">
        <v>-1.2</v>
      </c>
      <c r="H69" s="69"/>
      <c r="I69" s="70"/>
      <c r="J69" s="69"/>
      <c r="K69" s="10"/>
      <c r="L69" s="12"/>
    </row>
    <row r="70" spans="1:12" ht="15" customHeight="1" x14ac:dyDescent="0.2">
      <c r="A70" s="10"/>
      <c r="B70" s="74" t="s">
        <v>120</v>
      </c>
      <c r="C70" s="88">
        <v>-1.6</v>
      </c>
      <c r="D70" s="24"/>
      <c r="F70" s="74" t="s">
        <v>120</v>
      </c>
      <c r="G70" s="77">
        <v>-0.7</v>
      </c>
      <c r="H70" s="69"/>
      <c r="I70" s="70"/>
      <c r="J70" s="69"/>
      <c r="K70" s="10"/>
      <c r="L70" s="12"/>
    </row>
    <row r="71" spans="1:12" ht="15" customHeight="1" x14ac:dyDescent="0.2">
      <c r="A71" s="10"/>
      <c r="B71" s="74" t="s">
        <v>121</v>
      </c>
      <c r="C71" s="115">
        <f>AVERAGE(C66:C70)</f>
        <v>-0.52</v>
      </c>
      <c r="D71" s="24"/>
      <c r="F71" s="74" t="s">
        <v>121</v>
      </c>
      <c r="G71" s="115">
        <f>AVERAGE(G66:G70)</f>
        <v>-0.48</v>
      </c>
      <c r="H71" s="69"/>
      <c r="I71" s="70"/>
      <c r="J71" s="69"/>
      <c r="K71" s="10"/>
      <c r="L71" s="12"/>
    </row>
    <row r="72" spans="1:12" ht="11.25" customHeight="1" x14ac:dyDescent="0.2">
      <c r="A72" s="10"/>
      <c r="B72" s="75" t="s">
        <v>39</v>
      </c>
      <c r="C72" s="136">
        <f>IFERROR(_xlfn.STDEV.S(C66:C70),"+")</f>
        <v>0.79812279756939675</v>
      </c>
      <c r="D72" s="41"/>
      <c r="F72" s="75" t="s">
        <v>39</v>
      </c>
      <c r="G72" s="136">
        <f>IFERROR(_xlfn.STDEV.S(G66:G70),"+")</f>
        <v>0.60580524923443835</v>
      </c>
      <c r="H72" s="42"/>
      <c r="I72" s="42"/>
      <c r="J72" s="11"/>
      <c r="K72" s="10"/>
      <c r="L72" s="12"/>
    </row>
    <row r="73" spans="1:12" ht="11.25" customHeight="1" x14ac:dyDescent="0.2">
      <c r="A73" s="10"/>
      <c r="B73" s="86" t="s">
        <v>56</v>
      </c>
      <c r="C73" s="85"/>
      <c r="D73" s="41"/>
      <c r="F73" s="76"/>
      <c r="G73" s="85"/>
      <c r="H73" s="42"/>
      <c r="I73" s="42"/>
      <c r="J73" s="11"/>
      <c r="K73" s="10"/>
      <c r="L73" s="12"/>
    </row>
    <row r="74" spans="1:12" ht="11.25" customHeight="1" x14ac:dyDescent="0.2">
      <c r="A74" s="10"/>
      <c r="B74" s="76"/>
      <c r="C74" s="71"/>
      <c r="D74" s="41"/>
      <c r="E74" s="41"/>
      <c r="F74" s="41"/>
      <c r="G74" s="42"/>
      <c r="H74" s="42"/>
      <c r="I74" s="42"/>
      <c r="J74" s="11"/>
      <c r="K74" s="10"/>
      <c r="L74" s="12"/>
    </row>
    <row r="75" spans="1:12" ht="12.75" customHeight="1" x14ac:dyDescent="0.2">
      <c r="A75" s="10"/>
      <c r="B75" s="22" t="s">
        <v>43</v>
      </c>
      <c r="C75" s="11"/>
      <c r="D75" s="44"/>
      <c r="E75" s="10"/>
      <c r="F75" s="22"/>
      <c r="G75" s="11"/>
      <c r="H75" s="44"/>
      <c r="I75" s="10"/>
      <c r="J75" s="43"/>
      <c r="K75" s="10"/>
      <c r="L75" s="12"/>
    </row>
    <row r="76" spans="1:12" ht="30" customHeight="1" x14ac:dyDescent="0.2">
      <c r="A76" s="10"/>
      <c r="B76" s="47" t="s">
        <v>44</v>
      </c>
      <c r="C76" s="59" t="s">
        <v>45</v>
      </c>
      <c r="D76" s="59" t="s">
        <v>46</v>
      </c>
      <c r="E76" s="59" t="s">
        <v>47</v>
      </c>
      <c r="F76" s="11"/>
      <c r="G76" s="87"/>
      <c r="H76" s="42"/>
      <c r="I76" s="10"/>
      <c r="J76" s="43"/>
      <c r="K76" s="10"/>
      <c r="L76" s="12"/>
    </row>
    <row r="77" spans="1:12" ht="15" customHeight="1" x14ac:dyDescent="0.2">
      <c r="A77" s="10"/>
      <c r="B77" s="78" t="s">
        <v>38</v>
      </c>
      <c r="C77" s="114">
        <f>C35</f>
        <v>0.65399999999999991</v>
      </c>
      <c r="D77" s="114">
        <f>G35</f>
        <v>0.71599999999999997</v>
      </c>
      <c r="E77" s="81">
        <f>D77-C77</f>
        <v>6.2000000000000055E-2</v>
      </c>
      <c r="F77" s="11"/>
      <c r="G77" s="45"/>
      <c r="H77" s="42"/>
      <c r="I77" s="10"/>
      <c r="J77" s="43"/>
      <c r="K77" s="10"/>
      <c r="L77" s="12"/>
    </row>
    <row r="78" spans="1:12" ht="15" customHeight="1" x14ac:dyDescent="0.2">
      <c r="A78" s="10"/>
      <c r="B78" s="78" t="s">
        <v>40</v>
      </c>
      <c r="C78" s="114">
        <f>C44</f>
        <v>-0.29599999999999999</v>
      </c>
      <c r="D78" s="114">
        <f>G44</f>
        <v>-1.0620000000000001</v>
      </c>
      <c r="E78" s="81">
        <f t="shared" ref="E78:E81" si="0">D78-C78</f>
        <v>-0.76600000000000001</v>
      </c>
      <c r="F78" s="11"/>
      <c r="G78" s="45"/>
      <c r="H78" s="42"/>
      <c r="I78" s="10"/>
      <c r="J78" s="43"/>
      <c r="K78" s="10"/>
      <c r="L78" s="12"/>
    </row>
    <row r="79" spans="1:12" ht="15" customHeight="1" x14ac:dyDescent="0.2">
      <c r="A79" s="10"/>
      <c r="B79" s="78" t="s">
        <v>41</v>
      </c>
      <c r="C79" s="114">
        <f>C53</f>
        <v>-3.0000000000000006E-2</v>
      </c>
      <c r="D79" s="114">
        <f>G48</f>
        <v>0.59</v>
      </c>
      <c r="E79" s="81">
        <f t="shared" si="0"/>
        <v>0.62</v>
      </c>
      <c r="F79" s="11"/>
      <c r="G79" s="45"/>
      <c r="H79" s="42"/>
      <c r="I79" s="10"/>
      <c r="J79" s="43"/>
      <c r="K79" s="10"/>
      <c r="L79" s="12"/>
    </row>
    <row r="80" spans="1:12" ht="15" customHeight="1" x14ac:dyDescent="0.2">
      <c r="A80" s="10"/>
      <c r="B80" s="78" t="s">
        <v>24</v>
      </c>
      <c r="C80" s="80">
        <f>C57</f>
        <v>0.60899999999999999</v>
      </c>
      <c r="D80" s="80">
        <f>G62</f>
        <v>0.59099999999999997</v>
      </c>
      <c r="E80" s="81">
        <f t="shared" si="0"/>
        <v>-1.8000000000000016E-2</v>
      </c>
      <c r="F80" s="11"/>
      <c r="G80" s="45"/>
      <c r="H80" s="42"/>
      <c r="I80" s="10"/>
      <c r="J80" s="43"/>
      <c r="K80" s="10"/>
      <c r="L80" s="12"/>
    </row>
    <row r="81" spans="1:12" ht="11.25" customHeight="1" x14ac:dyDescent="0.2">
      <c r="A81" s="10"/>
      <c r="B81" s="78" t="s">
        <v>42</v>
      </c>
      <c r="C81" s="79">
        <f>C71</f>
        <v>-0.52</v>
      </c>
      <c r="D81" s="79">
        <f>G71</f>
        <v>-0.48</v>
      </c>
      <c r="E81" s="81">
        <f t="shared" si="0"/>
        <v>4.0000000000000036E-2</v>
      </c>
      <c r="F81" s="46"/>
      <c r="G81" s="11"/>
      <c r="H81" s="43"/>
      <c r="I81" s="11"/>
      <c r="J81" s="35"/>
      <c r="K81" s="10"/>
      <c r="L81" s="12"/>
    </row>
    <row r="82" spans="1:12" ht="11.25" customHeight="1" x14ac:dyDescent="0.2">
      <c r="A82" s="10"/>
      <c r="B82" s="22"/>
      <c r="C82" s="42"/>
      <c r="D82" s="11"/>
      <c r="E82" s="42"/>
      <c r="F82" s="46"/>
      <c r="G82" s="11"/>
      <c r="H82" s="43"/>
      <c r="I82" s="11"/>
      <c r="J82" s="35"/>
      <c r="K82" s="10"/>
      <c r="L82" s="12"/>
    </row>
    <row r="83" spans="1:12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2"/>
    </row>
    <row r="84" spans="1:12" x14ac:dyDescent="0.2">
      <c r="A84" s="10"/>
      <c r="B84" s="48" t="s">
        <v>0</v>
      </c>
      <c r="C84" s="125"/>
      <c r="D84" s="125"/>
      <c r="E84" s="125"/>
      <c r="F84" s="125"/>
      <c r="G84" s="125"/>
      <c r="H84" s="125"/>
      <c r="I84" s="125"/>
      <c r="J84" s="125"/>
      <c r="K84" s="10"/>
      <c r="L84" s="12"/>
    </row>
    <row r="85" spans="1:12" x14ac:dyDescent="0.2">
      <c r="A85" s="10"/>
      <c r="B85" s="125"/>
      <c r="C85" s="125"/>
      <c r="D85" s="125"/>
      <c r="E85" s="125"/>
      <c r="F85" s="125"/>
      <c r="G85" s="125"/>
      <c r="H85" s="125"/>
      <c r="I85" s="125"/>
      <c r="J85" s="125"/>
      <c r="K85" s="10"/>
      <c r="L85" s="12"/>
    </row>
    <row r="86" spans="1:12" x14ac:dyDescent="0.2">
      <c r="A86" s="10"/>
      <c r="B86" s="126"/>
      <c r="C86" s="126"/>
      <c r="D86" s="126"/>
      <c r="E86" s="126"/>
      <c r="F86" s="126"/>
      <c r="G86" s="126"/>
      <c r="H86" s="126"/>
      <c r="I86" s="126"/>
      <c r="J86" s="126"/>
      <c r="K86" s="10"/>
      <c r="L86" s="12"/>
    </row>
    <row r="87" spans="1:12" x14ac:dyDescent="0.2">
      <c r="A87" s="10"/>
      <c r="B87" s="11"/>
      <c r="C87" s="11"/>
      <c r="D87" s="11"/>
      <c r="E87" s="11"/>
      <c r="F87" s="11"/>
      <c r="G87" s="11"/>
      <c r="H87" s="11"/>
      <c r="I87" s="11"/>
      <c r="J87" s="11"/>
      <c r="K87" s="10"/>
      <c r="L87" s="12"/>
    </row>
    <row r="88" spans="1:12" x14ac:dyDescent="0.2">
      <c r="A88" s="10"/>
      <c r="B88" s="48" t="s">
        <v>20</v>
      </c>
      <c r="C88" s="11"/>
      <c r="D88" s="117" t="s">
        <v>106</v>
      </c>
      <c r="E88" s="117"/>
      <c r="F88" s="117"/>
      <c r="G88" s="117"/>
      <c r="H88" s="117"/>
      <c r="I88" s="11"/>
      <c r="J88" s="11"/>
      <c r="K88" s="10"/>
      <c r="L88" s="12"/>
    </row>
    <row r="89" spans="1:12" x14ac:dyDescent="0.2">
      <c r="A89" s="10"/>
      <c r="B89" s="10"/>
      <c r="C89" s="11"/>
      <c r="D89" s="56"/>
      <c r="E89" s="56"/>
      <c r="F89" s="56"/>
      <c r="G89" s="11"/>
      <c r="H89" s="11"/>
      <c r="I89" s="11"/>
      <c r="J89" s="10"/>
      <c r="K89" s="10"/>
      <c r="L89" s="12"/>
    </row>
    <row r="90" spans="1:12" x14ac:dyDescent="0.2">
      <c r="A90" s="10"/>
      <c r="B90" s="48" t="s">
        <v>23</v>
      </c>
      <c r="C90" s="11"/>
      <c r="D90" s="117" t="s">
        <v>22</v>
      </c>
      <c r="E90" s="117"/>
      <c r="F90" s="117"/>
      <c r="G90" s="117"/>
      <c r="H90" s="117"/>
      <c r="I90" s="10"/>
      <c r="J90" s="10"/>
      <c r="K90" s="10"/>
      <c r="L90" s="12"/>
    </row>
    <row r="91" spans="1:12" ht="14.25" x14ac:dyDescent="0.2">
      <c r="A91" s="10"/>
      <c r="B91" s="49"/>
      <c r="C91" s="10"/>
      <c r="D91" s="116"/>
      <c r="E91" s="116"/>
      <c r="F91" s="116"/>
      <c r="G91" s="11"/>
      <c r="H91" s="10"/>
      <c r="I91" s="11"/>
      <c r="J91" s="10"/>
      <c r="K91" s="10"/>
      <c r="L91" s="12"/>
    </row>
    <row r="92" spans="1:12" ht="7.5" customHeight="1" x14ac:dyDescent="0.2">
      <c r="A92" s="10"/>
      <c r="B92" s="10"/>
      <c r="C92" s="10"/>
      <c r="D92" s="50"/>
      <c r="E92" s="10"/>
      <c r="F92" s="10"/>
      <c r="G92" s="10"/>
      <c r="H92" s="10"/>
      <c r="I92" s="10"/>
      <c r="J92" s="10"/>
      <c r="K92" s="11"/>
      <c r="L92" s="12"/>
    </row>
    <row r="93" spans="1:12" ht="5.25" customHeight="1" x14ac:dyDescent="0.2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33"/>
      <c r="L93" s="12"/>
    </row>
    <row r="95" spans="1:12" x14ac:dyDescent="0.2">
      <c r="B95" s="90" t="s">
        <v>13</v>
      </c>
      <c r="C95" s="91"/>
      <c r="D95" s="10"/>
      <c r="E95" s="92" t="s">
        <v>61</v>
      </c>
      <c r="F95" s="90"/>
    </row>
    <row r="96" spans="1:12" x14ac:dyDescent="0.2">
      <c r="B96" s="93" t="s">
        <v>5</v>
      </c>
      <c r="C96" s="94" t="s">
        <v>10</v>
      </c>
      <c r="D96" s="10"/>
      <c r="E96" s="93" t="s">
        <v>19</v>
      </c>
      <c r="F96" s="95"/>
    </row>
    <row r="97" spans="2:6" x14ac:dyDescent="0.2">
      <c r="B97" s="96" t="s">
        <v>62</v>
      </c>
      <c r="C97" s="97" t="s">
        <v>63</v>
      </c>
      <c r="D97" s="10"/>
      <c r="E97" s="96" t="s">
        <v>64</v>
      </c>
      <c r="F97" s="95"/>
    </row>
    <row r="98" spans="2:6" x14ac:dyDescent="0.2">
      <c r="B98" s="96" t="s">
        <v>65</v>
      </c>
      <c r="C98" s="96" t="s">
        <v>66</v>
      </c>
      <c r="D98" s="10"/>
      <c r="E98" s="96" t="s">
        <v>67</v>
      </c>
      <c r="F98" s="95"/>
    </row>
    <row r="99" spans="2:6" x14ac:dyDescent="0.2">
      <c r="B99" s="96" t="s">
        <v>68</v>
      </c>
      <c r="C99" s="96" t="s">
        <v>14</v>
      </c>
      <c r="D99" s="10"/>
      <c r="E99" s="96" t="s">
        <v>69</v>
      </c>
      <c r="F99" s="95"/>
    </row>
    <row r="100" spans="2:6" x14ac:dyDescent="0.2">
      <c r="B100" s="96" t="s">
        <v>70</v>
      </c>
      <c r="C100" s="96" t="s">
        <v>71</v>
      </c>
      <c r="D100" s="10"/>
      <c r="E100" s="96" t="s">
        <v>72</v>
      </c>
      <c r="F100" s="95"/>
    </row>
    <row r="101" spans="2:6" x14ac:dyDescent="0.2">
      <c r="B101" s="96" t="s">
        <v>73</v>
      </c>
      <c r="C101" s="96" t="s">
        <v>74</v>
      </c>
      <c r="D101" s="10"/>
      <c r="E101" s="10"/>
      <c r="F101" s="10"/>
    </row>
    <row r="102" spans="2:6" x14ac:dyDescent="0.2">
      <c r="B102" s="96" t="s">
        <v>75</v>
      </c>
      <c r="C102" s="96" t="s">
        <v>76</v>
      </c>
      <c r="D102" s="10"/>
      <c r="E102" s="10"/>
      <c r="F102" s="10"/>
    </row>
    <row r="103" spans="2:6" x14ac:dyDescent="0.2">
      <c r="B103" s="96" t="s">
        <v>77</v>
      </c>
      <c r="C103" s="96" t="s">
        <v>78</v>
      </c>
      <c r="D103" s="10"/>
      <c r="E103" s="10"/>
      <c r="F103" s="10"/>
    </row>
    <row r="104" spans="2:6" x14ac:dyDescent="0.2">
      <c r="B104" s="96" t="s">
        <v>79</v>
      </c>
      <c r="C104" s="96" t="s">
        <v>80</v>
      </c>
      <c r="D104" s="10"/>
      <c r="E104" s="10"/>
      <c r="F104" s="10"/>
    </row>
    <row r="105" spans="2:6" x14ac:dyDescent="0.2">
      <c r="B105" s="96" t="s">
        <v>81</v>
      </c>
      <c r="C105" s="96" t="s">
        <v>82</v>
      </c>
      <c r="D105" s="10"/>
      <c r="E105" s="10"/>
    </row>
    <row r="106" spans="2:6" x14ac:dyDescent="0.2">
      <c r="B106" s="96" t="s">
        <v>83</v>
      </c>
      <c r="C106" s="98" t="s">
        <v>84</v>
      </c>
      <c r="D106" s="10"/>
      <c r="E106" s="10"/>
    </row>
    <row r="107" spans="2:6" x14ac:dyDescent="0.2">
      <c r="B107" s="96" t="s">
        <v>15</v>
      </c>
      <c r="C107" s="95"/>
      <c r="D107" s="10"/>
      <c r="E107" s="10"/>
    </row>
    <row r="108" spans="2:6" x14ac:dyDescent="0.2">
      <c r="B108" s="96" t="s">
        <v>85</v>
      </c>
      <c r="C108" s="95"/>
      <c r="D108" s="95"/>
      <c r="E108" s="95"/>
    </row>
    <row r="109" spans="2:6" x14ac:dyDescent="0.2">
      <c r="B109" s="96" t="s">
        <v>86</v>
      </c>
      <c r="C109" s="95"/>
      <c r="D109" s="95"/>
      <c r="E109" s="95"/>
    </row>
    <row r="110" spans="2:6" x14ac:dyDescent="0.2">
      <c r="B110" s="96" t="s">
        <v>87</v>
      </c>
      <c r="C110" s="95"/>
      <c r="D110" s="95"/>
      <c r="E110" s="95"/>
    </row>
    <row r="111" spans="2:6" x14ac:dyDescent="0.2">
      <c r="B111" s="96" t="s">
        <v>88</v>
      </c>
      <c r="C111" s="95"/>
      <c r="D111" s="95"/>
      <c r="E111" s="95"/>
    </row>
    <row r="112" spans="2:6" x14ac:dyDescent="0.2">
      <c r="B112" s="96" t="s">
        <v>89</v>
      </c>
      <c r="C112" s="95"/>
      <c r="D112" s="95"/>
      <c r="E112" s="95"/>
    </row>
    <row r="113" spans="2:5" x14ac:dyDescent="0.2">
      <c r="B113" s="96" t="s">
        <v>90</v>
      </c>
      <c r="C113" s="95"/>
      <c r="D113" s="95"/>
      <c r="E113" s="95"/>
    </row>
    <row r="114" spans="2:5" x14ac:dyDescent="0.2">
      <c r="B114" s="96" t="s">
        <v>91</v>
      </c>
      <c r="C114" s="95"/>
      <c r="D114" s="95"/>
      <c r="E114" s="95"/>
    </row>
    <row r="115" spans="2:5" x14ac:dyDescent="0.2">
      <c r="B115" s="96" t="s">
        <v>109</v>
      </c>
      <c r="C115" s="95"/>
      <c r="D115" s="95"/>
      <c r="E115" s="95"/>
    </row>
    <row r="116" spans="2:5" x14ac:dyDescent="0.2">
      <c r="B116" s="98" t="s">
        <v>84</v>
      </c>
      <c r="C116" s="95"/>
      <c r="D116" s="95"/>
      <c r="E116" s="95"/>
    </row>
    <row r="117" spans="2:5" x14ac:dyDescent="0.2">
      <c r="B117" s="95"/>
      <c r="C117" s="95"/>
      <c r="D117" s="95"/>
      <c r="E117" s="95"/>
    </row>
    <row r="118" spans="2:5" x14ac:dyDescent="0.2">
      <c r="B118" s="99" t="s">
        <v>92</v>
      </c>
      <c r="C118" s="100"/>
      <c r="D118" s="95"/>
      <c r="E118" s="95"/>
    </row>
    <row r="119" spans="2:5" x14ac:dyDescent="0.2">
      <c r="B119" s="101" t="s">
        <v>2</v>
      </c>
      <c r="C119" s="93" t="s">
        <v>3</v>
      </c>
      <c r="D119" s="95"/>
      <c r="E119" s="95"/>
    </row>
    <row r="120" spans="2:5" x14ac:dyDescent="0.2">
      <c r="B120" s="102" t="s">
        <v>11</v>
      </c>
      <c r="C120" s="96" t="s">
        <v>58</v>
      </c>
      <c r="D120" s="95"/>
      <c r="E120" s="95"/>
    </row>
    <row r="121" spans="2:5" x14ac:dyDescent="0.2">
      <c r="B121" s="102" t="s">
        <v>93</v>
      </c>
      <c r="C121" s="96" t="s">
        <v>94</v>
      </c>
      <c r="D121" s="95"/>
      <c r="E121" s="95"/>
    </row>
    <row r="122" spans="2:5" x14ac:dyDescent="0.2">
      <c r="B122" s="102" t="s">
        <v>95</v>
      </c>
      <c r="C122" s="97" t="s">
        <v>33</v>
      </c>
      <c r="D122" s="95"/>
      <c r="E122" s="95"/>
    </row>
    <row r="123" spans="2:5" x14ac:dyDescent="0.2">
      <c r="B123" s="102" t="s">
        <v>97</v>
      </c>
      <c r="C123" s="97" t="s">
        <v>99</v>
      </c>
      <c r="D123" s="95"/>
      <c r="E123" s="95"/>
    </row>
    <row r="124" spans="2:5" x14ac:dyDescent="0.2">
      <c r="B124" s="102" t="s">
        <v>57</v>
      </c>
      <c r="C124" s="97" t="s">
        <v>59</v>
      </c>
      <c r="D124" s="95"/>
      <c r="E124" s="95"/>
    </row>
    <row r="125" spans="2:5" x14ac:dyDescent="0.2">
      <c r="B125" s="104" t="s">
        <v>112</v>
      </c>
      <c r="C125" s="96" t="s">
        <v>96</v>
      </c>
      <c r="D125" s="95"/>
      <c r="E125" s="95"/>
    </row>
    <row r="126" spans="2:5" x14ac:dyDescent="0.2">
      <c r="B126" s="95"/>
      <c r="C126" s="96" t="s">
        <v>100</v>
      </c>
      <c r="D126" s="95"/>
      <c r="E126" s="95"/>
    </row>
    <row r="127" spans="2:5" x14ac:dyDescent="0.2">
      <c r="B127" s="95"/>
      <c r="C127" s="96" t="s">
        <v>101</v>
      </c>
      <c r="D127" s="95"/>
      <c r="E127" s="95"/>
    </row>
    <row r="128" spans="2:5" x14ac:dyDescent="0.2">
      <c r="B128" s="95"/>
      <c r="C128" s="96" t="s">
        <v>102</v>
      </c>
      <c r="D128" s="95"/>
      <c r="E128" s="95"/>
    </row>
    <row r="129" spans="2:5" x14ac:dyDescent="0.2">
      <c r="B129" s="95"/>
      <c r="C129" s="96" t="s">
        <v>57</v>
      </c>
      <c r="D129" s="95"/>
      <c r="E129" s="95"/>
    </row>
    <row r="130" spans="2:5" x14ac:dyDescent="0.2">
      <c r="B130" s="95"/>
      <c r="C130" s="103" t="s">
        <v>114</v>
      </c>
      <c r="D130" s="95"/>
      <c r="E130" s="95"/>
    </row>
    <row r="131" spans="2:5" x14ac:dyDescent="0.2">
      <c r="B131" s="95"/>
      <c r="C131" s="97">
        <v>701</v>
      </c>
      <c r="D131" s="95"/>
      <c r="E131" s="95"/>
    </row>
    <row r="132" spans="2:5" x14ac:dyDescent="0.2">
      <c r="B132" s="95"/>
      <c r="C132" s="97">
        <v>111</v>
      </c>
      <c r="D132" s="95"/>
      <c r="E132" s="95"/>
    </row>
    <row r="133" spans="2:5" x14ac:dyDescent="0.2">
      <c r="B133" s="95"/>
      <c r="C133" s="97">
        <v>737</v>
      </c>
      <c r="D133" s="95"/>
      <c r="E133" s="95"/>
    </row>
    <row r="134" spans="2:5" x14ac:dyDescent="0.2">
      <c r="B134" s="95"/>
      <c r="C134" s="98" t="s">
        <v>110</v>
      </c>
      <c r="D134" s="95"/>
      <c r="E134" s="95"/>
    </row>
    <row r="135" spans="2:5" x14ac:dyDescent="0.2">
      <c r="B135" s="95"/>
      <c r="C135" s="98" t="s">
        <v>115</v>
      </c>
      <c r="D135" s="95"/>
      <c r="E135" s="95"/>
    </row>
    <row r="136" spans="2:5" x14ac:dyDescent="0.2">
      <c r="B136" s="92" t="s">
        <v>98</v>
      </c>
      <c r="C136" s="105"/>
      <c r="D136" s="106"/>
      <c r="E136" s="107"/>
    </row>
    <row r="137" spans="2:5" x14ac:dyDescent="0.2">
      <c r="B137" s="102" t="s">
        <v>19</v>
      </c>
      <c r="C137" s="108"/>
      <c r="D137" s="108"/>
      <c r="E137" s="109"/>
    </row>
    <row r="138" spans="2:5" x14ac:dyDescent="0.2">
      <c r="B138" s="102" t="s">
        <v>104</v>
      </c>
      <c r="C138" s="110"/>
      <c r="D138" s="108"/>
      <c r="E138" s="109"/>
    </row>
    <row r="139" spans="2:5" x14ac:dyDescent="0.2">
      <c r="B139" s="102" t="s">
        <v>105</v>
      </c>
      <c r="C139" s="111"/>
      <c r="D139" s="108"/>
      <c r="E139" s="109"/>
    </row>
    <row r="140" spans="2:5" x14ac:dyDescent="0.2">
      <c r="B140" s="102" t="s">
        <v>21</v>
      </c>
      <c r="C140" s="108"/>
      <c r="D140" s="108"/>
      <c r="E140" s="109"/>
    </row>
    <row r="141" spans="2:5" x14ac:dyDescent="0.2">
      <c r="B141" s="102" t="s">
        <v>106</v>
      </c>
      <c r="C141" s="108"/>
      <c r="D141" s="108"/>
      <c r="E141" s="109"/>
    </row>
    <row r="142" spans="2:5" x14ac:dyDescent="0.2">
      <c r="B142" s="102" t="s">
        <v>107</v>
      </c>
      <c r="C142" s="108"/>
      <c r="D142" s="108"/>
      <c r="E142" s="109"/>
    </row>
    <row r="143" spans="2:5" x14ac:dyDescent="0.2">
      <c r="B143" s="104" t="s">
        <v>84</v>
      </c>
      <c r="C143" s="108"/>
      <c r="D143" s="108"/>
      <c r="E143" s="109"/>
    </row>
    <row r="144" spans="2:5" x14ac:dyDescent="0.2">
      <c r="B144" s="102" t="s">
        <v>22</v>
      </c>
      <c r="C144" s="108"/>
      <c r="D144" s="108"/>
      <c r="E144" s="109"/>
    </row>
    <row r="145" spans="2:6" x14ac:dyDescent="0.2">
      <c r="B145" s="102" t="s">
        <v>107</v>
      </c>
      <c r="C145" s="108"/>
      <c r="D145" s="108"/>
      <c r="E145" s="109"/>
    </row>
    <row r="146" spans="2:6" x14ac:dyDescent="0.2">
      <c r="B146" s="102" t="s">
        <v>48</v>
      </c>
      <c r="C146" s="108"/>
      <c r="D146" s="108"/>
      <c r="E146" s="109"/>
    </row>
    <row r="147" spans="2:6" x14ac:dyDescent="0.2">
      <c r="B147" s="102" t="s">
        <v>108</v>
      </c>
      <c r="C147" s="108"/>
      <c r="D147" s="108"/>
      <c r="E147" s="109"/>
    </row>
    <row r="148" spans="2:6" x14ac:dyDescent="0.2">
      <c r="B148" s="102" t="s">
        <v>105</v>
      </c>
      <c r="C148" s="108"/>
      <c r="D148" s="108"/>
      <c r="E148" s="109"/>
    </row>
    <row r="149" spans="2:6" x14ac:dyDescent="0.2">
      <c r="B149" s="104" t="s">
        <v>84</v>
      </c>
      <c r="C149" s="112"/>
      <c r="D149" s="112"/>
      <c r="E149" s="113"/>
    </row>
    <row r="156" spans="2:6" x14ac:dyDescent="0.2">
      <c r="C156" s="50"/>
      <c r="D156" s="50"/>
      <c r="E156" s="55"/>
      <c r="F156" s="55"/>
    </row>
    <row r="157" spans="2:6" x14ac:dyDescent="0.2">
      <c r="C157" s="54"/>
      <c r="D157" s="54"/>
      <c r="E157" s="54"/>
      <c r="F157" s="54"/>
    </row>
    <row r="158" spans="2:6" x14ac:dyDescent="0.2">
      <c r="C158" s="53"/>
      <c r="D158" s="53"/>
      <c r="E158" s="53"/>
      <c r="F158" s="53"/>
    </row>
  </sheetData>
  <sheetProtection selectLockedCells="1"/>
  <dataConsolidate/>
  <mergeCells count="14">
    <mergeCell ref="D91:F91"/>
    <mergeCell ref="D88:H88"/>
    <mergeCell ref="D90:H90"/>
    <mergeCell ref="B2:C5"/>
    <mergeCell ref="D2:H3"/>
    <mergeCell ref="C84:J84"/>
    <mergeCell ref="B85:J85"/>
    <mergeCell ref="B86:J86"/>
    <mergeCell ref="I2:J2"/>
    <mergeCell ref="I3:J4"/>
    <mergeCell ref="D4:H5"/>
    <mergeCell ref="I5:J5"/>
    <mergeCell ref="B10:D10"/>
    <mergeCell ref="E10:F10"/>
  </mergeCells>
  <dataValidations count="11">
    <dataValidation type="time" allowBlank="1" showInputMessage="1" showErrorMessage="1" sqref="C9 F9" xr:uid="{00000000-0002-0000-0000-000000000000}">
      <formula1>0.0416666666666667</formula1>
      <formula2>0.999305555555556</formula2>
    </dataValidation>
    <dataValidation type="date" operator="greaterThan" allowBlank="1" showInputMessage="1" showErrorMessage="1" sqref="E10:F10 G27 G20:G21 I19:I21 I23:I71" xr:uid="{00000000-0002-0000-0000-000001000000}">
      <formula1>40939</formula1>
    </dataValidation>
    <dataValidation type="list" allowBlank="1" showInputMessage="1" showErrorMessage="1" sqref="F14" xr:uid="{00000000-0002-0000-0000-000002000000}">
      <formula1>$C$131:$C$134</formula1>
    </dataValidation>
    <dataValidation type="list" allowBlank="1" showInputMessage="1" showErrorMessage="1" sqref="C19 C14 C23:C26" xr:uid="{00000000-0002-0000-0000-000003000000}">
      <formula1>$B$120:$B$125</formula1>
    </dataValidation>
    <dataValidation type="list" allowBlank="1" showInputMessage="1" showErrorMessage="1" sqref="E8" xr:uid="{00000000-0002-0000-0000-000004000000}">
      <formula1>$C$97:$C$106</formula1>
    </dataValidation>
    <dataValidation type="list" allowBlank="1" showInputMessage="1" showErrorMessage="1" promptTitle="Selecionar" sqref="C8" xr:uid="{00000000-0002-0000-0000-000005000000}">
      <formula1>$B$97:$B$116</formula1>
    </dataValidation>
    <dataValidation type="list" allowBlank="1" showInputMessage="1" showErrorMessage="1" sqref="C15" xr:uid="{00000000-0002-0000-0000-000006000000}">
      <formula1>"Ninguna, Scrubber CO,  Scrubber CO/HC"</formula1>
    </dataValidation>
    <dataValidation type="list" allowBlank="1" showInputMessage="1" showErrorMessage="1" sqref="E23:E26" xr:uid="{00000000-0002-0000-0000-000007000000}">
      <formula1>$C$120:$C$130</formula1>
    </dataValidation>
    <dataValidation type="list" allowBlank="1" showInputMessage="1" showErrorMessage="1" promptTitle="Ayuda" prompt="Seleccionar para el VoBo_x000a_" sqref="D90:H90" xr:uid="{00000000-0002-0000-0000-000008000000}">
      <formula1>$B$144:$B$149</formula1>
    </dataValidation>
    <dataValidation type="list" allowBlank="1" showInputMessage="1" showErrorMessage="1" promptTitle="Ayuda" prompt="Seleccionar nombre responsable_x000a_" sqref="D88:H88" xr:uid="{00000000-0002-0000-0000-000009000000}">
      <formula1>$B$137:$B$143</formula1>
    </dataValidation>
    <dataValidation type="list" allowBlank="1" showInputMessage="1" showErrorMessage="1" sqref="E19" xr:uid="{F60087B4-C3C2-4CDC-BAB4-4AB00E643379}">
      <formula1>$C$131:$C$135</formula1>
    </dataValidation>
  </dataValidations>
  <pageMargins left="0.82" right="0.59055118110236227" top="0.43307086614173229" bottom="0.35433070866141736" header="0" footer="0"/>
  <pageSetup scale="70" orientation="portrait" horizontalDpi="4294967295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1" id="{50BBD9E9-C656-4801-AB6B-86F4B2CC7E7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C36</xm:sqref>
        </x14:conditionalFormatting>
        <x14:conditionalFormatting xmlns:xm="http://schemas.microsoft.com/office/excel/2006/main">
          <x14:cfRule type="iconSet" priority="18" id="{7948E50B-8F1B-4E47-9A3C-FD91F8D37E9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C73</xm:sqref>
        </x14:conditionalFormatting>
        <x14:conditionalFormatting xmlns:xm="http://schemas.microsoft.com/office/excel/2006/main">
          <x14:cfRule type="iconSet" priority="13" id="{CAB9EFEB-B03A-448E-B5A8-244AD2B552D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G73</xm:sqref>
        </x14:conditionalFormatting>
        <x14:conditionalFormatting xmlns:xm="http://schemas.microsoft.com/office/excel/2006/main">
          <x14:cfRule type="iconSet" priority="9" id="{24F70746-25E1-4C17-A1D1-C6AE421F266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G36</xm:sqref>
        </x14:conditionalFormatting>
        <x14:conditionalFormatting xmlns:xm="http://schemas.microsoft.com/office/excel/2006/main">
          <x14:cfRule type="iconSet" priority="8" id="{BD344E25-A499-4A2F-A57E-48D998427926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C45</xm:sqref>
        </x14:conditionalFormatting>
        <x14:conditionalFormatting xmlns:xm="http://schemas.microsoft.com/office/excel/2006/main">
          <x14:cfRule type="iconSet" priority="7" id="{924B4432-61AB-491F-9F36-0FC3F954360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G45</xm:sqref>
        </x14:conditionalFormatting>
        <x14:conditionalFormatting xmlns:xm="http://schemas.microsoft.com/office/excel/2006/main">
          <x14:cfRule type="iconSet" priority="6" id="{00081720-ED24-4EAE-915E-A1F887E4B1E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C54</xm:sqref>
        </x14:conditionalFormatting>
        <x14:conditionalFormatting xmlns:xm="http://schemas.microsoft.com/office/excel/2006/main">
          <x14:cfRule type="iconSet" priority="5" id="{08BF617A-9872-4B27-B0B4-3CDBB09DDD8D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G54</xm:sqref>
        </x14:conditionalFormatting>
        <x14:conditionalFormatting xmlns:xm="http://schemas.microsoft.com/office/excel/2006/main">
          <x14:cfRule type="iconSet" priority="4" id="{80AC46F5-7544-431D-B731-22C79290681C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C63</xm:sqref>
        </x14:conditionalFormatting>
        <x14:conditionalFormatting xmlns:xm="http://schemas.microsoft.com/office/excel/2006/main">
          <x14:cfRule type="iconSet" priority="3" id="{0B0DF927-E5B5-482B-8EC4-8BB9C972CDB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G63</xm:sqref>
        </x14:conditionalFormatting>
        <x14:conditionalFormatting xmlns:xm="http://schemas.microsoft.com/office/excel/2006/main">
          <x14:cfRule type="iconSet" priority="2" id="{6C88534C-8709-43CC-B744-2D03E31DCB3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C72</xm:sqref>
        </x14:conditionalFormatting>
        <x14:conditionalFormatting xmlns:xm="http://schemas.microsoft.com/office/excel/2006/main">
          <x14:cfRule type="iconSet" priority="1" id="{EC9FBB30-EF6B-4307-B666-389F758B399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B3:E17"/>
  <sheetViews>
    <sheetView workbookViewId="0">
      <selection activeCell="D26" sqref="D26"/>
    </sheetView>
  </sheetViews>
  <sheetFormatPr baseColWidth="10" defaultRowHeight="12.75" x14ac:dyDescent="0.2"/>
  <cols>
    <col min="1" max="1" width="2.7109375" customWidth="1"/>
    <col min="2" max="2" width="7" customWidth="1"/>
    <col min="3" max="3" width="17.42578125" customWidth="1"/>
    <col min="4" max="4" width="35.140625" customWidth="1"/>
  </cols>
  <sheetData>
    <row r="3" spans="2:5" x14ac:dyDescent="0.2">
      <c r="B3" s="84" t="s">
        <v>49</v>
      </c>
      <c r="C3" s="84" t="s">
        <v>60</v>
      </c>
      <c r="D3" s="84" t="s">
        <v>50</v>
      </c>
      <c r="E3" s="84" t="s">
        <v>51</v>
      </c>
    </row>
    <row r="4" spans="2:5" x14ac:dyDescent="0.2">
      <c r="B4" s="83"/>
      <c r="C4" s="89">
        <v>41685</v>
      </c>
      <c r="D4" s="83"/>
      <c r="E4" s="83"/>
    </row>
    <row r="5" spans="2:5" x14ac:dyDescent="0.2">
      <c r="B5" s="83"/>
      <c r="C5" s="89"/>
      <c r="D5" s="83"/>
      <c r="E5" s="83"/>
    </row>
    <row r="6" spans="2:5" x14ac:dyDescent="0.2">
      <c r="B6" s="83"/>
      <c r="C6" s="89"/>
      <c r="D6" s="83"/>
      <c r="E6" s="83"/>
    </row>
    <row r="7" spans="2:5" x14ac:dyDescent="0.2">
      <c r="B7" s="83"/>
      <c r="C7" s="89"/>
      <c r="D7" s="83"/>
      <c r="E7" s="83"/>
    </row>
    <row r="8" spans="2:5" x14ac:dyDescent="0.2">
      <c r="B8" s="83"/>
      <c r="C8" s="89"/>
      <c r="D8" s="83"/>
      <c r="E8" s="83"/>
    </row>
    <row r="9" spans="2:5" x14ac:dyDescent="0.2">
      <c r="B9" s="83"/>
      <c r="C9" s="89"/>
      <c r="D9" s="83"/>
      <c r="E9" s="83"/>
    </row>
    <row r="10" spans="2:5" x14ac:dyDescent="0.2">
      <c r="B10" s="83"/>
      <c r="C10" s="89"/>
      <c r="D10" s="83"/>
      <c r="E10" s="83"/>
    </row>
    <row r="11" spans="2:5" x14ac:dyDescent="0.2">
      <c r="B11" s="83"/>
      <c r="C11" s="89"/>
      <c r="D11" s="83"/>
      <c r="E11" s="83"/>
    </row>
    <row r="12" spans="2:5" x14ac:dyDescent="0.2">
      <c r="B12" s="83"/>
      <c r="C12" s="89"/>
      <c r="D12" s="83"/>
      <c r="E12" s="83"/>
    </row>
    <row r="13" spans="2:5" x14ac:dyDescent="0.2">
      <c r="B13" s="83"/>
      <c r="C13" s="89"/>
      <c r="D13" s="83"/>
      <c r="E13" s="83"/>
    </row>
    <row r="14" spans="2:5" x14ac:dyDescent="0.2">
      <c r="B14" s="83"/>
      <c r="C14" s="89"/>
      <c r="D14" s="83"/>
      <c r="E14" s="83"/>
    </row>
    <row r="15" spans="2:5" x14ac:dyDescent="0.2">
      <c r="B15" s="83"/>
      <c r="C15" s="89"/>
      <c r="D15" s="83"/>
      <c r="E15" s="83"/>
    </row>
    <row r="16" spans="2:5" x14ac:dyDescent="0.2">
      <c r="B16" s="83"/>
      <c r="C16" s="89"/>
      <c r="D16" s="83"/>
      <c r="E16" s="83"/>
    </row>
    <row r="17" spans="2:5" x14ac:dyDescent="0.2">
      <c r="B17" s="83"/>
      <c r="C17" s="89"/>
      <c r="D17" s="83"/>
      <c r="E17" s="8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Mantenientos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RedAire 26</cp:lastModifiedBy>
  <cp:lastPrinted>2014-01-02T17:03:17Z</cp:lastPrinted>
  <dcterms:created xsi:type="dcterms:W3CDTF">2005-04-27T21:21:30Z</dcterms:created>
  <dcterms:modified xsi:type="dcterms:W3CDTF">2026-07-28T20:15:51Z</dcterms:modified>
</cp:coreProperties>
</file>