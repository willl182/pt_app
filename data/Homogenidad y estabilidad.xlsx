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<sst xmlns="http://schemas.openxmlformats.org/spreadsheetml/2006/main" count="151" uniqueCount="65">
  <si>
    <t xml:space="preserve">pollutant</t>
  </si>
  <si>
    <t xml:space="preserve">run</t>
  </si>
  <si>
    <t xml:space="preserve">level</t>
  </si>
  <si>
    <t xml:space="preserve">replicate</t>
  </si>
  <si>
    <t xml:space="preserve">sample_id</t>
  </si>
  <si>
    <t xml:space="preserve">value</t>
  </si>
  <si>
    <t xml:space="preserve">co</t>
  </si>
  <si>
    <t xml:space="preserve">corrida_1</t>
  </si>
  <si>
    <t xml:space="preserve">0-��mol/mol</t>
  </si>
  <si>
    <t xml:space="preserve">Verificacion de homogenidad</t>
  </si>
  <si>
    <t xml:space="preserve">Registrar los resultados en las columnas B y D</t>
  </si>
  <si>
    <t xml:space="preserve">Número de la
muestra
t</t>
  </si>
  <si>
    <t xml:space="preserve">Porción de
ensayo
1</t>
  </si>
  <si>
    <t xml:space="preserve">Porción de
ensayo
2</t>
  </si>
  <si>
    <t xml:space="preserve">Promedio de la
muestra
xt</t>
  </si>
  <si>
    <t xml:space="preserve">Rango de porción
entre ensayos
wt</t>
  </si>
  <si>
    <t xml:space="preserve">Promedio general</t>
  </si>
  <si>
    <t xml:space="preserve">Desviacion estandar de los promedios de las muestras (sx)</t>
  </si>
  <si>
    <t xml:space="preserve">Desviacion estandar intra - muestras (sw)</t>
  </si>
  <si>
    <t xml:space="preserve">Desviacion estandar entre las muestras (Ss)</t>
  </si>
  <si>
    <t xml:space="preserve">ᵟpt</t>
  </si>
  <si>
    <t xml:space="preserve">VERIFICACIÓN DE LA ESTABILIDAD</t>
  </si>
  <si>
    <t xml:space="preserve">pollutant,run,level,replicate,sample_id,value</t>
  </si>
  <si>
    <t xml:space="preserve">x,.,− y.,. ≤0,3σ</t>
  </si>
  <si>
    <r>
      <rPr>
        <sz val="11"/>
        <color theme="1"/>
        <rFont val="Aptos Narrow"/>
        <family val="2"/>
        <charset val="1"/>
      </rPr>
      <t xml:space="preserve">co,corrida_1,0-��mol/mol,1,1</t>
    </r>
    <r>
      <rPr>
        <sz val="11"/>
        <color rgb="FFFF0000"/>
        <rFont val="Aptos Narrow"/>
        <family val="2"/>
        <charset val="1"/>
      </rPr>
      <t xml:space="preserve">,-0.0480754717</t>
    </r>
  </si>
  <si>
    <t xml:space="preserve">co,corrida_1,0-��mol/mol,1,2,0.00514893617</t>
  </si>
  <si>
    <t xml:space="preserve">co,corrida_1,0-��mol/mol,2,1,-0.04941509434</t>
  </si>
  <si>
    <t xml:space="preserve">Replica 1
</t>
  </si>
  <si>
    <t xml:space="preserve">Replica 2</t>
  </si>
  <si>
    <t xml:space="preserve">co,corrida_1,0-��mol/mol,2,2,0.003319148936</t>
  </si>
  <si>
    <t xml:space="preserve">Diferencia de media de homogeneidad</t>
  </si>
  <si>
    <t xml:space="preserve">Se comprueba el valor:</t>
  </si>
  <si>
    <t xml:space="preserve">B.3 FÓRMULA PARA LA VERIFICACIÓN DE LA HOMOGENEIDAD</t>
  </si>
  <si>
    <t xml:space="preserve">Criterio</t>
  </si>
  <si>
    <t xml:space="preserve">Verificacion de estabilidad</t>
  </si>
  <si>
    <t xml:space="preserve">Se seleccionan aleatoriamente 2 ítemes de ensayo de aptitud y se almacenan a
una temperatura elevada (60°C) por la duración de la ronda del esquema de ensayo de aptitud (6 semanas). Se
ensayaron los ítemes en duplicad</t>
  </si>
  <si>
    <r>
      <rPr>
        <sz val="11"/>
        <color theme="1"/>
        <rFont val="Aptos Narrow"/>
        <family val="2"/>
        <charset val="1"/>
      </rPr>
      <t xml:space="preserve">x,.,− y.,. ≤</t>
    </r>
    <r>
      <rPr>
        <sz val="11"/>
        <color rgb="FFFF0000"/>
        <rFont val="Aptos Narrow"/>
        <family val="2"/>
        <charset val="1"/>
      </rPr>
      <t xml:space="preserve">0,3σ</t>
    </r>
  </si>
  <si>
    <t xml:space="preserve">La diferencia es menor del valor de comprobación, de modo que la estabilidad es suficiente.</t>
  </si>
  <si>
    <t xml:space="preserve">
Objetivo: Determinar de la serie de datos el estadistico de dispersión MADe
</t>
  </si>
  <si>
    <t xml:space="preserve">DATOS 1</t>
  </si>
  <si>
    <t xml:space="preserve">Datos 2</t>
  </si>
  <si>
    <t xml:space="preserve">pollutant,run,level,participant_id,replicate,sample_group,mean_value,sd_value</t>
  </si>
  <si>
    <t xml:space="preserve">Datos </t>
  </si>
  <si>
    <t xml:space="preserve">Desviaciones absolutas</t>
  </si>
  <si>
    <t xml:space="preserve">co,corrida_1,0-��mol/mol,part_1,2,1-10,-0.02798398234,0.0282128659</t>
  </si>
  <si>
    <t xml:space="preserve">co,corrida_1,0-��mol/mol,part_1,2,11-20,-0.03293311923,0.02547467387</t>
  </si>
  <si>
    <t xml:space="preserve">co,corrida_1,0-��mol/mol,part_1,2,21-30,-0.0279868326,0.02858429708</t>
  </si>
  <si>
    <t xml:space="preserve">co,corrida_1,0-��mol/mol,part_2,3,1-10,-0.02248920112,0.02831441262</t>
  </si>
  <si>
    <t xml:space="preserve">co,corrida_1,0-��mol/mol,part_2,3,11-20,-0.02305893216,0.02921246215</t>
  </si>
  <si>
    <t xml:space="preserve">co,corrida_1,0-��mol/mol,part_2,3,21-30,-0.01766607788,0.02881354388</t>
  </si>
  <si>
    <t xml:space="preserve">co,corrida_1,0-��mol/mol,part_3,4,1-10,-0.01719943798,0.02811769636</t>
  </si>
  <si>
    <t xml:space="preserve">co,corrida_1,0-��mol/mol,part_3,4,11-20,-0.02880004014,0.0286884291</t>
  </si>
  <si>
    <t xml:space="preserve">co,corrida_1,0-��mol/mol,part_3,4,21-30,-0.0289212766,0.02854126249</t>
  </si>
  <si>
    <t xml:space="preserve">co,corrida_1,0-��mol/mol,ref,1,1-10,-0.02169253312,0.02747572318</t>
  </si>
  <si>
    <t xml:space="preserve">Calculo de la mediana</t>
  </si>
  <si>
    <t xml:space="preserve">co,corrida_1,0-��mol/mol,ref,1,11-20,-0.01688896026,0.0273778485</t>
  </si>
  <si>
    <t xml:space="preserve">Mediana de las diferecias</t>
  </si>
  <si>
    <t xml:space="preserve">Cálculo de MADe</t>
  </si>
  <si>
    <t xml:space="preserve">sigma pt</t>
  </si>
  <si>
    <t xml:space="preserve">Q1</t>
  </si>
  <si>
    <t xml:space="preserve">25% datos</t>
  </si>
  <si>
    <t xml:space="preserve">Q3</t>
  </si>
  <si>
    <t xml:space="preserve">75 % datos</t>
  </si>
  <si>
    <t xml:space="preserve">RIC</t>
  </si>
  <si>
    <t xml:space="preserve">nIRQ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</si>
</sst>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0"/>
    <numFmt numFmtId="166" formatCode="0.000000"/>
    <numFmt numFmtId="167" formatCode="0.0"/>
    <numFmt numFmtId="168" formatCode="0.00"/>
    <numFmt numFmtId="169" formatCode="0.0000"/>
    <numFmt numFmtId="170" formatCode="0.000"/>
  </numFmts>
  <fonts count="1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1"/>
      <name val="Aptos Narrow"/>
      <family val="2"/>
      <charset val="1"/>
    </font>
    <font>
      <sz val="14"/>
      <name val="Aptos Narrow"/>
      <family val="2"/>
      <charset val="1"/>
    </font>
    <font>
      <sz val="11"/>
      <color theme="1"/>
      <name val="Calibri"/>
      <family val="2"/>
      <charset val="1"/>
    </font>
    <font>
      <b val="true"/>
      <sz val="14"/>
      <name val="Aptos Narrow"/>
      <family val="2"/>
      <charset val="1"/>
    </font>
    <font>
      <b val="true"/>
      <i val="true"/>
      <sz val="14"/>
      <color theme="1"/>
      <name val="Aptos Narrow"/>
      <family val="2"/>
      <charset val="1"/>
    </font>
    <font>
      <sz val="14"/>
      <color theme="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b val="true"/>
      <sz val="14"/>
      <color theme="1"/>
      <name val="Aptos Narrow"/>
      <family val="2"/>
      <charset val="1"/>
    </font>
    <font>
      <sz val="13.5"/>
      <color theme="1"/>
      <name val="Cambria Math"/>
      <family val="1"/>
    </font>
    <font>
      <sz val="11"/>
      <color theme="0"/>
      <name val="Cambria Math"/>
      <family val="1"/>
    </font>
  </fonts>
  <fills count="9">
    <fill>
      <patternFill patternType="none"/>
    </fill>
    <fill>
      <patternFill patternType="gray125"/>
    </fill>
    <fill>
      <patternFill patternType="solid">
        <fgColor theme="5" tint="0.7999"/>
        <bgColor rgb="FFE8E8E8"/>
      </patternFill>
    </fill>
    <fill>
      <patternFill patternType="solid">
        <fgColor theme="0" tint="-0.05"/>
        <bgColor rgb="FFE8E8E8"/>
      </patternFill>
    </fill>
    <fill>
      <patternFill patternType="solid">
        <fgColor theme="0"/>
        <bgColor rgb="FFF2F2F2"/>
      </patternFill>
    </fill>
    <fill>
      <patternFill patternType="solid">
        <fgColor theme="3" tint="0.8999"/>
        <bgColor rgb="FFE8E8E8"/>
      </patternFill>
    </fill>
    <fill>
      <patternFill patternType="solid">
        <fgColor theme="4"/>
        <bgColor rgb="FF008080"/>
      </patternFill>
    </fill>
    <fill>
      <patternFill patternType="solid">
        <fgColor theme="2"/>
        <bgColor rgb="FFDCEAF7"/>
      </patternFill>
    </fill>
    <fill>
      <patternFill patternType="solid">
        <fgColor theme="7" tint="0.3999"/>
        <bgColor rgb="FF99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2F2F2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CFFCC"/>
      <rgbColor rgb="FFFFFF99"/>
      <rgbColor rgb="FF99CCFF"/>
      <rgbColor rgb="FFFF99CC"/>
      <rgbColor rgb="FFCC99FF"/>
      <rgbColor rgb="FFFBE3D6"/>
      <rgbColor rgb="FF3366FF"/>
      <rgbColor rgb="FF61CBF4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6</xdr:col>
      <xdr:colOff>304920</xdr:colOff>
      <xdr:row>43</xdr:row>
      <xdr:rowOff>28440</xdr:rowOff>
    </xdr:from>
    <xdr:to>
      <xdr:col>8</xdr:col>
      <xdr:colOff>201600</xdr:colOff>
      <xdr:row>45</xdr:row>
      <xdr:rowOff>45360</xdr:rowOff>
    </xdr:to>
    <xdr:sp>
      <xdr:nvSpPr>
        <xdr:cNvPr id="1" name="CuadroTexto 5"/>
        <xdr:cNvSpPr/>
      </xdr:nvSpPr>
      <xdr:spPr>
        <a:xfrm>
          <a:off x="7660080" y="9378720"/>
          <a:ext cx="1231560" cy="379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spAutoFit/>
        </a:bodyPr>
        <a:p>
          <a:pPr defTabSz="457200">
            <a:lnSpc>
              <a:spcPct val="100000"/>
            </a:lnSpc>
          </a:pPr>
          <a:r>
            <a:rPr lang="es-CO" sz="1350" b="0" u="none" strike="noStrike">
              <a:solidFill>
                <a:schemeClr val="dk1"/>
              </a:solidFill>
              <a:effectLst/>
              <a:uFillTx/>
              <a:latin typeface="Cambria Math"/>
            </a:rPr>
            <a:t>|𝑦 ̅_1−𝑦 ̅_2 |</a:t>
          </a:r>
          <a:r>
            <a:rPr lang="es-CO" sz="1350" b="0" u="none" strike="noStrike">
              <a:solidFill>
                <a:schemeClr val="dk1"/>
              </a:solidFill>
              <a:effectLst/>
              <a:uFillTx/>
              <a:latin typeface="Cambria Math"/>
              <a:ea typeface="Cambria Math"/>
            </a:rPr>
            <a:t>≤0,3𝜎_(𝑝𝑡 )</a:t>
          </a:r>
          <a:endParaRPr lang="en-US" sz="135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37440</xdr:colOff>
      <xdr:row>15</xdr:row>
      <xdr:rowOff>88920</xdr:rowOff>
    </xdr:from>
    <xdr:to>
      <xdr:col>16</xdr:col>
      <xdr:colOff>628200</xdr:colOff>
      <xdr:row>36</xdr:row>
      <xdr:rowOff>133920</xdr:rowOff>
    </xdr:to>
    <xdr:pic>
      <xdr:nvPicPr>
        <xdr:cNvPr id="2" name="Picture 2"/>
        <xdr:cNvPicPr/>
      </xdr:nvPicPr>
      <xdr:blipFill>
        <a:blip r:embed="rId1"/>
        <a:stretch/>
      </xdr:blipFill>
      <xdr:spPr>
        <a:xfrm>
          <a:off x="12582000" y="3386520"/>
          <a:ext cx="4595040" cy="4026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617400</xdr:colOff>
      <xdr:row>108</xdr:row>
      <xdr:rowOff>102960</xdr:rowOff>
    </xdr:from>
    <xdr:to>
      <xdr:col>1</xdr:col>
      <xdr:colOff>982800</xdr:colOff>
      <xdr:row>108</xdr:row>
      <xdr:rowOff>258120</xdr:rowOff>
    </xdr:to>
    <xdr:sp>
      <xdr:nvSpPr>
        <xdr:cNvPr id="3" name="CuadroTexto 2"/>
        <xdr:cNvSpPr/>
      </xdr:nvSpPr>
      <xdr:spPr>
        <a:xfrm>
          <a:off x="1284840" y="23656320"/>
          <a:ext cx="365400" cy="15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lang="es-CO" sz="1100" b="0" u="none" strike="noStrike">
              <a:solidFill>
                <a:schemeClr val="lt1"/>
              </a:solidFill>
              <a:effectLst/>
              <a:uFillTx/>
              <a:latin typeface="Cambria Math"/>
            </a:rPr>
            <a:t>(</a:t>
          </a:r>
          <a:r>
            <a:rPr lang="es-ES" sz="1100" b="0" u="none" strike="noStrike">
              <a:solidFill>
                <a:schemeClr val="lt1"/>
              </a:solidFill>
              <a:effectLst/>
              <a:uFillTx/>
              <a:latin typeface="Cambria Math"/>
            </a:rPr>
            <a:t>𝑥</a:t>
          </a:r>
          <a:r>
            <a:rPr lang="es-CO" sz="1100" b="0" u="none" strike="noStrike">
              <a:solidFill>
                <a:schemeClr val="lt1"/>
              </a:solidFill>
              <a:effectLst/>
              <a:uFillTx/>
              <a:latin typeface="Cambria Math"/>
            </a:rPr>
            <a:t>_</a:t>
          </a:r>
          <a:r>
            <a:rPr lang="es-ES" sz="1100" b="0" u="none" strike="noStrike">
              <a:solidFill>
                <a:schemeClr val="lt1"/>
              </a:solidFill>
              <a:effectLst/>
              <a:uFillTx/>
              <a:latin typeface="Cambria Math"/>
            </a:rPr>
            <a:t>𝑖 )</a:t>
          </a:r>
          <a:endParaRPr lang="en-US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19080</xdr:colOff>
      <xdr:row>33</xdr:row>
      <xdr:rowOff>144720</xdr:rowOff>
    </xdr:from>
    <xdr:to>
      <xdr:col>24</xdr:col>
      <xdr:colOff>114840</xdr:colOff>
      <xdr:row>45</xdr:row>
      <xdr:rowOff>171000</xdr:rowOff>
    </xdr:to>
    <xdr:pic>
      <xdr:nvPicPr>
        <xdr:cNvPr id="4" name="Picture 5"/>
        <xdr:cNvPicPr/>
      </xdr:nvPicPr>
      <xdr:blipFill>
        <a:blip r:embed="rId2"/>
        <a:stretch/>
      </xdr:blipFill>
      <xdr:spPr>
        <a:xfrm>
          <a:off x="15900480" y="6880680"/>
          <a:ext cx="6102000" cy="300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257400</xdr:colOff>
      <xdr:row>101</xdr:row>
      <xdr:rowOff>5040</xdr:rowOff>
    </xdr:from>
    <xdr:to>
      <xdr:col>25</xdr:col>
      <xdr:colOff>241920</xdr:colOff>
      <xdr:row>119</xdr:row>
      <xdr:rowOff>129600</xdr:rowOff>
    </xdr:to>
    <xdr:pic>
      <xdr:nvPicPr>
        <xdr:cNvPr id="5" name="Picture 8"/>
        <xdr:cNvPicPr/>
      </xdr:nvPicPr>
      <xdr:blipFill>
        <a:blip r:embed="rId3"/>
        <a:stretch/>
      </xdr:blipFill>
      <xdr:spPr>
        <a:xfrm>
          <a:off x="15471360" y="22212720"/>
          <a:ext cx="7325640" cy="3943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491760</xdr:colOff>
      <xdr:row>128</xdr:row>
      <xdr:rowOff>91080</xdr:rowOff>
    </xdr:from>
    <xdr:to>
      <xdr:col>21</xdr:col>
      <xdr:colOff>320400</xdr:colOff>
      <xdr:row>144</xdr:row>
      <xdr:rowOff>171360</xdr:rowOff>
    </xdr:to>
    <xdr:pic>
      <xdr:nvPicPr>
        <xdr:cNvPr id="6" name="Picture 9"/>
        <xdr:cNvPicPr/>
      </xdr:nvPicPr>
      <xdr:blipFill>
        <a:blip r:embed="rId4"/>
        <a:stretch/>
      </xdr:blipFill>
      <xdr:spPr>
        <a:xfrm>
          <a:off x="17040600" y="27903600"/>
          <a:ext cx="3165480" cy="3458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398880</xdr:colOff>
      <xdr:row>34</xdr:row>
      <xdr:rowOff>89640</xdr:rowOff>
    </xdr:from>
    <xdr:to>
      <xdr:col>35</xdr:col>
      <xdr:colOff>194760</xdr:colOff>
      <xdr:row>61</xdr:row>
      <xdr:rowOff>140400</xdr:rowOff>
    </xdr:to>
    <xdr:pic>
      <xdr:nvPicPr>
        <xdr:cNvPr id="7" name="Picture 10"/>
        <xdr:cNvPicPr/>
      </xdr:nvPicPr>
      <xdr:blipFill>
        <a:blip r:embed="rId5"/>
        <a:stretch/>
      </xdr:blipFill>
      <xdr:spPr>
        <a:xfrm>
          <a:off x="22286520" y="7006680"/>
          <a:ext cx="7137360" cy="728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262080</xdr:colOff>
      <xdr:row>16</xdr:row>
      <xdr:rowOff>76680</xdr:rowOff>
    </xdr:from>
    <xdr:to>
      <xdr:col>28</xdr:col>
      <xdr:colOff>515520</xdr:colOff>
      <xdr:row>48</xdr:row>
      <xdr:rowOff>130320</xdr:rowOff>
    </xdr:to>
    <xdr:pic>
      <xdr:nvPicPr>
        <xdr:cNvPr id="8" name="Picture 11"/>
        <xdr:cNvPicPr/>
      </xdr:nvPicPr>
      <xdr:blipFill>
        <a:blip r:embed="rId6"/>
        <a:stretch/>
      </xdr:blipFill>
      <xdr:spPr>
        <a:xfrm>
          <a:off x="17478360" y="3555360"/>
          <a:ext cx="7594560" cy="6830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true" showOutlineSymbols="true" defaultGridColor="true" view="normal" topLeftCell="A1" colorId="64" zoomScale="62" zoomScaleNormal="62" zoomScalePageLayoutView="100" workbookViewId="0">
      <selection pane="topLeft" activeCell="B136" activeCellId="0" sqref="B136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2" min="2" style="0" width="14.84"/>
    <col collapsed="false" customWidth="true" hidden="false" outlineLevel="0" max="3" min="3" style="0" width="26.13"/>
    <col collapsed="false" customWidth="true" hidden="false" outlineLevel="0" max="4" min="4" style="0" width="19.6"/>
    <col collapsed="false" customWidth="true" hidden="false" outlineLevel="0" max="6" min="6" style="0" width="17.15"/>
    <col collapsed="false" customWidth="true" hidden="false" outlineLevel="0" max="10" min="10" style="0" width="41.14"/>
  </cols>
  <sheetData>
    <row r="1" customFormat="false" ht="14.25" hidden="false" customHeight="false" outlineLevel="0" collapsed="false">
      <c r="J1" s="0" t="s">
        <v>0</v>
      </c>
      <c r="K1" s="0" t="s">
        <v>1</v>
      </c>
      <c r="L1" s="0" t="s">
        <v>2</v>
      </c>
      <c r="M1" s="0" t="s">
        <v>3</v>
      </c>
      <c r="N1" s="0" t="s">
        <v>4</v>
      </c>
      <c r="O1" s="0" t="s">
        <v>5</v>
      </c>
    </row>
    <row r="2" customFormat="false" ht="14.25" hidden="false" customHeight="false" outlineLevel="0" collapsed="false">
      <c r="J2" s="0" t="s">
        <v>6</v>
      </c>
      <c r="K2" s="0" t="s">
        <v>7</v>
      </c>
      <c r="L2" s="0" t="s">
        <v>8</v>
      </c>
      <c r="M2" s="0" t="n">
        <v>1</v>
      </c>
      <c r="N2" s="0" t="n">
        <v>1</v>
      </c>
      <c r="O2" s="0" t="n">
        <v>0.00670212766</v>
      </c>
    </row>
    <row r="3" customFormat="false" ht="14.25" hidden="false" customHeight="false" outlineLevel="0" collapsed="false">
      <c r="A3" s="0" t="s">
        <v>9</v>
      </c>
      <c r="J3" s="0" t="s">
        <v>6</v>
      </c>
      <c r="K3" s="0" t="s">
        <v>7</v>
      </c>
      <c r="L3" s="0" t="s">
        <v>8</v>
      </c>
      <c r="M3" s="0" t="n">
        <v>1</v>
      </c>
      <c r="N3" s="0" t="n">
        <v>2</v>
      </c>
      <c r="O3" s="0" t="n">
        <v>0.004787234043</v>
      </c>
    </row>
    <row r="4" customFormat="false" ht="14.25" hidden="false" customHeight="false" outlineLevel="0" collapsed="false">
      <c r="A4" s="0" t="s">
        <v>10</v>
      </c>
      <c r="J4" s="0" t="s">
        <v>6</v>
      </c>
      <c r="K4" s="0" t="s">
        <v>7</v>
      </c>
      <c r="L4" s="0" t="s">
        <v>8</v>
      </c>
      <c r="M4" s="0" t="n">
        <v>1</v>
      </c>
      <c r="N4" s="0" t="n">
        <v>3</v>
      </c>
      <c r="O4" s="0" t="n">
        <v>-0.04928301887</v>
      </c>
    </row>
    <row r="5" customFormat="false" ht="60.15" hidden="false" customHeight="false" outlineLevel="0" collapsed="false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J5" s="0" t="s">
        <v>6</v>
      </c>
      <c r="K5" s="0" t="s">
        <v>7</v>
      </c>
      <c r="L5" s="0" t="s">
        <v>8</v>
      </c>
      <c r="M5" s="0" t="n">
        <v>1</v>
      </c>
      <c r="N5" s="0" t="n">
        <v>4</v>
      </c>
      <c r="O5" s="0" t="n">
        <v>0.004255319149</v>
      </c>
    </row>
    <row r="6" customFormat="false" ht="14.25" hidden="false" customHeight="false" outlineLevel="0" collapsed="false">
      <c r="A6" s="2"/>
      <c r="B6" s="3" t="n">
        <v>0.00670212766</v>
      </c>
      <c r="C6" s="4" t="n">
        <v>-0.04796226415</v>
      </c>
      <c r="D6" s="5" t="n">
        <f aca="false">AVERAGE(B6:C6)</f>
        <v>-0.020630068245</v>
      </c>
      <c r="E6" s="6" t="n">
        <f aca="false">MAX(B6:C6)-MIN(B6:C6)</f>
        <v>0.05466439181</v>
      </c>
      <c r="J6" s="0" t="s">
        <v>6</v>
      </c>
      <c r="K6" s="0" t="s">
        <v>7</v>
      </c>
      <c r="L6" s="0" t="s">
        <v>8</v>
      </c>
      <c r="M6" s="0" t="n">
        <v>1</v>
      </c>
      <c r="N6" s="0" t="n">
        <v>5</v>
      </c>
      <c r="O6" s="0" t="n">
        <v>0.006021276596</v>
      </c>
    </row>
    <row r="7" customFormat="false" ht="14.25" hidden="false" customHeight="false" outlineLevel="0" collapsed="false">
      <c r="A7" s="2"/>
      <c r="B7" s="7" t="n">
        <v>0.004787234043</v>
      </c>
      <c r="C7" s="4" t="n">
        <v>-0.0488490566</v>
      </c>
      <c r="D7" s="5" t="n">
        <f aca="false">AVERAGE(B7:C7)</f>
        <v>-0.0220309112785</v>
      </c>
      <c r="E7" s="6" t="n">
        <f aca="false">MAX(B7:C7)-MIN(B7:C7)</f>
        <v>0.053636290643</v>
      </c>
      <c r="J7" s="0" t="s">
        <v>6</v>
      </c>
      <c r="K7" s="0" t="s">
        <v>7</v>
      </c>
      <c r="L7" s="0" t="s">
        <v>8</v>
      </c>
      <c r="M7" s="0" t="n">
        <v>1</v>
      </c>
      <c r="N7" s="0" t="n">
        <v>6</v>
      </c>
      <c r="O7" s="0" t="n">
        <v>-0.05226415094</v>
      </c>
    </row>
    <row r="8" customFormat="false" ht="14.25" hidden="false" customHeight="false" outlineLevel="0" collapsed="false">
      <c r="A8" s="2"/>
      <c r="B8" s="7" t="n">
        <v>-0.04928301887</v>
      </c>
      <c r="C8" s="4" t="n">
        <v>-0.04745283019</v>
      </c>
      <c r="D8" s="5" t="n">
        <f aca="false">AVERAGE(B8:C8)</f>
        <v>-0.04836792453</v>
      </c>
      <c r="E8" s="6" t="n">
        <f aca="false">MAX(B8:C8)-MIN(B8:C8)</f>
        <v>0.00183018868</v>
      </c>
      <c r="J8" s="0" t="s">
        <v>6</v>
      </c>
      <c r="K8" s="0" t="s">
        <v>7</v>
      </c>
      <c r="L8" s="0" t="s">
        <v>8</v>
      </c>
      <c r="M8" s="0" t="n">
        <v>1</v>
      </c>
      <c r="N8" s="0" t="n">
        <v>7</v>
      </c>
      <c r="O8" s="0" t="n">
        <v>0.003212765957</v>
      </c>
    </row>
    <row r="9" customFormat="false" ht="14.25" hidden="false" customHeight="false" outlineLevel="0" collapsed="false">
      <c r="A9" s="2"/>
      <c r="B9" s="7" t="n">
        <v>0.004255319149</v>
      </c>
      <c r="C9" s="4" t="n">
        <v>-0.04867924528</v>
      </c>
      <c r="D9" s="5" t="n">
        <f aca="false">AVERAGE(B9:C9)</f>
        <v>-0.0222119630655</v>
      </c>
      <c r="E9" s="6" t="n">
        <f aca="false">MAX(B9:C9)-MIN(B9:C9)</f>
        <v>0.052934564429</v>
      </c>
      <c r="J9" s="0" t="s">
        <v>6</v>
      </c>
      <c r="K9" s="0" t="s">
        <v>7</v>
      </c>
      <c r="L9" s="0" t="s">
        <v>8</v>
      </c>
      <c r="M9" s="0" t="n">
        <v>1</v>
      </c>
      <c r="N9" s="0" t="n">
        <v>8</v>
      </c>
      <c r="O9" s="0" t="n">
        <v>-0.05075471698</v>
      </c>
    </row>
    <row r="10" customFormat="false" ht="14.25" hidden="false" customHeight="false" outlineLevel="0" collapsed="false">
      <c r="A10" s="2"/>
      <c r="B10" s="7" t="n">
        <v>0.006021276596</v>
      </c>
      <c r="C10" s="4" t="n">
        <v>-0.05016981132</v>
      </c>
      <c r="D10" s="5" t="n">
        <f aca="false">AVERAGE(B10:C10)</f>
        <v>-0.022074267362</v>
      </c>
      <c r="E10" s="6" t="n">
        <f aca="false">MAX(B10:C10)-MIN(B10:C10)</f>
        <v>0.056191087916</v>
      </c>
      <c r="J10" s="0" t="s">
        <v>6</v>
      </c>
      <c r="K10" s="0" t="s">
        <v>7</v>
      </c>
      <c r="L10" s="0" t="s">
        <v>8</v>
      </c>
      <c r="M10" s="0" t="n">
        <v>1</v>
      </c>
      <c r="N10" s="0" t="n">
        <v>9</v>
      </c>
      <c r="O10" s="0" t="n">
        <v>-0.05196226415</v>
      </c>
    </row>
    <row r="11" customFormat="false" ht="14.25" hidden="false" customHeight="false" outlineLevel="0" collapsed="false">
      <c r="A11" s="2"/>
      <c r="B11" s="7" t="n">
        <v>-0.05226415094</v>
      </c>
      <c r="C11" s="4" t="n">
        <v>0.00585106383</v>
      </c>
      <c r="D11" s="5" t="n">
        <f aca="false">AVERAGE(B11:C11)</f>
        <v>-0.023206543555</v>
      </c>
      <c r="E11" s="6" t="n">
        <f aca="false">MAX(B11:C11)-MIN(B11:C11)</f>
        <v>0.05811521477</v>
      </c>
      <c r="J11" s="0" t="s">
        <v>6</v>
      </c>
      <c r="K11" s="0" t="s">
        <v>7</v>
      </c>
      <c r="L11" s="0" t="s">
        <v>8</v>
      </c>
      <c r="M11" s="0" t="n">
        <v>1</v>
      </c>
      <c r="N11" s="0" t="n">
        <v>10</v>
      </c>
      <c r="O11" s="0" t="n">
        <v>-0.04888679245</v>
      </c>
    </row>
    <row r="12" customFormat="false" ht="14.25" hidden="false" customHeight="false" outlineLevel="0" collapsed="false">
      <c r="A12" s="2"/>
      <c r="B12" s="7" t="n">
        <v>0.003212765957</v>
      </c>
      <c r="C12" s="4" t="n">
        <v>-0.05164150943</v>
      </c>
      <c r="D12" s="5" t="n">
        <f aca="false">AVERAGE(B12:C12)</f>
        <v>-0.0242143717365</v>
      </c>
      <c r="E12" s="6" t="n">
        <f aca="false">MAX(B12:C12)-MIN(B12:C12)</f>
        <v>0.054854275387</v>
      </c>
      <c r="J12" s="0" t="s">
        <v>6</v>
      </c>
      <c r="K12" s="0" t="s">
        <v>7</v>
      </c>
      <c r="L12" s="0" t="s">
        <v>8</v>
      </c>
      <c r="M12" s="0" t="n">
        <v>2</v>
      </c>
      <c r="N12" s="0" t="n">
        <v>1</v>
      </c>
      <c r="O12" s="0" t="n">
        <v>-0.04796226415</v>
      </c>
    </row>
    <row r="13" customFormat="false" ht="14.25" hidden="false" customHeight="false" outlineLevel="0" collapsed="false">
      <c r="A13" s="2"/>
      <c r="B13" s="7" t="n">
        <v>-0.05075471698</v>
      </c>
      <c r="C13" s="4" t="n">
        <v>0.004595744681</v>
      </c>
      <c r="D13" s="5" t="n">
        <f aca="false">AVERAGE(B13:C13)</f>
        <v>-0.0230794861495</v>
      </c>
      <c r="E13" s="6" t="n">
        <f aca="false">MAX(B13:C13)-MIN(B13:C13)</f>
        <v>0.055350461661</v>
      </c>
      <c r="J13" s="0" t="s">
        <v>6</v>
      </c>
      <c r="K13" s="0" t="s">
        <v>7</v>
      </c>
      <c r="L13" s="0" t="s">
        <v>8</v>
      </c>
      <c r="M13" s="0" t="n">
        <v>2</v>
      </c>
      <c r="N13" s="0" t="n">
        <v>2</v>
      </c>
      <c r="O13" s="0" t="n">
        <v>-0.0488490566</v>
      </c>
    </row>
    <row r="14" customFormat="false" ht="14.25" hidden="false" customHeight="false" outlineLevel="0" collapsed="false">
      <c r="A14" s="2"/>
      <c r="B14" s="7" t="n">
        <v>-0.05196226415</v>
      </c>
      <c r="C14" s="4" t="n">
        <v>0.003255319149</v>
      </c>
      <c r="D14" s="5" t="n">
        <f aca="false">AVERAGE(B14:C14)</f>
        <v>-0.0243534725005</v>
      </c>
      <c r="E14" s="6" t="n">
        <f aca="false">MAX(B14:C14)-MIN(B14:C14)</f>
        <v>0.055217583299</v>
      </c>
      <c r="J14" s="0" t="s">
        <v>6</v>
      </c>
      <c r="K14" s="0" t="s">
        <v>7</v>
      </c>
      <c r="L14" s="0" t="s">
        <v>8</v>
      </c>
      <c r="M14" s="0" t="n">
        <v>2</v>
      </c>
      <c r="N14" s="0" t="n">
        <v>3</v>
      </c>
      <c r="O14" s="0" t="n">
        <v>-0.04745283019</v>
      </c>
    </row>
    <row r="15" customFormat="false" ht="14.25" hidden="false" customHeight="false" outlineLevel="0" collapsed="false">
      <c r="A15" s="2"/>
      <c r="B15" s="7" t="n">
        <v>-0.04888679245</v>
      </c>
      <c r="C15" s="4" t="n">
        <v>0.003531914894</v>
      </c>
      <c r="D15" s="5" t="n">
        <f aca="false">AVERAGE(B15:C15)</f>
        <v>-0.022677438778</v>
      </c>
      <c r="E15" s="6" t="n">
        <f aca="false">MAX(B15:C15)-MIN(B15:C15)</f>
        <v>0.052418707344</v>
      </c>
      <c r="J15" s="0" t="s">
        <v>6</v>
      </c>
      <c r="K15" s="0" t="s">
        <v>7</v>
      </c>
      <c r="L15" s="0" t="s">
        <v>8</v>
      </c>
      <c r="M15" s="0" t="n">
        <v>2</v>
      </c>
      <c r="N15" s="0" t="n">
        <v>4</v>
      </c>
      <c r="O15" s="0" t="n">
        <v>-0.04867924528</v>
      </c>
    </row>
    <row r="16" customFormat="false" ht="14.25" hidden="false" customHeight="false" outlineLevel="0" collapsed="false">
      <c r="A16" s="2"/>
      <c r="B16" s="8"/>
      <c r="C16" s="8"/>
      <c r="D16" s="2"/>
      <c r="E16" s="9"/>
      <c r="J16" s="0" t="s">
        <v>6</v>
      </c>
      <c r="K16" s="0" t="s">
        <v>7</v>
      </c>
      <c r="L16" s="0" t="s">
        <v>8</v>
      </c>
      <c r="M16" s="0" t="n">
        <v>2</v>
      </c>
      <c r="N16" s="0" t="n">
        <v>5</v>
      </c>
      <c r="O16" s="0" t="n">
        <v>-0.05016981132</v>
      </c>
    </row>
    <row r="17" customFormat="false" ht="14.25" hidden="false" customHeight="false" outlineLevel="0" collapsed="false">
      <c r="A17" s="2"/>
      <c r="B17" s="8"/>
      <c r="C17" s="8"/>
      <c r="D17" s="2"/>
      <c r="E17" s="9"/>
      <c r="J17" s="0" t="s">
        <v>6</v>
      </c>
      <c r="K17" s="0" t="s">
        <v>7</v>
      </c>
      <c r="L17" s="0" t="s">
        <v>8</v>
      </c>
      <c r="M17" s="0" t="n">
        <v>2</v>
      </c>
      <c r="N17" s="0" t="n">
        <v>6</v>
      </c>
      <c r="O17" s="0" t="n">
        <v>0.00585106383</v>
      </c>
    </row>
    <row r="18" customFormat="false" ht="14.25" hidden="false" customHeight="false" outlineLevel="0" collapsed="false">
      <c r="J18" s="0" t="s">
        <v>6</v>
      </c>
      <c r="K18" s="0" t="s">
        <v>7</v>
      </c>
      <c r="L18" s="0" t="s">
        <v>8</v>
      </c>
      <c r="M18" s="0" t="n">
        <v>2</v>
      </c>
      <c r="N18" s="0" t="n">
        <v>7</v>
      </c>
      <c r="O18" s="0" t="n">
        <v>-0.05164150943</v>
      </c>
    </row>
    <row r="19" customFormat="false" ht="14.25" hidden="false" customHeight="false" outlineLevel="0" collapsed="false">
      <c r="F19" s="10" t="n">
        <f aca="false">+AVERAGE(D6:D15)</f>
        <v>-0.02528464472005</v>
      </c>
      <c r="J19" s="0" t="s">
        <v>6</v>
      </c>
      <c r="K19" s="0" t="s">
        <v>7</v>
      </c>
      <c r="L19" s="0" t="s">
        <v>8</v>
      </c>
      <c r="M19" s="0" t="n">
        <v>2</v>
      </c>
      <c r="N19" s="0" t="n">
        <v>8</v>
      </c>
      <c r="O19" s="0" t="n">
        <v>0.004595744681</v>
      </c>
    </row>
    <row r="20" customFormat="false" ht="14.25" hidden="false" customHeight="false" outlineLevel="0" collapsed="false">
      <c r="A20" s="11" t="s">
        <v>16</v>
      </c>
      <c r="B20" s="11"/>
      <c r="C20" s="11"/>
      <c r="D20" s="11"/>
      <c r="E20" s="11"/>
      <c r="F20" s="10" t="n">
        <f aca="false">+AVERAGE(B6:C17)</f>
        <v>-0.02528464472005</v>
      </c>
      <c r="J20" s="0" t="s">
        <v>6</v>
      </c>
      <c r="K20" s="0" t="s">
        <v>7</v>
      </c>
      <c r="L20" s="0" t="s">
        <v>8</v>
      </c>
      <c r="M20" s="0" t="n">
        <v>2</v>
      </c>
      <c r="N20" s="0" t="n">
        <v>9</v>
      </c>
      <c r="O20" s="0" t="n">
        <v>0.003255319149</v>
      </c>
    </row>
    <row r="21" customFormat="false" ht="14.25" hidden="false" customHeight="false" outlineLevel="0" collapsed="false">
      <c r="A21" s="11" t="s">
        <v>17</v>
      </c>
      <c r="B21" s="11"/>
      <c r="C21" s="11"/>
      <c r="D21" s="11"/>
      <c r="E21" s="11"/>
      <c r="F21" s="10" t="n">
        <f aca="false">+STDEV(D6:D17)</f>
        <v>0.00818419128663422</v>
      </c>
      <c r="G21" s="0" t="n">
        <f aca="false">F21*F21</f>
        <v>6.69809870162195E-005</v>
      </c>
      <c r="J21" s="0" t="s">
        <v>6</v>
      </c>
      <c r="K21" s="0" t="s">
        <v>7</v>
      </c>
      <c r="L21" s="0" t="s">
        <v>8</v>
      </c>
      <c r="M21" s="0" t="n">
        <v>2</v>
      </c>
      <c r="N21" s="0" t="n">
        <v>10</v>
      </c>
      <c r="O21" s="0" t="n">
        <v>0.003531914894</v>
      </c>
    </row>
    <row r="22" customFormat="false" ht="14.25" hidden="false" customHeight="false" outlineLevel="0" collapsed="false">
      <c r="A22" s="11" t="s">
        <v>18</v>
      </c>
      <c r="B22" s="11"/>
      <c r="C22" s="11"/>
      <c r="D22" s="11"/>
      <c r="E22" s="11"/>
      <c r="F22" s="10" t="n">
        <f aca="false">+SQRT(SUMSQ(E6:E17)/(2*COUNT(E6:E17)))</f>
        <v>0.0367931034135838</v>
      </c>
      <c r="G22" s="0" t="n">
        <f aca="false">F22*F22</f>
        <v>0.00135373245880267</v>
      </c>
      <c r="H22" s="0" t="n">
        <f aca="false">G22/2</f>
        <v>0.000676866229401334</v>
      </c>
    </row>
    <row r="23" customFormat="false" ht="14.25" hidden="false" customHeight="false" outlineLevel="0" collapsed="false">
      <c r="A23" s="11" t="s">
        <v>19</v>
      </c>
      <c r="B23" s="11"/>
      <c r="C23" s="11"/>
      <c r="D23" s="11"/>
      <c r="E23" s="11"/>
      <c r="F23" s="10" t="n">
        <f aca="false">+SQRT(ABS((F21^2)-((F22^2)/2)))</f>
        <v>0.0246958547611763</v>
      </c>
    </row>
    <row r="24" customFormat="false" ht="14.25" hidden="false" customHeight="false" outlineLevel="0" collapsed="false">
      <c r="A24" s="11" t="s">
        <v>20</v>
      </c>
      <c r="B24" s="11"/>
      <c r="C24" s="11"/>
      <c r="D24" s="11"/>
      <c r="E24" s="11"/>
      <c r="F24" s="10" t="n">
        <f aca="false">C129</f>
        <v>0.0411843566835545</v>
      </c>
    </row>
    <row r="26" customFormat="false" ht="28.5" hidden="false" customHeight="true" outlineLevel="0" collapsed="false">
      <c r="A26" s="12"/>
      <c r="B26" s="12"/>
      <c r="C26" s="12"/>
      <c r="D26" s="12"/>
      <c r="E26" s="12"/>
      <c r="F26" s="12"/>
    </row>
    <row r="30" customFormat="false" ht="14.25" hidden="false" customHeight="false" outlineLevel="0" collapsed="false">
      <c r="A30" s="13" t="s">
        <v>21</v>
      </c>
      <c r="B30" s="13"/>
      <c r="C30" s="13"/>
      <c r="D30" s="13"/>
      <c r="E30" s="13"/>
      <c r="F30" s="13"/>
      <c r="G30" s="14"/>
      <c r="H30" s="14"/>
      <c r="I30" s="14"/>
      <c r="J30" s="14"/>
    </row>
    <row r="31" customFormat="false" ht="14.25" hidden="false" customHeight="fals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 customFormat="false" ht="14.2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customFormat="false" ht="14.25" hidden="false" customHeight="fals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customFormat="false" ht="14.25" hidden="false" customHeight="false" outlineLevel="0" collapsed="false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customFormat="false" ht="14.25" hidden="false" customHeight="false" outlineLevel="0" collapsed="false">
      <c r="A35" s="0" t="s">
        <v>10</v>
      </c>
      <c r="B35" s="14"/>
      <c r="C35" s="14"/>
      <c r="D35" s="14"/>
      <c r="E35" s="14"/>
      <c r="F35" s="14"/>
      <c r="G35" s="14"/>
      <c r="H35" s="14"/>
      <c r="I35" s="14"/>
      <c r="J35" s="14"/>
      <c r="K35" s="0" t="s">
        <v>22</v>
      </c>
    </row>
    <row r="36" customFormat="false" ht="14.25" hidden="false" customHeight="false" outlineLevel="0" collapsed="false">
      <c r="A36" s="14" t="s">
        <v>23</v>
      </c>
      <c r="B36" s="14"/>
      <c r="C36" s="14"/>
      <c r="D36" s="14"/>
      <c r="E36" s="14"/>
      <c r="F36" s="14"/>
      <c r="G36" s="14"/>
      <c r="H36" s="14"/>
      <c r="I36" s="14"/>
      <c r="J36" s="14"/>
      <c r="K36" s="0" t="s">
        <v>24</v>
      </c>
    </row>
    <row r="37" customFormat="false" ht="14.25" hidden="false" customHeight="false" outlineLevel="0" collapsed="false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0" t="s">
        <v>25</v>
      </c>
    </row>
    <row r="38" customFormat="false" ht="14.25" hidden="false" customHeight="false" outlineLevel="0" collapsed="false">
      <c r="A38" s="16"/>
      <c r="B38" s="14"/>
      <c r="C38" s="14"/>
      <c r="D38" s="14"/>
      <c r="E38" s="14"/>
      <c r="F38" s="14"/>
      <c r="G38" s="14"/>
      <c r="H38" s="14"/>
      <c r="I38" s="14"/>
      <c r="J38" s="14"/>
      <c r="K38" s="0" t="s">
        <v>26</v>
      </c>
    </row>
    <row r="39" customFormat="false" ht="77.6" hidden="false" customHeight="false" outlineLevel="0" collapsed="false">
      <c r="A39" s="17" t="s">
        <v>11</v>
      </c>
      <c r="B39" s="17" t="s">
        <v>27</v>
      </c>
      <c r="C39" s="17" t="s">
        <v>28</v>
      </c>
      <c r="D39" s="17" t="s">
        <v>14</v>
      </c>
      <c r="E39" s="17" t="s">
        <v>15</v>
      </c>
      <c r="F39" s="14"/>
      <c r="G39" s="14"/>
      <c r="H39" s="14"/>
      <c r="I39" s="14"/>
      <c r="J39" s="14"/>
      <c r="K39" s="0" t="s">
        <v>29</v>
      </c>
    </row>
    <row r="40" customFormat="false" ht="14.25" hidden="false" customHeight="false" outlineLevel="0" collapsed="false">
      <c r="A40" s="18"/>
      <c r="B40" s="19" t="n">
        <v>-0.04808</v>
      </c>
      <c r="C40" s="8" t="n">
        <v>-0.04942</v>
      </c>
      <c r="D40" s="20" t="n">
        <v>-0.04875</v>
      </c>
      <c r="E40" s="21" t="n">
        <v>0.00134</v>
      </c>
      <c r="F40" s="14"/>
      <c r="G40" s="14"/>
      <c r="H40" s="14"/>
      <c r="I40" s="14"/>
      <c r="J40" s="14"/>
    </row>
    <row r="41" customFormat="false" ht="14.25" hidden="false" customHeight="false" outlineLevel="0" collapsed="false">
      <c r="A41" s="18"/>
      <c r="B41" s="8" t="n">
        <v>0.00515</v>
      </c>
      <c r="C41" s="8" t="n">
        <v>0.00332</v>
      </c>
      <c r="D41" s="21" t="n">
        <v>0.004235</v>
      </c>
      <c r="E41" s="21" t="n">
        <v>0.00183</v>
      </c>
      <c r="F41" s="14"/>
      <c r="G41" s="14"/>
      <c r="H41" s="14"/>
      <c r="I41" s="14"/>
      <c r="J41" s="14"/>
    </row>
    <row r="42" customFormat="false" ht="14.25" hidden="false" customHeight="false" outlineLevel="0" collapsed="false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 customFormat="false" ht="14.25" hidden="false" customHeight="false" outlineLevel="0" collapsed="false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 customFormat="false" ht="14.25" hidden="false" customHeight="false" outlineLevel="0" collapsed="false">
      <c r="A44" s="22" t="s">
        <v>16</v>
      </c>
      <c r="B44" s="22"/>
      <c r="C44" s="22"/>
      <c r="D44" s="22"/>
      <c r="E44" s="23" t="n">
        <f aca="false">+AVERAGE(B40:C41)</f>
        <v>-0.0222575</v>
      </c>
      <c r="F44" s="24"/>
      <c r="G44" s="14"/>
      <c r="H44" s="14"/>
      <c r="I44" s="14"/>
      <c r="J44" s="14"/>
    </row>
    <row r="45" customFormat="false" ht="14.25" hidden="false" customHeight="false" outlineLevel="0" collapsed="false">
      <c r="A45" s="22" t="s">
        <v>30</v>
      </c>
      <c r="B45" s="22"/>
      <c r="C45" s="22"/>
      <c r="D45" s="22"/>
      <c r="E45" s="25" t="n">
        <f aca="false">ABS(E44-F20)</f>
        <v>0.00302714472005</v>
      </c>
      <c r="F45" s="24"/>
      <c r="G45" s="14"/>
      <c r="H45" s="14"/>
      <c r="I45" s="14"/>
      <c r="J45" s="14"/>
    </row>
    <row r="46" customFormat="false" ht="14.25" hidden="false" customHeight="false" outlineLevel="0" collapsed="false">
      <c r="A46" s="22" t="s">
        <v>31</v>
      </c>
      <c r="B46" s="22"/>
      <c r="C46" s="22"/>
      <c r="D46" s="22"/>
      <c r="E46" s="25" t="n">
        <f aca="false">F24</f>
        <v>0.0411843566835545</v>
      </c>
      <c r="F46" s="24"/>
      <c r="G46" s="14"/>
      <c r="H46" s="14"/>
      <c r="I46" s="14"/>
      <c r="J46" s="14"/>
    </row>
    <row r="47" customFormat="false" ht="14.25" hidden="false" customHeight="false" outlineLevel="0" collapsed="false">
      <c r="E47" s="14"/>
    </row>
    <row r="52" customFormat="false" ht="14.25" hidden="false" customHeight="false" outlineLevel="0" collapsed="false">
      <c r="A52" s="26" t="s">
        <v>32</v>
      </c>
    </row>
    <row r="53" customFormat="false" ht="14.25" hidden="false" customHeight="false" outlineLevel="0" collapsed="false">
      <c r="A53" s="0" t="s">
        <v>9</v>
      </c>
    </row>
    <row r="55" customFormat="false" ht="77.6" hidden="false" customHeight="false" outlineLevel="0" collapsed="false">
      <c r="A55" s="1" t="s">
        <v>11</v>
      </c>
      <c r="B55" s="1" t="s">
        <v>27</v>
      </c>
      <c r="C55" s="1" t="s">
        <v>28</v>
      </c>
      <c r="D55" s="1" t="s">
        <v>14</v>
      </c>
      <c r="E55" s="1" t="s">
        <v>15</v>
      </c>
    </row>
    <row r="56" customFormat="false" ht="24" hidden="false" customHeight="true" outlineLevel="0" collapsed="false">
      <c r="A56" s="2" t="n">
        <v>3</v>
      </c>
      <c r="B56" s="2" t="n">
        <v>0.00670212766</v>
      </c>
      <c r="C56" s="2" t="n">
        <v>-0.04796226415</v>
      </c>
      <c r="D56" s="27" t="n">
        <f aca="false">+AVERAGE(B56:C56)</f>
        <v>-0.020630068245</v>
      </c>
      <c r="E56" s="28" t="n">
        <f aca="false">+ABS(B56-C56)</f>
        <v>0.05466439181</v>
      </c>
    </row>
    <row r="57" customFormat="false" ht="24" hidden="false" customHeight="true" outlineLevel="0" collapsed="false">
      <c r="A57" s="2" t="n">
        <v>111</v>
      </c>
      <c r="B57" s="2" t="n">
        <v>0.004787234043</v>
      </c>
      <c r="C57" s="2" t="n">
        <v>-0.0488490566</v>
      </c>
      <c r="D57" s="2" t="n">
        <f aca="false">+AVERAGE(B57:C57)</f>
        <v>-0.0220309112785</v>
      </c>
      <c r="E57" s="28" t="n">
        <f aca="false">+ABS(B57-C57)</f>
        <v>0.053636290643</v>
      </c>
    </row>
    <row r="58" customFormat="false" ht="24" hidden="false" customHeight="true" outlineLevel="0" collapsed="false">
      <c r="A58" s="2" t="n">
        <v>201</v>
      </c>
      <c r="B58" s="2" t="n">
        <v>-0.04928301887</v>
      </c>
      <c r="C58" s="2" t="n">
        <v>-0.04745283019</v>
      </c>
      <c r="D58" s="2" t="n">
        <f aca="false">+AVERAGE(B58:C58)</f>
        <v>-0.04836792453</v>
      </c>
      <c r="E58" s="28" t="n">
        <f aca="false">+ABS(B58-C58)</f>
        <v>0.00183018868</v>
      </c>
    </row>
    <row r="59" customFormat="false" ht="24" hidden="false" customHeight="true" outlineLevel="0" collapsed="false">
      <c r="A59" s="2" t="n">
        <v>330</v>
      </c>
      <c r="B59" s="2" t="n">
        <v>0.004255319149</v>
      </c>
      <c r="C59" s="2" t="n">
        <v>-0.04867924528</v>
      </c>
      <c r="D59" s="2" t="n">
        <f aca="false">+AVERAGE(B59:C59)</f>
        <v>-0.0222119630655</v>
      </c>
      <c r="E59" s="28" t="n">
        <f aca="false">+ABS(B59-C59)</f>
        <v>0.052934564429</v>
      </c>
    </row>
    <row r="60" customFormat="false" ht="24" hidden="false" customHeight="true" outlineLevel="0" collapsed="false">
      <c r="A60" s="2" t="n">
        <v>405</v>
      </c>
      <c r="B60" s="2" t="n">
        <v>0.006021276596</v>
      </c>
      <c r="C60" s="2" t="n">
        <v>-0.05016981132</v>
      </c>
      <c r="D60" s="2" t="n">
        <f aca="false">+AVERAGE(B60:C60)</f>
        <v>-0.022074267362</v>
      </c>
      <c r="E60" s="28" t="n">
        <f aca="false">+ABS(B60-C60)</f>
        <v>0.056191087916</v>
      </c>
    </row>
    <row r="61" customFormat="false" ht="24" hidden="false" customHeight="true" outlineLevel="0" collapsed="false">
      <c r="A61" s="2" t="n">
        <v>481</v>
      </c>
      <c r="B61" s="2" t="n">
        <v>-0.05226415094</v>
      </c>
      <c r="C61" s="2" t="n">
        <v>0.00585106383</v>
      </c>
      <c r="D61" s="2" t="n">
        <f aca="false">+AVERAGE(B61:C61)</f>
        <v>-0.023206543555</v>
      </c>
      <c r="E61" s="28" t="n">
        <f aca="false">+ABS(B61-C61)</f>
        <v>0.05811521477</v>
      </c>
    </row>
    <row r="62" customFormat="false" ht="24" hidden="false" customHeight="true" outlineLevel="0" collapsed="false">
      <c r="A62" s="2" t="n">
        <v>599</v>
      </c>
      <c r="B62" s="2" t="n">
        <v>0.003212765957</v>
      </c>
      <c r="C62" s="2" t="n">
        <v>-0.05164150943</v>
      </c>
      <c r="D62" s="27" t="n">
        <f aca="false">+AVERAGE(B62:C62)</f>
        <v>-0.0242143717365</v>
      </c>
      <c r="E62" s="28" t="n">
        <f aca="false">+ABS(B62-C62)</f>
        <v>0.054854275387</v>
      </c>
    </row>
    <row r="63" customFormat="false" ht="24" hidden="false" customHeight="true" outlineLevel="0" collapsed="false">
      <c r="A63" s="2" t="n">
        <v>704</v>
      </c>
      <c r="B63" s="2" t="n">
        <v>-0.05075471698</v>
      </c>
      <c r="C63" s="2" t="n">
        <v>0.004595744681</v>
      </c>
      <c r="D63" s="27" t="n">
        <f aca="false">+AVERAGE(B63:C63)</f>
        <v>-0.0230794861495</v>
      </c>
      <c r="E63" s="28" t="n">
        <f aca="false">+ABS(B63-C63)</f>
        <v>0.055350461661</v>
      </c>
    </row>
    <row r="64" customFormat="false" ht="24" hidden="false" customHeight="true" outlineLevel="0" collapsed="false">
      <c r="A64" s="2" t="n">
        <v>766</v>
      </c>
      <c r="B64" s="2" t="n">
        <v>-0.05196226415</v>
      </c>
      <c r="C64" s="2" t="n">
        <v>0.003255319149</v>
      </c>
      <c r="D64" s="27" t="n">
        <f aca="false">+AVERAGE(B64:C64)</f>
        <v>-0.0243534725005</v>
      </c>
      <c r="E64" s="28" t="n">
        <f aca="false">+ABS(B64-C64)</f>
        <v>0.055217583299</v>
      </c>
    </row>
    <row r="65" customFormat="false" ht="24" hidden="false" customHeight="true" outlineLevel="0" collapsed="false">
      <c r="A65" s="2" t="n">
        <v>858</v>
      </c>
      <c r="B65" s="2" t="n">
        <v>-0.04888679245</v>
      </c>
      <c r="C65" s="2" t="n">
        <v>0.003531914894</v>
      </c>
      <c r="D65" s="27" t="n">
        <f aca="false">+AVERAGE(B65:C65)</f>
        <v>-0.022677438778</v>
      </c>
      <c r="E65" s="28" t="n">
        <f aca="false">+ABS(B65-C65)</f>
        <v>0.052418707344</v>
      </c>
    </row>
    <row r="68" customFormat="false" ht="14.25" hidden="false" customHeight="false" outlineLevel="0" collapsed="false">
      <c r="A68" s="0" t="s">
        <v>16</v>
      </c>
      <c r="F68" s="29" t="n">
        <f aca="false">+AVERAGE(B56:C65)</f>
        <v>-0.02528464472005</v>
      </c>
      <c r="G68" s="25"/>
    </row>
    <row r="69" customFormat="false" ht="14.25" hidden="false" customHeight="false" outlineLevel="0" collapsed="false">
      <c r="A69" s="0" t="s">
        <v>17</v>
      </c>
      <c r="F69" s="25" t="n">
        <f aca="false">+STDEV(D56:D65)</f>
        <v>0.00818419128663422</v>
      </c>
    </row>
    <row r="70" customFormat="false" ht="14.25" hidden="false" customHeight="false" outlineLevel="0" collapsed="false">
      <c r="A70" s="0" t="s">
        <v>18</v>
      </c>
      <c r="F70" s="30" t="n">
        <f aca="false">+SQRT(SUMSQ(E56:E65)/(2*COUNT(E56:E65)))</f>
        <v>0.0367931034135838</v>
      </c>
    </row>
    <row r="71" customFormat="false" ht="17.35" hidden="false" customHeight="false" outlineLevel="0" collapsed="false">
      <c r="A71" s="0" t="s">
        <v>19</v>
      </c>
      <c r="F71" s="31" t="n">
        <f aca="false">SQRT(ABS(F69^2-(F70^2/2)))</f>
        <v>0.0246958547611763</v>
      </c>
    </row>
    <row r="72" customFormat="false" ht="14.25" hidden="false" customHeight="false" outlineLevel="0" collapsed="false">
      <c r="A72" s="32" t="s">
        <v>20</v>
      </c>
      <c r="F72" s="33" t="n">
        <f aca="false">C129</f>
        <v>0.0411843566835545</v>
      </c>
    </row>
    <row r="73" customFormat="false" ht="17.35" hidden="false" customHeight="false" outlineLevel="0" collapsed="false">
      <c r="A73" s="0" t="s">
        <v>33</v>
      </c>
      <c r="F73" s="34"/>
    </row>
    <row r="74" customFormat="false" ht="14.25" hidden="false" customHeight="false" outlineLevel="0" collapsed="false">
      <c r="A74" s="35"/>
    </row>
    <row r="78" customFormat="false" ht="14.25" hidden="false" customHeight="false" outlineLevel="0" collapsed="false">
      <c r="A78" s="0" t="s">
        <v>34</v>
      </c>
    </row>
    <row r="80" customFormat="false" ht="14.25" hidden="false" customHeight="true" outlineLevel="0" collapsed="false">
      <c r="A80" s="36" t="s">
        <v>35</v>
      </c>
      <c r="B80" s="36"/>
      <c r="C80" s="36"/>
      <c r="D80" s="36"/>
      <c r="E80" s="36"/>
      <c r="F80" s="36"/>
      <c r="G80" s="36"/>
      <c r="H80" s="36"/>
      <c r="I80" s="36"/>
      <c r="J80" s="36"/>
    </row>
    <row r="81" customFormat="false" ht="14.25" hidden="false" customHeight="false" outlineLevel="0" collapsed="false">
      <c r="A81" s="36"/>
      <c r="B81" s="36"/>
      <c r="C81" s="36"/>
      <c r="D81" s="36"/>
      <c r="E81" s="36"/>
      <c r="F81" s="36"/>
      <c r="G81" s="36"/>
      <c r="H81" s="36"/>
      <c r="I81" s="36"/>
      <c r="J81" s="36"/>
    </row>
    <row r="82" customFormat="false" ht="14.25" hidden="false" customHeight="false" outlineLevel="0" collapsed="false">
      <c r="A82" s="36"/>
      <c r="B82" s="36"/>
      <c r="C82" s="36"/>
      <c r="D82" s="36"/>
      <c r="E82" s="36"/>
      <c r="F82" s="36"/>
      <c r="G82" s="36"/>
      <c r="H82" s="36"/>
      <c r="I82" s="36"/>
      <c r="J82" s="36"/>
    </row>
    <row r="84" customFormat="false" ht="14.25" hidden="false" customHeight="false" outlineLevel="0" collapsed="false">
      <c r="A84" s="0" t="s">
        <v>36</v>
      </c>
    </row>
    <row r="85" customFormat="false" ht="14.25" hidden="false" customHeight="false" outlineLevel="0" collapsed="false">
      <c r="I85" s="0" t="s">
        <v>22</v>
      </c>
    </row>
    <row r="86" customFormat="false" ht="14.25" hidden="false" customHeight="false" outlineLevel="0" collapsed="false">
      <c r="A86" s="37"/>
      <c r="I86" s="0" t="s">
        <v>24</v>
      </c>
    </row>
    <row r="87" customFormat="false" ht="30" hidden="false" customHeight="true" outlineLevel="0" collapsed="false">
      <c r="A87" s="1" t="s">
        <v>11</v>
      </c>
      <c r="B87" s="1" t="s">
        <v>27</v>
      </c>
      <c r="C87" s="1" t="s">
        <v>28</v>
      </c>
      <c r="D87" s="1" t="s">
        <v>14</v>
      </c>
      <c r="E87" s="1" t="s">
        <v>15</v>
      </c>
      <c r="I87" s="0" t="s">
        <v>25</v>
      </c>
    </row>
    <row r="88" customFormat="false" ht="14.25" hidden="false" customHeight="false" outlineLevel="0" collapsed="false">
      <c r="B88" s="38" t="n">
        <v>-0.04808</v>
      </c>
      <c r="C88" s="0" t="n">
        <v>-0.04942</v>
      </c>
      <c r="D88" s="2" t="n">
        <f aca="false">+AVERAGE(B88:C88)</f>
        <v>-0.04875</v>
      </c>
      <c r="E88" s="28" t="n">
        <f aca="false">+ABS(B88-C88)</f>
        <v>0.00134</v>
      </c>
      <c r="I88" s="0" t="s">
        <v>26</v>
      </c>
    </row>
    <row r="89" customFormat="false" ht="14.25" hidden="false" customHeight="false" outlineLevel="0" collapsed="false">
      <c r="B89" s="0" t="n">
        <v>0.00515</v>
      </c>
      <c r="C89" s="0" t="n">
        <v>0.00332</v>
      </c>
      <c r="D89" s="28" t="n">
        <f aca="false">+AVERAGE(B89:C89)</f>
        <v>0.004235</v>
      </c>
      <c r="E89" s="28" t="n">
        <f aca="false">+ABS(B89-C89)</f>
        <v>0.00183</v>
      </c>
      <c r="I89" s="0" t="s">
        <v>29</v>
      </c>
    </row>
    <row r="92" customFormat="false" ht="14.25" hidden="false" customHeight="false" outlineLevel="0" collapsed="false">
      <c r="A92" s="0" t="s">
        <v>16</v>
      </c>
      <c r="F92" s="23" t="n">
        <f aca="false">+AVERAGE(B88:C89)</f>
        <v>-0.0222575</v>
      </c>
    </row>
    <row r="93" customFormat="false" ht="14.25" hidden="false" customHeight="false" outlineLevel="0" collapsed="false">
      <c r="A93" s="0" t="s">
        <v>30</v>
      </c>
      <c r="F93" s="25" t="n">
        <f aca="false">+F92-F68</f>
        <v>0.00302714472005</v>
      </c>
    </row>
    <row r="94" customFormat="false" ht="14.25" hidden="false" customHeight="false" outlineLevel="0" collapsed="false">
      <c r="A94" s="0" t="s">
        <v>31</v>
      </c>
      <c r="F94" s="25" t="n">
        <f aca="false">+F73</f>
        <v>0</v>
      </c>
    </row>
    <row r="95" customFormat="false" ht="14.25" hidden="false" customHeight="false" outlineLevel="0" collapsed="false">
      <c r="A95" s="0" t="s">
        <v>37</v>
      </c>
      <c r="F95" s="25"/>
    </row>
    <row r="100" customFormat="false" ht="17.35" hidden="false" customHeight="true" outlineLevel="0" collapsed="false">
      <c r="A100" s="39"/>
      <c r="B100" s="40" t="s">
        <v>38</v>
      </c>
      <c r="C100" s="40"/>
      <c r="D100" s="40"/>
      <c r="E100" s="40"/>
    </row>
    <row r="101" customFormat="false" ht="14.25" hidden="false" customHeight="false" outlineLevel="0" collapsed="false">
      <c r="A101" s="14"/>
      <c r="B101" s="40"/>
      <c r="C101" s="40"/>
      <c r="D101" s="40"/>
      <c r="E101" s="40"/>
    </row>
    <row r="102" customFormat="false" ht="14.25" hidden="false" customHeight="false" outlineLevel="0" collapsed="false">
      <c r="A102" s="14"/>
      <c r="B102" s="40"/>
      <c r="C102" s="40"/>
      <c r="D102" s="40"/>
      <c r="E102" s="40"/>
    </row>
    <row r="103" customFormat="false" ht="14.25" hidden="false" customHeight="false" outlineLevel="0" collapsed="false">
      <c r="A103" s="14"/>
      <c r="B103" s="40"/>
      <c r="C103" s="40"/>
      <c r="D103" s="40"/>
      <c r="E103" s="40"/>
    </row>
    <row r="104" customFormat="false" ht="14.25" hidden="false" customHeight="false" outlineLevel="0" collapsed="false">
      <c r="A104" s="14"/>
      <c r="B104" s="40"/>
      <c r="C104" s="40"/>
      <c r="D104" s="40"/>
      <c r="E104" s="40"/>
    </row>
    <row r="105" customFormat="false" ht="14.25" hidden="false" customHeight="false" outlineLevel="0" collapsed="false">
      <c r="A105" s="14"/>
      <c r="B105" s="40"/>
      <c r="C105" s="40"/>
      <c r="D105" s="40"/>
      <c r="E105" s="40"/>
    </row>
    <row r="106" customFormat="false" ht="17.35" hidden="false" customHeight="false" outlineLevel="0" collapsed="false">
      <c r="A106" s="14"/>
      <c r="B106" s="41"/>
      <c r="C106" s="41"/>
      <c r="D106" s="41"/>
      <c r="E106" s="41"/>
    </row>
    <row r="107" customFormat="false" ht="17.35" hidden="false" customHeight="false" outlineLevel="0" collapsed="false">
      <c r="A107" s="14"/>
      <c r="B107" s="42" t="s">
        <v>39</v>
      </c>
      <c r="C107" s="41"/>
      <c r="D107" s="41" t="s">
        <v>40</v>
      </c>
      <c r="E107" s="41"/>
    </row>
    <row r="108" customFormat="false" ht="14.25" hidden="false" customHeight="false" outlineLevel="0" collapsed="false">
      <c r="A108" s="14"/>
      <c r="B108" s="43"/>
      <c r="C108" s="14"/>
      <c r="D108" s="14"/>
      <c r="E108" s="14"/>
      <c r="G108" s="0" t="s">
        <v>41</v>
      </c>
    </row>
    <row r="109" customFormat="false" ht="52.2" hidden="false" customHeight="false" outlineLevel="0" collapsed="false">
      <c r="A109" s="14"/>
      <c r="B109" s="44" t="s">
        <v>42</v>
      </c>
      <c r="C109" s="45" t="s">
        <v>43</v>
      </c>
      <c r="D109" s="14"/>
      <c r="E109" s="14"/>
      <c r="G109" s="0" t="s">
        <v>44</v>
      </c>
    </row>
    <row r="110" customFormat="false" ht="14.25" hidden="false" customHeight="false" outlineLevel="0" collapsed="false">
      <c r="A110" s="46"/>
      <c r="B110" s="47" t="n">
        <f aca="false">B56</f>
        <v>0.00670212766</v>
      </c>
      <c r="C110" s="47" t="n">
        <f aca="false">+ABS(B110-$B$127)</f>
        <v>0.0295391409065</v>
      </c>
      <c r="D110" s="14" t="n">
        <f aca="false">C56</f>
        <v>-0.04796226415</v>
      </c>
      <c r="E110" s="14"/>
      <c r="F110" s="0" t="n">
        <f aca="false">ABS(D110-$B$127)</f>
        <v>0.0251252509035</v>
      </c>
      <c r="G110" s="0" t="s">
        <v>45</v>
      </c>
    </row>
    <row r="111" customFormat="false" ht="14.25" hidden="false" customHeight="false" outlineLevel="0" collapsed="false">
      <c r="A111" s="46"/>
      <c r="B111" s="47" t="n">
        <f aca="false">B57</f>
        <v>0.004787234043</v>
      </c>
      <c r="C111" s="47" t="n">
        <f aca="false">+ABS(B111-$B$127)</f>
        <v>0.0276242472895</v>
      </c>
      <c r="D111" s="14" t="n">
        <f aca="false">C57</f>
        <v>-0.0488490566</v>
      </c>
      <c r="E111" s="14"/>
      <c r="F111" s="0" t="n">
        <f aca="false">ABS(D111-$B$127)</f>
        <v>0.0260120433535</v>
      </c>
      <c r="G111" s="0" t="s">
        <v>46</v>
      </c>
    </row>
    <row r="112" customFormat="false" ht="14.25" hidden="false" customHeight="false" outlineLevel="0" collapsed="false">
      <c r="A112" s="46"/>
      <c r="B112" s="47" t="n">
        <f aca="false">B58</f>
        <v>-0.04928301887</v>
      </c>
      <c r="C112" s="47" t="n">
        <f aca="false">+ABS(B112-$B$127)</f>
        <v>0.0264460056235</v>
      </c>
      <c r="D112" s="14" t="n">
        <f aca="false">C58</f>
        <v>-0.04745283019</v>
      </c>
      <c r="E112" s="14"/>
      <c r="F112" s="0" t="n">
        <f aca="false">ABS(D112-$B$127)</f>
        <v>0.0246158169435</v>
      </c>
      <c r="G112" s="0" t="s">
        <v>47</v>
      </c>
    </row>
    <row r="113" customFormat="false" ht="14.25" hidden="false" customHeight="false" outlineLevel="0" collapsed="false">
      <c r="A113" s="46"/>
      <c r="B113" s="47" t="n">
        <f aca="false">B59</f>
        <v>0.004255319149</v>
      </c>
      <c r="C113" s="47" t="n">
        <f aca="false">+ABS(B113-$B$127)</f>
        <v>0.0270923323955</v>
      </c>
      <c r="D113" s="14" t="n">
        <f aca="false">C59</f>
        <v>-0.04867924528</v>
      </c>
      <c r="E113" s="14"/>
      <c r="F113" s="0" t="n">
        <f aca="false">ABS(D113-$B$127)</f>
        <v>0.0258422320335</v>
      </c>
      <c r="G113" s="0" t="s">
        <v>48</v>
      </c>
    </row>
    <row r="114" customFormat="false" ht="14.25" hidden="false" customHeight="false" outlineLevel="0" collapsed="false">
      <c r="A114" s="46"/>
      <c r="B114" s="47" t="n">
        <f aca="false">B60</f>
        <v>0.006021276596</v>
      </c>
      <c r="C114" s="47" t="n">
        <f aca="false">+ABS(B114-$B$127)</f>
        <v>0.0288582898425</v>
      </c>
      <c r="D114" s="14" t="n">
        <f aca="false">C60</f>
        <v>-0.05016981132</v>
      </c>
      <c r="E114" s="14"/>
      <c r="F114" s="0" t="n">
        <f aca="false">ABS(D114-$B$127)</f>
        <v>0.0273327980735</v>
      </c>
      <c r="G114" s="0" t="s">
        <v>49</v>
      </c>
    </row>
    <row r="115" customFormat="false" ht="14.25" hidden="false" customHeight="false" outlineLevel="0" collapsed="false">
      <c r="A115" s="46"/>
      <c r="B115" s="47" t="n">
        <f aca="false">B61</f>
        <v>-0.05226415094</v>
      </c>
      <c r="C115" s="47" t="n">
        <f aca="false">+ABS(B115-$B$127)</f>
        <v>0.0294271376935</v>
      </c>
      <c r="D115" s="14" t="n">
        <f aca="false">C61</f>
        <v>0.00585106383</v>
      </c>
      <c r="E115" s="14"/>
      <c r="F115" s="0" t="n">
        <f aca="false">ABS(D115-$B$127)</f>
        <v>0.0286880770765</v>
      </c>
      <c r="G115" s="0" t="s">
        <v>50</v>
      </c>
    </row>
    <row r="116" customFormat="false" ht="14.25" hidden="false" customHeight="false" outlineLevel="0" collapsed="false">
      <c r="A116" s="46"/>
      <c r="B116" s="47" t="n">
        <f aca="false">B62</f>
        <v>0.003212765957</v>
      </c>
      <c r="C116" s="47" t="n">
        <f aca="false">+ABS(B116-$B$127)</f>
        <v>0.0260497792035</v>
      </c>
      <c r="D116" s="14" t="n">
        <f aca="false">C62</f>
        <v>-0.05164150943</v>
      </c>
      <c r="E116" s="14"/>
      <c r="F116" s="0" t="n">
        <f aca="false">ABS(D116-$B$127)</f>
        <v>0.0288044961835</v>
      </c>
      <c r="G116" s="0" t="s">
        <v>51</v>
      </c>
    </row>
    <row r="117" customFormat="false" ht="14.25" hidden="false" customHeight="false" outlineLevel="0" collapsed="false">
      <c r="A117" s="46"/>
      <c r="B117" s="47" t="n">
        <f aca="false">B63</f>
        <v>-0.05075471698</v>
      </c>
      <c r="C117" s="47" t="n">
        <f aca="false">+ABS(B117-$B$127)</f>
        <v>0.0279177037335</v>
      </c>
      <c r="D117" s="14" t="n">
        <f aca="false">C63</f>
        <v>0.004595744681</v>
      </c>
      <c r="E117" s="14"/>
      <c r="F117" s="0" t="n">
        <f aca="false">ABS(D117-$B$127)</f>
        <v>0.0274327579275</v>
      </c>
    </row>
    <row r="118" customFormat="false" ht="14.25" hidden="false" customHeight="false" outlineLevel="0" collapsed="false">
      <c r="A118" s="46"/>
      <c r="B118" s="47" t="n">
        <f aca="false">B64</f>
        <v>-0.05196226415</v>
      </c>
      <c r="C118" s="47" t="n">
        <f aca="false">+ABS(B118-$B$127)</f>
        <v>0.0291252509035</v>
      </c>
      <c r="D118" s="14" t="n">
        <f aca="false">C64</f>
        <v>0.003255319149</v>
      </c>
      <c r="E118" s="14"/>
      <c r="F118" s="0" t="n">
        <f aca="false">ABS(D118-$B$127)</f>
        <v>0.0260923323955</v>
      </c>
    </row>
    <row r="119" customFormat="false" ht="14.25" hidden="false" customHeight="false" outlineLevel="0" collapsed="false">
      <c r="A119" s="46"/>
      <c r="B119" s="47" t="n">
        <f aca="false">B65</f>
        <v>-0.04888679245</v>
      </c>
      <c r="C119" s="47" t="n">
        <f aca="false">+ABS(B119-$B$127)</f>
        <v>0.0260497792035</v>
      </c>
      <c r="D119" s="14" t="n">
        <f aca="false">C65</f>
        <v>0.003531914894</v>
      </c>
      <c r="E119" s="14"/>
      <c r="F119" s="0" t="n">
        <f aca="false">ABS(D119-$B$127)</f>
        <v>0.0263689281405</v>
      </c>
    </row>
    <row r="120" customFormat="false" ht="14.25" hidden="false" customHeight="false" outlineLevel="0" collapsed="false">
      <c r="A120" s="46"/>
      <c r="B120" s="47"/>
      <c r="C120" s="47"/>
      <c r="D120" s="14" t="n">
        <f aca="false">C66</f>
        <v>0</v>
      </c>
      <c r="E120" s="14"/>
    </row>
    <row r="121" customFormat="false" ht="14.25" hidden="false" customHeight="false" outlineLevel="0" collapsed="false">
      <c r="A121" s="46"/>
      <c r="B121" s="47"/>
      <c r="C121" s="47"/>
      <c r="D121" s="14"/>
      <c r="E121" s="14"/>
    </row>
    <row r="122" customFormat="false" ht="14.25" hidden="false" customHeight="false" outlineLevel="0" collapsed="false">
      <c r="A122" s="46"/>
      <c r="B122" s="47"/>
      <c r="C122" s="47"/>
      <c r="D122" s="14"/>
      <c r="E122" s="14"/>
    </row>
    <row r="123" customFormat="false" ht="14.25" hidden="false" customHeight="false" outlineLevel="0" collapsed="false">
      <c r="A123" s="46"/>
      <c r="B123" s="47"/>
      <c r="C123" s="47"/>
      <c r="D123" s="14"/>
      <c r="E123" s="14"/>
    </row>
    <row r="124" customFormat="false" ht="14.25" hidden="false" customHeight="false" outlineLevel="0" collapsed="false">
      <c r="A124" s="46"/>
      <c r="B124" s="47"/>
      <c r="C124" s="47"/>
      <c r="D124" s="14"/>
      <c r="E124" s="14"/>
    </row>
    <row r="125" customFormat="false" ht="17.35" hidden="false" customHeight="false" outlineLevel="0" collapsed="false">
      <c r="A125" s="14"/>
      <c r="B125" s="14"/>
      <c r="C125" s="41"/>
      <c r="D125" s="14"/>
      <c r="E125" s="14"/>
      <c r="G125" s="0" t="s">
        <v>52</v>
      </c>
    </row>
    <row r="126" customFormat="false" ht="17.35" hidden="false" customHeight="false" outlineLevel="0" collapsed="false">
      <c r="A126" s="14"/>
      <c r="B126" s="14"/>
      <c r="C126" s="41"/>
      <c r="D126" s="14"/>
      <c r="E126" s="14"/>
      <c r="G126" s="0" t="s">
        <v>53</v>
      </c>
    </row>
    <row r="127" customFormat="false" ht="17.35" hidden="false" customHeight="false" outlineLevel="0" collapsed="false">
      <c r="A127" s="48" t="s">
        <v>54</v>
      </c>
      <c r="B127" s="8" t="n">
        <f aca="false">+MEDIAN(B110:B119)</f>
        <v>-0.0228370132465</v>
      </c>
      <c r="C127" s="41"/>
      <c r="D127" s="14"/>
      <c r="E127" s="14"/>
      <c r="G127" s="0" t="s">
        <v>55</v>
      </c>
    </row>
    <row r="128" customFormat="false" ht="17.35" hidden="false" customHeight="false" outlineLevel="0" collapsed="false">
      <c r="A128" s="49" t="s">
        <v>56</v>
      </c>
      <c r="B128" s="49"/>
      <c r="C128" s="8" t="n">
        <f aca="false">+MEDIAN(C110:C119)</f>
        <v>0.0277709755115</v>
      </c>
      <c r="D128" s="41" t="n">
        <f aca="false">=+MEDIAN(F110:F119)</f>
        <v>0.026230630268</v>
      </c>
      <c r="E128" s="41"/>
    </row>
    <row r="129" customFormat="false" ht="33.7" hidden="false" customHeight="false" outlineLevel="0" collapsed="false">
      <c r="A129" s="49" t="s">
        <v>57</v>
      </c>
      <c r="B129" s="49"/>
      <c r="C129" s="8" t="n">
        <f aca="false">1.483*C128</f>
        <v>0.0411843566835545</v>
      </c>
      <c r="D129" s="8" t="n">
        <f aca="false">1.483*D128</f>
        <v>0.038900024687444</v>
      </c>
      <c r="E129" s="41" t="s">
        <v>58</v>
      </c>
    </row>
    <row r="130" customFormat="false" ht="17.35" hidden="false" customHeight="false" outlineLevel="0" collapsed="false">
      <c r="A130" s="14"/>
      <c r="B130" s="14"/>
      <c r="C130" s="41"/>
      <c r="D130" s="41"/>
      <c r="E130" s="41"/>
    </row>
    <row r="131" customFormat="false" ht="17.35" hidden="false" customHeight="false" outlineLevel="0" collapsed="false">
      <c r="A131" s="14"/>
      <c r="B131" s="14"/>
      <c r="C131" s="41"/>
      <c r="D131" s="41"/>
      <c r="E131" s="41"/>
    </row>
    <row r="132" customFormat="false" ht="17.35" hidden="false" customHeight="false" outlineLevel="0" collapsed="false">
      <c r="A132" s="50" t="s">
        <v>59</v>
      </c>
      <c r="B132" s="51" t="n">
        <f aca="false">_xlfn.QUARTILE.INC(B110:B119,1)</f>
        <v>-0.0503867924525</v>
      </c>
      <c r="C132" s="14" t="s">
        <v>60</v>
      </c>
      <c r="D132" s="41"/>
      <c r="E132" s="41"/>
    </row>
    <row r="133" customFormat="false" ht="17.35" hidden="false" customHeight="false" outlineLevel="0" collapsed="false">
      <c r="A133" s="50" t="s">
        <v>61</v>
      </c>
      <c r="B133" s="51" t="n">
        <f aca="false">_xlfn.QUARTILE.INC(B110:B119,3)</f>
        <v>0.0046542553195</v>
      </c>
      <c r="C133" s="14" t="s">
        <v>62</v>
      </c>
      <c r="D133" s="41"/>
      <c r="E133" s="52"/>
    </row>
    <row r="134" customFormat="false" ht="17.35" hidden="false" customHeight="false" outlineLevel="0" collapsed="false">
      <c r="A134" s="14"/>
      <c r="B134" s="53"/>
      <c r="C134" s="14"/>
      <c r="D134" s="41"/>
      <c r="E134" s="52"/>
    </row>
    <row r="135" customFormat="false" ht="14.25" hidden="false" customHeight="false" outlineLevel="0" collapsed="false">
      <c r="A135" s="54" t="s">
        <v>63</v>
      </c>
      <c r="B135" s="55" t="n">
        <f aca="false">B133-B132</f>
        <v>0.055041047772</v>
      </c>
      <c r="C135" s="14"/>
    </row>
    <row r="136" customFormat="false" ht="17.35" hidden="false" customHeight="false" outlineLevel="0" collapsed="false">
      <c r="A136" s="56" t="s">
        <v>64</v>
      </c>
      <c r="B136" s="57" t="n">
        <f aca="false">B135*0.7413</f>
        <v>0.0408019287133836</v>
      </c>
      <c r="C136" s="14"/>
    </row>
  </sheetData>
  <mergeCells count="15">
    <mergeCell ref="A20:E20"/>
    <mergeCell ref="A21:E21"/>
    <mergeCell ref="A22:E22"/>
    <mergeCell ref="A23:E23"/>
    <mergeCell ref="A24:E24"/>
    <mergeCell ref="A26:F26"/>
    <mergeCell ref="A30:F30"/>
    <mergeCell ref="A32:J34"/>
    <mergeCell ref="A44:D44"/>
    <mergeCell ref="A45:D45"/>
    <mergeCell ref="A46:D46"/>
    <mergeCell ref="A80:J82"/>
    <mergeCell ref="B100:E105"/>
    <mergeCell ref="A128:B128"/>
    <mergeCell ref="A129:B1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2025-09-05T22:06:08Z</dcterms:created>
  <dc:creator>cesar yate</dc:creator>
  <dc:description/>
  <dc:language>en-US</dc:language>
  <cp:lastModifiedBy/>
  <dcterms:modified xsi:type="dcterms:W3CDTF">2026-02-05T16:17:39Z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