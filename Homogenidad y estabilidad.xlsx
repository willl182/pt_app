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0212d89a6696fd/S^0M/S^0M/Servicios/Calaire/"/>
    </mc:Choice>
  </mc:AlternateContent>
  <xr:revisionPtr revIDLastSave="152" documentId="8_{88F02B01-5A04-420A-BFC5-E817CD216210}" xr6:coauthVersionLast="47" xr6:coauthVersionMax="47" xr10:uidLastSave="{2A490505-550B-490C-BB27-FCE8B1251DD8}"/>
  <bookViews>
    <workbookView xWindow="-96" yWindow="-96" windowWidth="23232" windowHeight="13872" xr2:uid="{06F84B35-F909-4606-B251-175E69697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  <c r="B83" i="1"/>
  <c r="C67" i="1"/>
  <c r="B78" i="1"/>
  <c r="C71" i="1" s="1"/>
  <c r="E44" i="1"/>
  <c r="C65" i="1" l="1"/>
  <c r="C66" i="1"/>
  <c r="C64" i="1"/>
  <c r="C70" i="1"/>
  <c r="C69" i="1"/>
  <c r="C68" i="1"/>
  <c r="C72" i="1"/>
  <c r="C63" i="1"/>
  <c r="B86" i="1"/>
  <c r="B87" i="1" s="1"/>
  <c r="C79" i="1" l="1"/>
  <c r="C80" i="1" s="1"/>
  <c r="F24" i="1" l="1"/>
  <c r="E46" i="1" s="1"/>
  <c r="E15" i="1"/>
  <c r="E14" i="1"/>
  <c r="E13" i="1"/>
  <c r="E12" i="1"/>
  <c r="E11" i="1"/>
  <c r="E10" i="1"/>
  <c r="E9" i="1"/>
  <c r="E8" i="1"/>
  <c r="E7" i="1"/>
  <c r="E6" i="1"/>
  <c r="D15" i="1"/>
  <c r="D14" i="1"/>
  <c r="D13" i="1"/>
  <c r="D12" i="1"/>
  <c r="D11" i="1"/>
  <c r="D10" i="1"/>
  <c r="D9" i="1"/>
  <c r="D8" i="1"/>
  <c r="D7" i="1"/>
  <c r="D6" i="1"/>
  <c r="F20" i="1"/>
  <c r="E45" i="1" s="1"/>
  <c r="F21" i="1" l="1"/>
  <c r="F22" i="1"/>
  <c r="F23" i="1" l="1"/>
</calcChain>
</file>

<file path=xl/sharedStrings.xml><?xml version="1.0" encoding="utf-8"?>
<sst xmlns="http://schemas.openxmlformats.org/spreadsheetml/2006/main" count="76" uniqueCount="70">
  <si>
    <t>Verificacion de homogenidad</t>
  </si>
  <si>
    <t>Número de la
muestra
t</t>
  </si>
  <si>
    <t>Porción de
ensayo
1</t>
  </si>
  <si>
    <t>Porción de
ensayo
2</t>
  </si>
  <si>
    <t>Promedio de la
muestra
xt</t>
  </si>
  <si>
    <t>Rango de porción
entre ensayos
wt</t>
  </si>
  <si>
    <t>Promedio general</t>
  </si>
  <si>
    <t>Desviacion estandar de los promedios de las muestras (sx)</t>
  </si>
  <si>
    <t>Desviacion estandar intra - muestras (sw)</t>
  </si>
  <si>
    <t>Desviacion estandar entre las muestras (Ss)</t>
  </si>
  <si>
    <t>VERIFICACIÓN DE LA ESTABILIDAD</t>
  </si>
  <si>
    <t>x,.,− y.,. ≤0,3σ</t>
  </si>
  <si>
    <t xml:space="preserve">Replica 1
</t>
  </si>
  <si>
    <t>Replica 2</t>
  </si>
  <si>
    <t>Diferencia de media de homogeneidad</t>
  </si>
  <si>
    <t>Se comprueba el valor:</t>
  </si>
  <si>
    <t>Registrar los resultados en las columnas B y D</t>
  </si>
  <si>
    <t>ᵟpt</t>
  </si>
  <si>
    <t xml:space="preserve">
Objetivo: Determinar de la serie de datos el estadistico de dispersión MADe
</t>
  </si>
  <si>
    <t>DATOS 1</t>
  </si>
  <si>
    <t xml:space="preserve">Datos </t>
  </si>
  <si>
    <t>Desviaciones absolutas</t>
  </si>
  <si>
    <t>Calculo de la mediana</t>
  </si>
  <si>
    <t>Mediana de las diferecias</t>
  </si>
  <si>
    <t>Cálculo de MADe</t>
  </si>
  <si>
    <t>sigma pt</t>
  </si>
  <si>
    <t>Q1</t>
  </si>
  <si>
    <t>25% datos</t>
  </si>
  <si>
    <t>Q3</t>
  </si>
  <si>
    <t>75 % datos</t>
  </si>
  <si>
    <t>RIC</t>
  </si>
  <si>
    <t>nIRQ</t>
  </si>
  <si>
    <t>pollutant,run,level,replicate,sample_id,value</t>
  </si>
  <si>
    <t>co,corrida_1,0-��mol/mol,1,2,0.004787234043</t>
  </si>
  <si>
    <t>co,corrida_1,0-��mol/mol,1,3,-0.04928301887</t>
  </si>
  <si>
    <t>co,corrida_1,0-��mol/mol,1,4,0.004255319149</t>
  </si>
  <si>
    <t>co,corrida_1,0-��mol/mol,1,5,0.006021276596</t>
  </si>
  <si>
    <t>co,corrida_1,0-��mol/mol,1,6,-0.05226415094</t>
  </si>
  <si>
    <t>co,corrida_1,0-��mol/mol,1,7,0.003212765957</t>
  </si>
  <si>
    <t>co,corrida_1,0-��mol/mol,1,8,-0.05075471698</t>
  </si>
  <si>
    <t>co,corrida_1,0-��mol/mol,1,9,-0.05196226415</t>
  </si>
  <si>
    <t>co,corrida_1,0-��mol/mol,1,10,-0.04888679245</t>
  </si>
  <si>
    <t>co,corrida_1,0-��mol/mol,2,1,-0.04796226415</t>
  </si>
  <si>
    <t>co,corrida_1,0-��mol/mol,2,2,-0.0488490566</t>
  </si>
  <si>
    <t>co,corrida_1,0-��mol/mol,2,3,-0.04745283019</t>
  </si>
  <si>
    <t>co,corrida_1,0-��mol/mol,2,4,-0.04867924528</t>
  </si>
  <si>
    <t>co,corrida_1,0-��mol/mol,2,5,-0.05016981132</t>
  </si>
  <si>
    <t>co,corrida_1,0-��mol/mol,2,6,0.00585106383</t>
  </si>
  <si>
    <t>co,corrida_1,0-��mol/mol,2,7,-0.05164150943</t>
  </si>
  <si>
    <t>co,corrida_1,0-��mol/mol,2,8,0.004595744681</t>
  </si>
  <si>
    <t>co,corrida_1,0-��mol/mol,2,9,0.003255319149</t>
  </si>
  <si>
    <t>co,corrida_1,0-��mol/mol,2,10,0.003531914894</t>
  </si>
  <si>
    <t>co,corrida_2,2-��mol/mol,1,1,2.011535354</t>
  </si>
  <si>
    <r>
      <t>co,corrida_1,0-��mol/mol,1,1,</t>
    </r>
    <r>
      <rPr>
        <sz val="11"/>
        <color rgb="FFFF0000"/>
        <rFont val="Aptos Narrow"/>
        <family val="2"/>
        <scheme val="minor"/>
      </rPr>
      <t>0.00670212766</t>
    </r>
  </si>
  <si>
    <t>co,corrida_1,0-��mol/mol,1,2,0.00514893617</t>
  </si>
  <si>
    <t>co,corrida_1,0-��mol/mol,2,1,-0.04941509434</t>
  </si>
  <si>
    <t>co,corrida_1,0-��mol/mol,2,2,0.003319148936</t>
  </si>
  <si>
    <r>
      <t>co,corrida_1,0-��mol/mol,1,1</t>
    </r>
    <r>
      <rPr>
        <sz val="11"/>
        <color rgb="FFFF0000"/>
        <rFont val="Aptos Narrow"/>
        <family val="2"/>
        <scheme val="minor"/>
      </rPr>
      <t>,-0.0480754717</t>
    </r>
  </si>
  <si>
    <t>pollutant,run,level,participant_id,replicate,sample_group,mean_value,sd_value</t>
  </si>
  <si>
    <t>co,corrida_1,0-��mol/mol,part_1,2,1-10,-0.02798398234,0.0282128659</t>
  </si>
  <si>
    <t>co,corrida_1,0-��mol/mol,part_1,2,11-20,-0.03293311923,0.02547467387</t>
  </si>
  <si>
    <t>co,corrida_1,0-��mol/mol,part_1,2,21-30,-0.0279868326,0.02858429708</t>
  </si>
  <si>
    <t>co,corrida_1,0-��mol/mol,part_2,3,1-10,-0.02248920112,0.02831441262</t>
  </si>
  <si>
    <t>co,corrida_1,0-��mol/mol,part_2,3,11-20,-0.02305893216,0.02921246215</t>
  </si>
  <si>
    <t>co,corrida_1,0-��mol/mol,part_2,3,21-30,-0.01766607788,0.02881354388</t>
  </si>
  <si>
    <t>co,corrida_1,0-��mol/mol,part_3,4,1-10,-0.01719943798,0.02811769636</t>
  </si>
  <si>
    <t>co,corrida_1,0-��mol/mol,part_3,4,11-20,-0.02880004014,0.0286884291</t>
  </si>
  <si>
    <t>co,corrida_1,0-��mol/mol,part_3,4,21-30,-0.0289212766,0.02854126249</t>
  </si>
  <si>
    <t>co,corrida_1,0-��mol/mol,ref,1,1-10,-0.02169253312,0.02747572318</t>
  </si>
  <si>
    <t>co,corrida_1,0-��mol/mol,ref,1,11-20,-0.01688896026,0.0273778485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</si>
</sst>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89013336588644"/>
        <bgColor rgb="FFE8E8E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4" borderId="0" xfId="0" applyFill="1"/>
    <xf numFmtId="2" fontId="0" fillId="4" borderId="0" xfId="0" applyNumberFormat="1" applyFill="1"/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/>
    <xf numFmtId="167" fontId="0" fillId="4" borderId="0" xfId="0" applyNumberFormat="1" applyFill="1"/>
    <xf numFmtId="0" fontId="0" fillId="4" borderId="1" xfId="0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7" fontId="0" fillId="0" borderId="0" xfId="0" applyNumberFormat="1"/>
    <xf numFmtId="167" fontId="3" fillId="0" borderId="0" xfId="0" applyNumberFormat="1" applyFont="1"/>
    <xf numFmtId="0" fontId="4" fillId="4" borderId="0" xfId="0" applyFont="1" applyFill="1"/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right"/>
    </xf>
    <xf numFmtId="0" fontId="0" fillId="0" borderId="3" xfId="0" applyBorder="1" applyAlignment="1">
      <alignment horizontal="center" vertical="center"/>
    </xf>
    <xf numFmtId="0" fontId="5" fillId="4" borderId="0" xfId="0" applyFont="1" applyFill="1" applyAlignment="1">
      <alignment vertical="top" wrapText="1"/>
    </xf>
    <xf numFmtId="0" fontId="1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7" fontId="8" fillId="9" borderId="1" xfId="0" applyNumberFormat="1" applyFont="1" applyFill="1" applyBorder="1" applyAlignment="1">
      <alignment horizontal="center" vertical="center"/>
    </xf>
    <xf numFmtId="168" fontId="0" fillId="9" borderId="1" xfId="0" applyNumberFormat="1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left" wrapText="1"/>
    </xf>
    <xf numFmtId="167" fontId="0" fillId="0" borderId="1" xfId="0" applyNumberFormat="1" applyBorder="1"/>
    <xf numFmtId="0" fontId="0" fillId="0" borderId="0" xfId="0" applyBorder="1" applyAlignment="1">
      <alignment horizontal="center" vertical="center"/>
    </xf>
    <xf numFmtId="0" fontId="6" fillId="7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43</xdr:row>
      <xdr:rowOff>28575</xdr:rowOff>
    </xdr:from>
    <xdr:to>
      <xdr:col>8</xdr:col>
      <xdr:colOff>201702</xdr:colOff>
      <xdr:row>44</xdr:row>
      <xdr:rowOff>61791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AC8F942D-D50C-4D7F-8246-4B129C672E97}"/>
                </a:ext>
              </a:extLst>
            </xdr:cNvPr>
            <xdr:cNvSpPr txBox="1"/>
          </xdr:nvSpPr>
          <xdr:spPr>
            <a:xfrm>
              <a:off x="9086850" y="11824335"/>
              <a:ext cx="1474242" cy="2160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s-CO" sz="135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3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s-CO" sz="135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3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s-CO" sz="135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s-CO" sz="135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3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s-CO" sz="135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3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s-CO" sz="135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s-CO" sz="135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≤0,3</m:t>
                    </m:r>
                    <m:sSub>
                      <m:sSubPr>
                        <m:ctrlP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𝑝𝑡</m:t>
                        </m:r>
                        <m:r>
                          <a:rPr lang="es-CO" sz="13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sub>
                    </m:sSub>
                  </m:oMath>
                </m:oMathPara>
              </a14:m>
              <a:endParaRPr lang="es-CO" sz="1350"/>
            </a:p>
          </xdr:txBody>
        </xdr:sp>
      </mc:Choice>
      <mc:Fallback xmlns="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AC8F942D-D50C-4D7F-8246-4B129C672E97}"/>
                </a:ext>
              </a:extLst>
            </xdr:cNvPr>
            <xdr:cNvSpPr txBox="1"/>
          </xdr:nvSpPr>
          <xdr:spPr>
            <a:xfrm>
              <a:off x="9086850" y="11824335"/>
              <a:ext cx="1474242" cy="2160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350" i="0">
                  <a:latin typeface="Cambria Math" panose="02040503050406030204" pitchFamily="18" charset="0"/>
                </a:rPr>
                <a:t>|𝑦 ̅_1−𝑦 ̅_2 |</a:t>
              </a:r>
              <a:r>
                <a:rPr lang="es-CO" sz="135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≤0,3𝜎_(𝑝𝑡 )</a:t>
              </a:r>
              <a:endParaRPr lang="es-CO" sz="1350"/>
            </a:p>
          </xdr:txBody>
        </xdr:sp>
      </mc:Fallback>
    </mc:AlternateContent>
    <xdr:clientData/>
  </xdr:twoCellAnchor>
  <xdr:twoCellAnchor editAs="oneCell">
    <xdr:from>
      <xdr:col>13</xdr:col>
      <xdr:colOff>336850</xdr:colOff>
      <xdr:row>4</xdr:row>
      <xdr:rowOff>274320</xdr:rowOff>
    </xdr:from>
    <xdr:to>
      <xdr:col>23</xdr:col>
      <xdr:colOff>62530</xdr:colOff>
      <xdr:row>31</xdr:row>
      <xdr:rowOff>78240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15953-53A5-8639-DB31-23D218F4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4332" y="1009426"/>
          <a:ext cx="6135445" cy="5675802"/>
        </a:xfrm>
        <a:prstGeom prst="rect">
          <a:avLst/>
        </a:prstGeom>
      </xdr:spPr>
    </xdr:pic>
    <xdr:clientData/>
  </xdr:twoCellAnchor>
  <xdr:oneCellAnchor>
    <xdr:from>
      <xdr:col>1</xdr:col>
      <xdr:colOff>617220</xdr:colOff>
      <xdr:row>61</xdr:row>
      <xdr:rowOff>102870</xdr:rowOff>
    </xdr:from>
    <xdr:ext cx="2681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3596CD48-BBD6-4364-A421-77FB6E82FE43}"/>
                </a:ext>
              </a:extLst>
            </xdr:cNvPr>
            <xdr:cNvSpPr txBox="1"/>
          </xdr:nvSpPr>
          <xdr:spPr>
            <a:xfrm>
              <a:off x="3669030" y="1901190"/>
              <a:ext cx="2681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CO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3596CD48-BBD6-4364-A421-77FB6E82FE43}"/>
                </a:ext>
              </a:extLst>
            </xdr:cNvPr>
            <xdr:cNvSpPr txBox="1"/>
          </xdr:nvSpPr>
          <xdr:spPr>
            <a:xfrm>
              <a:off x="3669030" y="1901190"/>
              <a:ext cx="2681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solidFill>
                    <a:schemeClr val="bg1"/>
                  </a:solidFill>
                  <a:latin typeface="Cambria Math" panose="02040503050406030204" pitchFamily="18" charset="0"/>
                </a:rPr>
                <a:t>(</a:t>
              </a:r>
              <a:r>
                <a:rPr lang="es-E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𝑥</a:t>
              </a:r>
              <a:r>
                <a:rPr lang="es-CO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𝑖 )</a:t>
              </a:r>
              <a:endParaRPr lang="es-CO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15</xdr:col>
      <xdr:colOff>19050</xdr:colOff>
      <xdr:row>33</xdr:row>
      <xdr:rowOff>144780</xdr:rowOff>
    </xdr:from>
    <xdr:to>
      <xdr:col>24</xdr:col>
      <xdr:colOff>115014</xdr:colOff>
      <xdr:row>46</xdr:row>
      <xdr:rowOff>61683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6EB8C1-60C3-18B7-CEF6-5982194CF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8485" y="7576521"/>
          <a:ext cx="5864753" cy="3036621"/>
        </a:xfrm>
        <a:prstGeom prst="rect">
          <a:avLst/>
        </a:prstGeom>
      </xdr:spPr>
    </xdr:pic>
    <xdr:clientData/>
  </xdr:twoCellAnchor>
  <xdr:twoCellAnchor editAs="oneCell">
    <xdr:from>
      <xdr:col>14</xdr:col>
      <xdr:colOff>257511</xdr:colOff>
      <xdr:row>54</xdr:row>
      <xdr:rowOff>4931</xdr:rowOff>
    </xdr:from>
    <xdr:to>
      <xdr:col>25</xdr:col>
      <xdr:colOff>242271</xdr:colOff>
      <xdr:row>73</xdr:row>
      <xdr:rowOff>54689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D34CF8-7C96-5E7B-4F70-3C5146B3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5970" y="22492896"/>
          <a:ext cx="7035501" cy="4003194"/>
        </a:xfrm>
        <a:prstGeom prst="rect">
          <a:avLst/>
        </a:prstGeom>
      </xdr:spPr>
    </xdr:pic>
    <xdr:clientData/>
  </xdr:twoCellAnchor>
  <xdr:twoCellAnchor editAs="oneCell">
    <xdr:from>
      <xdr:col>16</xdr:col>
      <xdr:colOff>491714</xdr:colOff>
      <xdr:row>79</xdr:row>
      <xdr:rowOff>91215</xdr:rowOff>
    </xdr:from>
    <xdr:to>
      <xdr:col>21</xdr:col>
      <xdr:colOff>320527</xdr:colOff>
      <xdr:row>95</xdr:row>
      <xdr:rowOff>92864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1A2185-5CC4-786F-692C-1698DEDD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82126" y="26729839"/>
          <a:ext cx="3033695" cy="3520296"/>
        </a:xfrm>
        <a:prstGeom prst="rect">
          <a:avLst/>
        </a:prstGeom>
      </xdr:spPr>
    </xdr:pic>
    <xdr:clientData/>
  </xdr:twoCellAnchor>
  <xdr:twoCellAnchor editAs="oneCell">
    <xdr:from>
      <xdr:col>24</xdr:col>
      <xdr:colOff>398929</xdr:colOff>
      <xdr:row>34</xdr:row>
      <xdr:rowOff>89646</xdr:rowOff>
    </xdr:from>
    <xdr:to>
      <xdr:col>35</xdr:col>
      <xdr:colOff>195351</xdr:colOff>
      <xdr:row>67</xdr:row>
      <xdr:rowOff>125917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B337AC-5DC7-DB4B-4486-58D51195D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17153" y="7247964"/>
          <a:ext cx="6847163" cy="7342506"/>
        </a:xfrm>
        <a:prstGeom prst="rect">
          <a:avLst/>
        </a:prstGeom>
      </xdr:spPr>
    </xdr:pic>
    <xdr:clientData/>
  </xdr:twoCellAnchor>
  <xdr:twoCellAnchor editAs="oneCell">
    <xdr:from>
      <xdr:col>20</xdr:col>
      <xdr:colOff>421340</xdr:colOff>
      <xdr:row>0</xdr:row>
      <xdr:rowOff>26894</xdr:rowOff>
    </xdr:from>
    <xdr:to>
      <xdr:col>32</xdr:col>
      <xdr:colOff>34026</xdr:colOff>
      <xdr:row>32</xdr:row>
      <xdr:rowOff>151878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147ACA-3A0E-4A00-02A4-1061DC2F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75658" y="26894"/>
          <a:ext cx="7304403" cy="69157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951F-9AF5-45EE-B9BB-E0B5E764ED59}">
  <dimension ref="A1:K87"/>
  <sheetViews>
    <sheetView tabSelected="1" topLeftCell="A80" zoomScale="85" zoomScaleNormal="85" workbookViewId="0">
      <selection activeCell="C80" sqref="C80"/>
    </sheetView>
  </sheetViews>
  <sheetFormatPr defaultRowHeight="14.4" x14ac:dyDescent="0.55000000000000004"/>
  <cols>
    <col min="2" max="2" width="14.83984375" customWidth="1"/>
  </cols>
  <sheetData>
    <row r="1" spans="1:10" x14ac:dyDescent="0.55000000000000004">
      <c r="J1" t="s">
        <v>32</v>
      </c>
    </row>
    <row r="2" spans="1:10" x14ac:dyDescent="0.55000000000000004">
      <c r="J2" t="s">
        <v>53</v>
      </c>
    </row>
    <row r="3" spans="1:10" x14ac:dyDescent="0.55000000000000004">
      <c r="A3" t="s">
        <v>0</v>
      </c>
      <c r="J3" t="s">
        <v>33</v>
      </c>
    </row>
    <row r="4" spans="1:10" x14ac:dyDescent="0.55000000000000004">
      <c r="A4" t="s">
        <v>16</v>
      </c>
      <c r="J4" t="s">
        <v>34</v>
      </c>
    </row>
    <row r="5" spans="1:10" ht="72" x14ac:dyDescent="0.55000000000000004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J5" t="s">
        <v>35</v>
      </c>
    </row>
    <row r="6" spans="1:10" x14ac:dyDescent="0.55000000000000004">
      <c r="A6" s="2"/>
      <c r="B6" s="32">
        <v>6.7021276600000004E-3</v>
      </c>
      <c r="C6" s="33">
        <v>-4.7962264150000003E-2</v>
      </c>
      <c r="D6" s="2">
        <f>AVERAGE(B6:C6)</f>
        <v>-2.0630068245000001E-2</v>
      </c>
      <c r="E6" s="4">
        <f>MAX(B6:C6)-MIN(B6:C6)</f>
        <v>5.4664391810000004E-2</v>
      </c>
      <c r="J6" t="s">
        <v>36</v>
      </c>
    </row>
    <row r="7" spans="1:10" x14ac:dyDescent="0.55000000000000004">
      <c r="A7" s="2"/>
      <c r="B7" s="34">
        <v>4.7872340429999998E-3</v>
      </c>
      <c r="C7" s="33">
        <v>-4.8849056600000003E-2</v>
      </c>
      <c r="D7" s="2">
        <f t="shared" ref="D7:D15" si="0">AVERAGE(B7:C7)</f>
        <v>-2.2030911278500001E-2</v>
      </c>
      <c r="E7" s="4">
        <f t="shared" ref="E7:E15" si="1">MAX(B7:C7)-MIN(B7:C7)</f>
        <v>5.3636290643000004E-2</v>
      </c>
      <c r="J7" t="s">
        <v>37</v>
      </c>
    </row>
    <row r="8" spans="1:10" x14ac:dyDescent="0.55000000000000004">
      <c r="A8" s="2"/>
      <c r="B8" s="34">
        <v>-4.928301887E-2</v>
      </c>
      <c r="C8" s="33">
        <v>-4.7452830190000003E-2</v>
      </c>
      <c r="D8" s="2">
        <f t="shared" si="0"/>
        <v>-4.8367924530000002E-2</v>
      </c>
      <c r="E8" s="4">
        <f t="shared" si="1"/>
        <v>1.8301886799999972E-3</v>
      </c>
      <c r="J8" t="s">
        <v>38</v>
      </c>
    </row>
    <row r="9" spans="1:10" x14ac:dyDescent="0.55000000000000004">
      <c r="A9" s="2"/>
      <c r="B9" s="34">
        <v>4.2553191490000003E-3</v>
      </c>
      <c r="C9" s="33">
        <v>-4.8679245279999998E-2</v>
      </c>
      <c r="D9" s="2">
        <f t="shared" si="0"/>
        <v>-2.2211963065499999E-2</v>
      </c>
      <c r="E9" s="4">
        <f t="shared" si="1"/>
        <v>5.2934564428999999E-2</v>
      </c>
      <c r="J9" t="s">
        <v>39</v>
      </c>
    </row>
    <row r="10" spans="1:10" x14ac:dyDescent="0.55000000000000004">
      <c r="A10" s="2"/>
      <c r="B10" s="34">
        <v>6.0212765960000001E-3</v>
      </c>
      <c r="C10" s="33">
        <v>-5.016981132E-2</v>
      </c>
      <c r="D10" s="2">
        <f t="shared" si="0"/>
        <v>-2.2074267362000001E-2</v>
      </c>
      <c r="E10" s="4">
        <f t="shared" si="1"/>
        <v>5.6191087915999999E-2</v>
      </c>
      <c r="J10" t="s">
        <v>40</v>
      </c>
    </row>
    <row r="11" spans="1:10" x14ac:dyDescent="0.55000000000000004">
      <c r="A11" s="2"/>
      <c r="B11" s="34">
        <v>-5.2264150939999997E-2</v>
      </c>
      <c r="C11" s="33">
        <v>5.8510638300000003E-3</v>
      </c>
      <c r="D11" s="2">
        <f t="shared" si="0"/>
        <v>-2.3206543554999997E-2</v>
      </c>
      <c r="E11" s="4">
        <f t="shared" si="1"/>
        <v>5.811521477E-2</v>
      </c>
      <c r="J11" t="s">
        <v>41</v>
      </c>
    </row>
    <row r="12" spans="1:10" x14ac:dyDescent="0.55000000000000004">
      <c r="A12" s="2"/>
      <c r="B12" s="34">
        <v>3.2127659569999999E-3</v>
      </c>
      <c r="C12" s="33">
        <v>-5.1641509430000003E-2</v>
      </c>
      <c r="D12" s="2">
        <f t="shared" si="0"/>
        <v>-2.4214371736500002E-2</v>
      </c>
      <c r="E12" s="4">
        <f t="shared" si="1"/>
        <v>5.4854275387000002E-2</v>
      </c>
      <c r="J12" t="s">
        <v>42</v>
      </c>
    </row>
    <row r="13" spans="1:10" x14ac:dyDescent="0.55000000000000004">
      <c r="A13" s="2"/>
      <c r="B13" s="34">
        <v>-5.0754716980000003E-2</v>
      </c>
      <c r="C13" s="33">
        <v>4.595744681E-3</v>
      </c>
      <c r="D13" s="2">
        <f t="shared" si="0"/>
        <v>-2.3079486149500002E-2</v>
      </c>
      <c r="E13" s="4">
        <f t="shared" si="1"/>
        <v>5.5350461661000001E-2</v>
      </c>
      <c r="J13" t="s">
        <v>43</v>
      </c>
    </row>
    <row r="14" spans="1:10" x14ac:dyDescent="0.55000000000000004">
      <c r="A14" s="2"/>
      <c r="B14" s="34">
        <v>-5.196226415E-2</v>
      </c>
      <c r="C14" s="33">
        <v>3.2553191489999998E-3</v>
      </c>
      <c r="D14" s="2">
        <f t="shared" si="0"/>
        <v>-2.43534725005E-2</v>
      </c>
      <c r="E14" s="4">
        <f t="shared" si="1"/>
        <v>5.5217583298999999E-2</v>
      </c>
      <c r="J14" t="s">
        <v>44</v>
      </c>
    </row>
    <row r="15" spans="1:10" x14ac:dyDescent="0.55000000000000004">
      <c r="A15" s="2"/>
      <c r="B15" s="34">
        <v>-4.8886792450000001E-2</v>
      </c>
      <c r="C15" s="33">
        <v>3.531914894E-3</v>
      </c>
      <c r="D15" s="2">
        <f t="shared" si="0"/>
        <v>-2.2677438777999999E-2</v>
      </c>
      <c r="E15" s="4">
        <f t="shared" si="1"/>
        <v>5.2418707344000004E-2</v>
      </c>
      <c r="J15" t="s">
        <v>45</v>
      </c>
    </row>
    <row r="16" spans="1:10" x14ac:dyDescent="0.55000000000000004">
      <c r="A16" s="2"/>
      <c r="B16" s="3"/>
      <c r="C16" s="3"/>
      <c r="D16" s="2"/>
      <c r="E16" s="4"/>
      <c r="J16" t="s">
        <v>46</v>
      </c>
    </row>
    <row r="17" spans="1:10" x14ac:dyDescent="0.55000000000000004">
      <c r="A17" s="2"/>
      <c r="B17" s="3"/>
      <c r="C17" s="3"/>
      <c r="D17" s="2"/>
      <c r="E17" s="4"/>
      <c r="J17" t="s">
        <v>47</v>
      </c>
    </row>
    <row r="18" spans="1:10" x14ac:dyDescent="0.55000000000000004">
      <c r="J18" t="s">
        <v>48</v>
      </c>
    </row>
    <row r="19" spans="1:10" x14ac:dyDescent="0.55000000000000004">
      <c r="J19" t="s">
        <v>49</v>
      </c>
    </row>
    <row r="20" spans="1:10" x14ac:dyDescent="0.55000000000000004">
      <c r="A20" s="38" t="s">
        <v>6</v>
      </c>
      <c r="B20" s="38"/>
      <c r="C20" s="38"/>
      <c r="D20" s="38"/>
      <c r="E20" s="38"/>
      <c r="F20" s="43">
        <f>+AVERAGE(B6:C17)</f>
        <v>-2.5284644720050004E-2</v>
      </c>
      <c r="J20" t="s">
        <v>50</v>
      </c>
    </row>
    <row r="21" spans="1:10" x14ac:dyDescent="0.55000000000000004">
      <c r="A21" s="38" t="s">
        <v>7</v>
      </c>
      <c r="B21" s="38"/>
      <c r="C21" s="38"/>
      <c r="D21" s="38"/>
      <c r="E21" s="38"/>
      <c r="F21" s="5">
        <f>+STDEV(D6:D17)</f>
        <v>8.1841912866342185E-3</v>
      </c>
      <c r="J21" t="s">
        <v>51</v>
      </c>
    </row>
    <row r="22" spans="1:10" x14ac:dyDescent="0.55000000000000004">
      <c r="A22" s="38" t="s">
        <v>8</v>
      </c>
      <c r="B22" s="38"/>
      <c r="C22" s="38"/>
      <c r="D22" s="38"/>
      <c r="E22" s="38"/>
      <c r="F22" s="5">
        <f>+SQRT(SUMSQ(E6:E17)/(2*COUNT(E6:E17)))</f>
        <v>3.6793103413583758E-2</v>
      </c>
      <c r="J22" t="s">
        <v>52</v>
      </c>
    </row>
    <row r="23" spans="1:10" x14ac:dyDescent="0.55000000000000004">
      <c r="A23" s="38" t="s">
        <v>9</v>
      </c>
      <c r="B23" s="38"/>
      <c r="C23" s="38"/>
      <c r="D23" s="38"/>
      <c r="E23" s="38"/>
      <c r="F23" s="5" t="e">
        <f>+SQRT(F21^2-(F22^2/2))</f>
        <v>#NUM!</v>
      </c>
    </row>
    <row r="24" spans="1:10" x14ac:dyDescent="0.55000000000000004">
      <c r="A24" s="38" t="s">
        <v>17</v>
      </c>
      <c r="B24" s="38"/>
      <c r="C24" s="38"/>
      <c r="D24" s="38"/>
      <c r="E24" s="38"/>
      <c r="F24" s="5">
        <f>C80</f>
        <v>4.1184356683554503E-2</v>
      </c>
    </row>
    <row r="26" spans="1:10" ht="28.5" customHeight="1" x14ac:dyDescent="0.55000000000000004">
      <c r="A26" s="41"/>
      <c r="B26" s="41"/>
      <c r="C26" s="41"/>
      <c r="D26" s="41"/>
      <c r="E26" s="41"/>
      <c r="F26" s="41"/>
    </row>
    <row r="30" spans="1:10" x14ac:dyDescent="0.55000000000000004">
      <c r="A30" s="39" t="s">
        <v>10</v>
      </c>
      <c r="B30" s="39"/>
      <c r="C30" s="39"/>
      <c r="D30" s="39"/>
      <c r="E30" s="39"/>
      <c r="F30" s="39"/>
      <c r="G30" s="6"/>
      <c r="H30" s="6"/>
      <c r="I30" s="6"/>
      <c r="J30" s="6"/>
    </row>
    <row r="31" spans="1:10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55000000000000004">
      <c r="A32" s="42"/>
      <c r="B32" s="42"/>
      <c r="C32" s="42"/>
      <c r="D32" s="42"/>
      <c r="E32" s="42"/>
      <c r="F32" s="42"/>
      <c r="G32" s="42"/>
      <c r="H32" s="42"/>
      <c r="I32" s="42"/>
      <c r="J32" s="42"/>
    </row>
    <row r="33" spans="1:11" x14ac:dyDescent="0.55000000000000004">
      <c r="A33" s="42"/>
      <c r="B33" s="42"/>
      <c r="C33" s="42"/>
      <c r="D33" s="42"/>
      <c r="E33" s="42"/>
      <c r="F33" s="42"/>
      <c r="G33" s="42"/>
      <c r="H33" s="42"/>
      <c r="I33" s="42"/>
      <c r="J33" s="42"/>
    </row>
    <row r="34" spans="1:11" x14ac:dyDescent="0.55000000000000004">
      <c r="A34" s="42"/>
      <c r="B34" s="42"/>
      <c r="C34" s="42"/>
      <c r="D34" s="42"/>
      <c r="E34" s="42"/>
      <c r="F34" s="42"/>
      <c r="G34" s="42"/>
      <c r="H34" s="42"/>
      <c r="I34" s="42"/>
      <c r="J34" s="42"/>
    </row>
    <row r="35" spans="1:11" x14ac:dyDescent="0.55000000000000004">
      <c r="A35" t="s">
        <v>16</v>
      </c>
      <c r="B35" s="6"/>
      <c r="C35" s="6"/>
      <c r="D35" s="6"/>
      <c r="E35" s="6"/>
      <c r="F35" s="6"/>
      <c r="G35" s="6"/>
      <c r="H35" s="6"/>
      <c r="I35" s="6"/>
      <c r="J35" s="6"/>
      <c r="K35" t="s">
        <v>32</v>
      </c>
    </row>
    <row r="36" spans="1:11" x14ac:dyDescent="0.55000000000000004">
      <c r="A36" s="6" t="s">
        <v>11</v>
      </c>
      <c r="B36" s="6"/>
      <c r="C36" s="6"/>
      <c r="D36" s="6"/>
      <c r="E36" s="6"/>
      <c r="F36" s="6"/>
      <c r="G36" s="6"/>
      <c r="H36" s="6"/>
      <c r="I36" s="6"/>
      <c r="J36" s="6"/>
      <c r="K36" t="s">
        <v>57</v>
      </c>
    </row>
    <row r="37" spans="1:11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t="s">
        <v>54</v>
      </c>
    </row>
    <row r="38" spans="1:11" x14ac:dyDescent="0.55000000000000004">
      <c r="A38" s="7"/>
      <c r="B38" s="6"/>
      <c r="C38" s="6"/>
      <c r="D38" s="6"/>
      <c r="E38" s="6"/>
      <c r="F38" s="6"/>
      <c r="G38" s="6"/>
      <c r="H38" s="6"/>
      <c r="I38" s="6"/>
      <c r="J38" s="6"/>
      <c r="K38" t="s">
        <v>55</v>
      </c>
    </row>
    <row r="39" spans="1:11" ht="72" x14ac:dyDescent="0.55000000000000004">
      <c r="A39" s="8" t="s">
        <v>1</v>
      </c>
      <c r="B39" s="8" t="s">
        <v>12</v>
      </c>
      <c r="C39" s="8" t="s">
        <v>13</v>
      </c>
      <c r="D39" s="8" t="s">
        <v>4</v>
      </c>
      <c r="E39" s="8" t="s">
        <v>5</v>
      </c>
      <c r="F39" s="6"/>
      <c r="G39" s="6"/>
      <c r="H39" s="6"/>
      <c r="I39" s="6"/>
      <c r="J39" s="6"/>
      <c r="K39" t="s">
        <v>56</v>
      </c>
    </row>
    <row r="40" spans="1:11" x14ac:dyDescent="0.55000000000000004">
      <c r="A40" s="9"/>
      <c r="B40" s="31">
        <v>-4.8079999999999998E-2</v>
      </c>
      <c r="C40" s="3">
        <v>-4.9419999999999999E-2</v>
      </c>
      <c r="D40" s="11">
        <v>-4.8750000000000002E-2</v>
      </c>
      <c r="E40" s="12">
        <v>1.3400000000000009E-3</v>
      </c>
      <c r="F40" s="6"/>
      <c r="G40" s="6"/>
      <c r="H40" s="6"/>
      <c r="I40" s="6"/>
      <c r="J40" s="6"/>
    </row>
    <row r="41" spans="1:11" x14ac:dyDescent="0.55000000000000004">
      <c r="A41" s="9"/>
      <c r="B41" s="3">
        <v>5.1500000000000001E-3</v>
      </c>
      <c r="C41" s="3">
        <v>3.32E-3</v>
      </c>
      <c r="D41" s="12">
        <v>4.235E-3</v>
      </c>
      <c r="E41" s="12">
        <v>1.83E-3</v>
      </c>
      <c r="F41" s="6"/>
      <c r="G41" s="6"/>
      <c r="H41" s="6"/>
      <c r="I41" s="6"/>
      <c r="J41" s="6"/>
    </row>
    <row r="42" spans="1:11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1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1" x14ac:dyDescent="0.55000000000000004">
      <c r="A44" s="40" t="s">
        <v>6</v>
      </c>
      <c r="B44" s="40"/>
      <c r="C44" s="40"/>
      <c r="D44" s="40"/>
      <c r="E44" s="14">
        <f>+AVERAGE(B40:C41)</f>
        <v>-2.22575E-2</v>
      </c>
      <c r="F44" s="10"/>
      <c r="G44" s="6"/>
      <c r="H44" s="6"/>
      <c r="I44" s="6"/>
      <c r="J44" s="6"/>
    </row>
    <row r="45" spans="1:11" x14ac:dyDescent="0.55000000000000004">
      <c r="A45" s="40" t="s">
        <v>14</v>
      </c>
      <c r="B45" s="40"/>
      <c r="C45" s="40"/>
      <c r="D45" s="40"/>
      <c r="E45" s="13">
        <f>ABS(E44-F20)</f>
        <v>3.0271447200500047E-3</v>
      </c>
      <c r="F45" s="10"/>
      <c r="G45" s="6"/>
      <c r="H45" s="6"/>
      <c r="I45" s="6"/>
      <c r="J45" s="6"/>
    </row>
    <row r="46" spans="1:11" x14ac:dyDescent="0.55000000000000004">
      <c r="A46" s="40" t="s">
        <v>15</v>
      </c>
      <c r="B46" s="40"/>
      <c r="C46" s="40"/>
      <c r="D46" s="40"/>
      <c r="E46" s="13">
        <f>F24</f>
        <v>4.1184356683554503E-2</v>
      </c>
      <c r="F46" s="10"/>
      <c r="G46" s="6"/>
      <c r="H46" s="6"/>
      <c r="I46" s="6"/>
      <c r="J46" s="6"/>
    </row>
    <row r="47" spans="1:11" x14ac:dyDescent="0.55000000000000004">
      <c r="E47" s="6"/>
    </row>
    <row r="53" spans="1:7" ht="18.3" x14ac:dyDescent="0.7">
      <c r="A53" s="15"/>
      <c r="B53" s="35" t="s">
        <v>18</v>
      </c>
      <c r="C53" s="36"/>
      <c r="D53" s="36"/>
      <c r="E53" s="36"/>
    </row>
    <row r="54" spans="1:7" x14ac:dyDescent="0.55000000000000004">
      <c r="A54" s="6"/>
      <c r="B54" s="35"/>
      <c r="C54" s="36"/>
      <c r="D54" s="36"/>
      <c r="E54" s="36"/>
    </row>
    <row r="55" spans="1:7" x14ac:dyDescent="0.55000000000000004">
      <c r="A55" s="6"/>
      <c r="B55" s="35"/>
      <c r="C55" s="36"/>
      <c r="D55" s="36"/>
      <c r="E55" s="36"/>
    </row>
    <row r="56" spans="1:7" x14ac:dyDescent="0.55000000000000004">
      <c r="A56" s="6"/>
      <c r="B56" s="35"/>
      <c r="C56" s="36"/>
      <c r="D56" s="36"/>
      <c r="E56" s="36"/>
      <c r="G56" t="s">
        <v>58</v>
      </c>
    </row>
    <row r="57" spans="1:7" x14ac:dyDescent="0.55000000000000004">
      <c r="A57" s="6"/>
      <c r="B57" s="35"/>
      <c r="C57" s="36"/>
      <c r="D57" s="36"/>
      <c r="E57" s="36"/>
      <c r="G57" t="s">
        <v>59</v>
      </c>
    </row>
    <row r="58" spans="1:7" x14ac:dyDescent="0.55000000000000004">
      <c r="A58" s="6"/>
      <c r="B58" s="35"/>
      <c r="C58" s="36"/>
      <c r="D58" s="36"/>
      <c r="E58" s="36"/>
      <c r="G58" t="s">
        <v>60</v>
      </c>
    </row>
    <row r="59" spans="1:7" ht="18.3" x14ac:dyDescent="0.55000000000000004">
      <c r="A59" s="6"/>
      <c r="B59" s="16"/>
      <c r="C59" s="16"/>
      <c r="D59" s="16"/>
      <c r="E59" s="16"/>
      <c r="G59" t="s">
        <v>61</v>
      </c>
    </row>
    <row r="60" spans="1:7" ht="18.3" x14ac:dyDescent="0.55000000000000004">
      <c r="A60" s="6"/>
      <c r="B60" s="17" t="s">
        <v>19</v>
      </c>
      <c r="C60" s="16"/>
      <c r="D60" s="16"/>
      <c r="E60" s="16"/>
      <c r="G60" t="s">
        <v>62</v>
      </c>
    </row>
    <row r="61" spans="1:7" x14ac:dyDescent="0.55000000000000004">
      <c r="A61" s="6"/>
      <c r="B61" s="18"/>
      <c r="C61" s="6"/>
      <c r="D61" s="6"/>
      <c r="E61" s="6"/>
      <c r="G61" t="s">
        <v>63</v>
      </c>
    </row>
    <row r="62" spans="1:7" ht="43.2" x14ac:dyDescent="0.55000000000000004">
      <c r="A62" s="6"/>
      <c r="B62" s="19" t="s">
        <v>20</v>
      </c>
      <c r="C62" s="20" t="s">
        <v>21</v>
      </c>
      <c r="D62" s="6"/>
      <c r="E62" s="6"/>
      <c r="G62" t="s">
        <v>64</v>
      </c>
    </row>
    <row r="63" spans="1:7" x14ac:dyDescent="0.55000000000000004">
      <c r="A63" s="21"/>
      <c r="B63" s="32">
        <v>6.7021276600000004E-3</v>
      </c>
      <c r="C63" s="22">
        <f>+ABS(B63-$B$78)</f>
        <v>2.9539140906500002E-2</v>
      </c>
      <c r="D63" s="6"/>
      <c r="E63" s="6"/>
      <c r="G63" t="s">
        <v>65</v>
      </c>
    </row>
    <row r="64" spans="1:7" x14ac:dyDescent="0.55000000000000004">
      <c r="A64" s="21"/>
      <c r="B64" s="34">
        <v>4.7872340429999998E-3</v>
      </c>
      <c r="C64" s="22">
        <f>+ABS(B64-$B$78)</f>
        <v>2.7624247289500001E-2</v>
      </c>
      <c r="D64" s="6"/>
      <c r="E64" s="6"/>
      <c r="G64" t="s">
        <v>66</v>
      </c>
    </row>
    <row r="65" spans="1:7" x14ac:dyDescent="0.55000000000000004">
      <c r="A65" s="21"/>
      <c r="B65" s="34">
        <v>-4.928301887E-2</v>
      </c>
      <c r="C65" s="22">
        <f>+ABS(B65-$B$78)</f>
        <v>2.64460056235E-2</v>
      </c>
      <c r="D65" s="6"/>
      <c r="E65" s="6"/>
      <c r="G65" t="s">
        <v>67</v>
      </c>
    </row>
    <row r="66" spans="1:7" x14ac:dyDescent="0.55000000000000004">
      <c r="A66" s="21"/>
      <c r="B66" s="34">
        <v>4.2553191490000003E-3</v>
      </c>
      <c r="C66" s="22">
        <f>+ABS(B66-$B$78)</f>
        <v>2.7092332395500001E-2</v>
      </c>
      <c r="D66" s="6"/>
      <c r="E66" s="6"/>
      <c r="G66" t="s">
        <v>68</v>
      </c>
    </row>
    <row r="67" spans="1:7" x14ac:dyDescent="0.55000000000000004">
      <c r="A67" s="21"/>
      <c r="B67" s="34">
        <v>6.0212765960000001E-3</v>
      </c>
      <c r="C67" s="22">
        <f>+ABS(B67-$B$78)</f>
        <v>2.8858289842500003E-2</v>
      </c>
      <c r="D67" s="6"/>
      <c r="E67" s="6"/>
      <c r="G67" t="s">
        <v>69</v>
      </c>
    </row>
    <row r="68" spans="1:7" x14ac:dyDescent="0.55000000000000004">
      <c r="A68" s="21"/>
      <c r="B68" s="34">
        <v>-5.2264150939999997E-2</v>
      </c>
      <c r="C68" s="22">
        <f>+ABS(B68-$B$78)</f>
        <v>2.9427137693499996E-2</v>
      </c>
      <c r="D68" s="6"/>
      <c r="E68" s="6"/>
    </row>
    <row r="69" spans="1:7" x14ac:dyDescent="0.55000000000000004">
      <c r="A69" s="21"/>
      <c r="B69" s="34">
        <v>3.2127659569999999E-3</v>
      </c>
      <c r="C69" s="22">
        <f>+ABS(B69-$B$78)</f>
        <v>2.60497792035E-2</v>
      </c>
      <c r="D69" s="6"/>
      <c r="E69" s="6"/>
    </row>
    <row r="70" spans="1:7" x14ac:dyDescent="0.55000000000000004">
      <c r="A70" s="21"/>
      <c r="B70" s="34">
        <v>-5.0754716980000003E-2</v>
      </c>
      <c r="C70" s="22">
        <f>+ABS(B70-$B$78)</f>
        <v>2.7917703733500002E-2</v>
      </c>
      <c r="D70" s="6"/>
      <c r="E70" s="6"/>
    </row>
    <row r="71" spans="1:7" x14ac:dyDescent="0.55000000000000004">
      <c r="A71" s="21"/>
      <c r="B71" s="34">
        <v>-5.196226415E-2</v>
      </c>
      <c r="C71" s="22">
        <f>+ABS(B71-$B$78)</f>
        <v>2.9125250903499999E-2</v>
      </c>
      <c r="D71" s="6"/>
      <c r="E71" s="6"/>
    </row>
    <row r="72" spans="1:7" x14ac:dyDescent="0.55000000000000004">
      <c r="A72" s="21"/>
      <c r="B72" s="34">
        <v>-4.8886792450000001E-2</v>
      </c>
      <c r="C72" s="22">
        <f>+ABS(B72-$B$78)</f>
        <v>2.60497792035E-2</v>
      </c>
      <c r="D72" s="6"/>
      <c r="E72" s="6"/>
    </row>
    <row r="73" spans="1:7" x14ac:dyDescent="0.55000000000000004">
      <c r="A73" s="21"/>
      <c r="B73" s="44"/>
      <c r="C73" s="22"/>
      <c r="D73" s="6"/>
      <c r="E73" s="6"/>
    </row>
    <row r="74" spans="1:7" x14ac:dyDescent="0.55000000000000004">
      <c r="A74" s="21"/>
      <c r="B74" s="44"/>
      <c r="C74" s="44"/>
      <c r="D74" s="6"/>
      <c r="E74" s="6"/>
    </row>
    <row r="75" spans="1:7" x14ac:dyDescent="0.55000000000000004">
      <c r="A75" s="21"/>
      <c r="B75" s="44"/>
      <c r="C75" s="44"/>
      <c r="D75" s="6"/>
      <c r="E75" s="6"/>
    </row>
    <row r="76" spans="1:7" ht="18.3" x14ac:dyDescent="0.55000000000000004">
      <c r="A76" s="6"/>
      <c r="B76" s="6"/>
      <c r="C76" s="16"/>
      <c r="D76" s="6"/>
      <c r="E76" s="6"/>
    </row>
    <row r="77" spans="1:7" ht="18.3" x14ac:dyDescent="0.55000000000000004">
      <c r="A77" s="6"/>
      <c r="B77" s="6"/>
      <c r="C77" s="16"/>
      <c r="D77" s="6"/>
      <c r="E77" s="6"/>
    </row>
    <row r="78" spans="1:7" ht="46.8" x14ac:dyDescent="0.6">
      <c r="A78" s="45" t="s">
        <v>22</v>
      </c>
      <c r="B78" s="3">
        <f>+MEDIAN(B63:B72)</f>
        <v>-2.2837013246500001E-2</v>
      </c>
      <c r="C78" s="16"/>
      <c r="D78" s="6"/>
      <c r="E78" s="6"/>
    </row>
    <row r="79" spans="1:7" ht="18.3" x14ac:dyDescent="0.6">
      <c r="A79" s="37" t="s">
        <v>23</v>
      </c>
      <c r="B79" s="37"/>
      <c r="C79" s="3">
        <f>+MEDIAN(C63:C72)</f>
        <v>2.7770975511500002E-2</v>
      </c>
      <c r="D79" s="16"/>
      <c r="E79" s="16"/>
    </row>
    <row r="80" spans="1:7" ht="36.6" x14ac:dyDescent="0.6">
      <c r="A80" s="37" t="s">
        <v>24</v>
      </c>
      <c r="B80" s="37"/>
      <c r="C80" s="3">
        <f>1.483*C79</f>
        <v>4.1184356683554503E-2</v>
      </c>
      <c r="D80" s="16" t="s">
        <v>25</v>
      </c>
      <c r="E80" s="16"/>
    </row>
    <row r="81" spans="1:5" ht="18.3" x14ac:dyDescent="0.55000000000000004">
      <c r="A81" s="6"/>
      <c r="B81" s="6"/>
      <c r="C81" s="16"/>
      <c r="D81" s="16"/>
      <c r="E81" s="16"/>
    </row>
    <row r="82" spans="1:5" ht="18.3" x14ac:dyDescent="0.55000000000000004">
      <c r="A82" s="6"/>
      <c r="B82" s="6"/>
      <c r="C82" s="16"/>
      <c r="D82" s="16"/>
      <c r="E82" s="16"/>
    </row>
    <row r="83" spans="1:5" ht="18.3" x14ac:dyDescent="0.55000000000000004">
      <c r="A83" s="24" t="s">
        <v>26</v>
      </c>
      <c r="B83" s="25">
        <f>_xlfn.QUARTILE.INC(B63:B72,1)</f>
        <v>-5.0386792452500002E-2</v>
      </c>
      <c r="C83" s="6" t="s">
        <v>27</v>
      </c>
      <c r="D83" s="16"/>
      <c r="E83" s="16"/>
    </row>
    <row r="84" spans="1:5" ht="18.3" x14ac:dyDescent="0.55000000000000004">
      <c r="A84" s="24" t="s">
        <v>28</v>
      </c>
      <c r="B84" s="25">
        <f>_xlfn.QUARTILE.INC(B63:B72,3)</f>
        <v>4.6542553194999997E-3</v>
      </c>
      <c r="C84" s="6" t="s">
        <v>29</v>
      </c>
      <c r="D84" s="16"/>
      <c r="E84" s="23"/>
    </row>
    <row r="85" spans="1:5" ht="18.3" x14ac:dyDescent="0.55000000000000004">
      <c r="A85" s="6"/>
      <c r="B85" s="26"/>
      <c r="C85" s="6"/>
      <c r="D85" s="16"/>
      <c r="E85" s="23"/>
    </row>
    <row r="86" spans="1:5" x14ac:dyDescent="0.55000000000000004">
      <c r="A86" s="27" t="s">
        <v>30</v>
      </c>
      <c r="B86" s="28">
        <f>B84-B83</f>
        <v>5.5041047772000001E-2</v>
      </c>
      <c r="C86" s="6"/>
    </row>
    <row r="87" spans="1:5" ht="18.3" x14ac:dyDescent="0.55000000000000004">
      <c r="A87" s="29" t="s">
        <v>31</v>
      </c>
      <c r="B87" s="30">
        <f>B86*0.7413</f>
        <v>4.0801928713383596E-2</v>
      </c>
      <c r="C87" s="6"/>
    </row>
  </sheetData>
  <mergeCells count="14">
    <mergeCell ref="B53:E58"/>
    <mergeCell ref="A79:B79"/>
    <mergeCell ref="A80:B80"/>
    <mergeCell ref="A20:E20"/>
    <mergeCell ref="A21:E21"/>
    <mergeCell ref="A22:E22"/>
    <mergeCell ref="A23:E23"/>
    <mergeCell ref="A30:F30"/>
    <mergeCell ref="A44:D44"/>
    <mergeCell ref="A45:D45"/>
    <mergeCell ref="A46:D46"/>
    <mergeCell ref="A24:E24"/>
    <mergeCell ref="A26:F26"/>
    <mergeCell ref="A32:J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yate</dc:creator>
  <cp:lastModifiedBy>cesar yate</cp:lastModifiedBy>
  <dcterms:created xsi:type="dcterms:W3CDTF">2025-09-05T22:06:08Z</dcterms:created>
  <dcterms:modified xsi:type="dcterms:W3CDTF">2026-02-24T02:35:32Z</dcterms:modified>
</cp:coreProperties>
</file>