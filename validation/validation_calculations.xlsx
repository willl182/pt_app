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mogeneity" sheetId="1" state="visible" r:id="rId1"/>
    <sheet name="Stability" sheetId="2" state="visible" r:id="rId2"/>
    <sheet name="Robust_Stats" sheetId="3" state="visible" r:id="rId3"/>
    <sheet name="PT_Scores" sheetId="4" state="visible" r:id="rId4"/>
  </sheets>
</workbook>
</file>

<file path=xl/sharedStrings.xml><?xml version="1.0" encoding="utf-8"?>
<sst xmlns="http://schemas.openxmlformats.org/spreadsheetml/2006/main" count="87" uniqueCount="87">
  <si>
    <t xml:space="preserve">HOMOGENEITY VALIDATION - SO2 60-nmol/mol</t>
  </si>
  <si>
    <t xml:space="preserve">ISO 13528:2022 Section 9.2 - Between-sample and within-sample standard deviations</t>
  </si>
  <si>
    <t xml:space="preserve">Parameters</t>
  </si>
  <si>
    <t xml:space="preserve">g (samples)</t>
  </si>
  <si>
    <t xml:space="preserve">m (replicates)</t>
  </si>
  <si>
    <t xml:space="preserve">σ_pt (user input)</t>
  </si>
  <si>
    <t xml:space="preserve">Sample ID</t>
  </si>
  <si>
    <t xml:space="preserve">Replicate 1</t>
  </si>
  <si>
    <t xml:space="preserve">Replicate 2</t>
  </si>
  <si>
    <t xml:space="preserve">Sample Mean</t>
  </si>
  <si>
    <t xml:space="preserve">Range |R1-R2|</t>
  </si>
  <si>
    <t xml:space="preserve">Range²</t>
  </si>
  <si>
    <t xml:space="preserve">CALCULATED STATISTICS</t>
  </si>
  <si>
    <t xml:space="preserve">Grand Mean (x̄̄)</t>
  </si>
  <si>
    <t xml:space="preserve">s²_x̄ (Var of means)</t>
  </si>
  <si>
    <t xml:space="preserve">Σ(Range²)</t>
  </si>
  <si>
    <t xml:space="preserve">sw (within-sample SD)</t>
  </si>
  <si>
    <t xml:space="preserve">Formula: √(Σw²/(2g))</t>
  </si>
  <si>
    <t xml:space="preserve">sw²</t>
  </si>
  <si>
    <t xml:space="preserve">ss² (|s²_x̄ - sw²/m|)</t>
  </si>
  <si>
    <t xml:space="preserve">Formula: |s²_x̄ - sw²/m|</t>
  </si>
  <si>
    <t xml:space="preserve">ss (between-sample SD)</t>
  </si>
  <si>
    <t xml:space="preserve">Formula: √ss²</t>
  </si>
  <si>
    <t xml:space="preserve">HOMOGENEITY CRITERION</t>
  </si>
  <si>
    <t xml:space="preserve">c = 0.3 × σ_pt</t>
  </si>
  <si>
    <t xml:space="preserve">ss ≤ c ?</t>
  </si>
  <si>
    <t xml:space="preserve">STABILITY VALIDATION - SO2 60-nmol/mol</t>
  </si>
  <si>
    <t xml:space="preserve">ISO 13528:2022 Section 9.3 - Stability assessment</t>
  </si>
  <si>
    <t xml:space="preserve">HOMOGENEITY DATA</t>
  </si>
  <si>
    <t xml:space="preserve">Rep 1</t>
  </si>
  <si>
    <t xml:space="preserve">Rep 2</t>
  </si>
  <si>
    <t xml:space="preserve">Mean</t>
  </si>
  <si>
    <t xml:space="preserve">Homogeneity Grand Mean</t>
  </si>
  <si>
    <t xml:space="preserve">STABILITY DATA</t>
  </si>
  <si>
    <t xml:space="preserve">Stability Grand Mean</t>
  </si>
  <si>
    <t xml:space="preserve">STABILITY ASSESSMENT</t>
  </si>
  <si>
    <t xml:space="preserve">|Stab Mean - Hom Mean|</t>
  </si>
  <si>
    <t xml:space="preserve">Criterion c = 0.3 × σ_pt</t>
  </si>
  <si>
    <t xml:space="preserve">diff ≤ c ?</t>
  </si>
  <si>
    <t xml:space="preserve">ROBUST STATISTICS VALIDATION - SO2 60-nmol/mol</t>
  </si>
  <si>
    <t xml:space="preserve">ISO 13528:2022 Section 9.4 - MADe and nIQR calculations</t>
  </si>
  <si>
    <t xml:space="preserve">Values (xi)</t>
  </si>
  <si>
    <t xml:space="preserve">|xi - median|</t>
  </si>
  <si>
    <t xml:space="preserve">CALCULATIONS</t>
  </si>
  <si>
    <t xml:space="preserve">n (count)</t>
  </si>
  <si>
    <t xml:space="preserve">Median</t>
  </si>
  <si>
    <t xml:space="preserve">Q1 (25th percentile)</t>
  </si>
  <si>
    <t xml:space="preserve">Q3 (75th percentile)</t>
  </si>
  <si>
    <t xml:space="preserve">IQR (Q3 - Q1)</t>
  </si>
  <si>
    <t xml:space="preserve">nIQR = 0.7413 × IQR</t>
  </si>
  <si>
    <t xml:space="preserve">← Robust SD estimator</t>
  </si>
  <si>
    <t xml:space="preserve">MAD (median of |xi-median|)</t>
  </si>
  <si>
    <t xml:space="preserve">MADe = 1.483 × MAD</t>
  </si>
  <si>
    <t xml:space="preserve">COMPARISON (Classical)</t>
  </si>
  <si>
    <t xml:space="preserve">SD</t>
  </si>
  <si>
    <t xml:space="preserve">PT SCORES VALIDATION</t>
  </si>
  <si>
    <t xml:space="preserve">ISO 13528:2022 Section 10 - Performance scores</t>
  </si>
  <si>
    <t xml:space="preserve">ASSIGNED VALUE &amp; PARAMETERS (Example: SO2 60-nmol/mol)</t>
  </si>
  <si>
    <t xml:space="preserve">x_pt (assigned value)</t>
  </si>
  <si>
    <t xml:space="preserve">σ_pt (std dev for PT)</t>
  </si>
  <si>
    <t xml:space="preserve">u_xpt (std uncertainty of x_pt)</t>
  </si>
  <si>
    <t xml:space="preserve">U_xpt (expanded uncertainty, k=2)</t>
  </si>
  <si>
    <t xml:space="preserve">PARTICIPANT RESULTS</t>
  </si>
  <si>
    <t xml:space="preserve">Participant</t>
  </si>
  <si>
    <t xml:space="preserve">x (result)</t>
  </si>
  <si>
    <t xml:space="preserve">u_x (std unc)</t>
  </si>
  <si>
    <t xml:space="preserve">U_x (exp unc)</t>
  </si>
  <si>
    <t xml:space="preserve">z-score</t>
  </si>
  <si>
    <t xml:space="preserve">z'-score</t>
  </si>
  <si>
    <t xml:space="preserve">ζ-score</t>
  </si>
  <si>
    <t xml:space="preserve">En-score</t>
  </si>
  <si>
    <t xml:space="preserve">z Eval</t>
  </si>
  <si>
    <t xml:space="preserve">En Eval</t>
  </si>
  <si>
    <t xml:space="preserve">Lab A</t>
  </si>
  <si>
    <t xml:space="preserve">Lab B</t>
  </si>
  <si>
    <t xml:space="preserve">Lab C</t>
  </si>
  <si>
    <t xml:space="preserve">Lab D</t>
  </si>
  <si>
    <t xml:space="preserve">Lab E</t>
  </si>
  <si>
    <t xml:space="preserve">FORMULA REFERENCE</t>
  </si>
  <si>
    <t xml:space="preserve">z = (x - x_pt) / σ_pt</t>
  </si>
  <si>
    <t xml:space="preserve">z' = (x - x_pt) / √(σ_pt² + u_xpt²)</t>
  </si>
  <si>
    <t xml:space="preserve">ζ-score (zeta)</t>
  </si>
  <si>
    <t xml:space="preserve">ζ = (x - x_pt) / √(u_x² + u_xpt²)</t>
  </si>
  <si>
    <t xml:space="preserve">En = (x - x_pt) / √(U_x² + U_xpt²)</t>
  </si>
  <si>
    <t xml:space="preserve">EVALUATION CRITERIA</t>
  </si>
  <si>
    <t xml:space="preserve">|z| ≤ 2: Satisfactorio, 2 &lt; |z| &lt; 3: Cuestionable, |z| ≥ 3: No satisfactorio</t>
  </si>
  <si>
    <t xml:space="preserve">|En| ≤ 1: Satisfactorio, |En| &gt; 1: No satisfactorio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</si>
</sst>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  <font>
      <sz val="11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3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1.71" hidden="0" customWidth="1"/>
    <col min="2" max="2" width="11.71" hidden="0" customWidth="1"/>
    <col min="3" max="3" width="27.71" hidden="0" customWidth="1"/>
    <col min="4" max="4" width="11.71" hidden="0" customWidth="1"/>
    <col min="5" max="5" width="13.71" hidden="0" customWidth="1"/>
    <col min="6" max="6" width="7.71" hidden="0" customWidth="1"/>
  </cols>
  <sheetData>
    <row r="1">
      <c r="A1" s="1" t="s">
        <v>0</v>
      </c>
    </row>
    <row r="2">
      <c r="A2" t="s">
        <v>1</v>
      </c>
    </row>
    <row r="4">
      <c r="A4" s="2" t="s">
        <v>2</v>
      </c>
    </row>
    <row r="5">
      <c r="A5" t="s">
        <v>3</v>
      </c>
      <c r="B5" t="n">
        <v>10</v>
      </c>
    </row>
    <row r="6">
      <c r="A6" t="s">
        <v>4</v>
      </c>
      <c r="B6" t="n">
        <v>2</v>
      </c>
    </row>
    <row r="7">
      <c r="A7" t="s">
        <v>5</v>
      </c>
      <c r="B7" s="3" t="n">
        <v>0.6</v>
      </c>
    </row>
    <row r="9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</row>
    <row r="10">
      <c r="A10" t="n">
        <v>1</v>
      </c>
      <c r="B10" t="n">
        <v>59.8978494623656</v>
      </c>
      <c r="C10" t="n">
        <v>59.8387096774194</v>
      </c>
      <c r="D10" s="5" t="str">
        <f>AVERAGE(B10,C10)</f>
      </c>
      <c r="E10" s="5" t="str">
        <f>ABS(B10-C10)</f>
      </c>
      <c r="F10" s="5" t="str">
        <f>E10^2</f>
      </c>
    </row>
    <row r="11">
      <c r="A11" t="n">
        <v>2</v>
      </c>
      <c r="B11" t="n">
        <v>59.8150537634409</v>
      </c>
      <c r="C11" t="n">
        <v>59.9365591397849</v>
      </c>
      <c r="D11" s="5" t="str">
        <f>AVERAGE(B11,C11)</f>
      </c>
      <c r="E11" s="5" t="str">
        <f>ABS(B11-C11)</f>
      </c>
      <c r="F11" s="5" t="str">
        <f>E11^2</f>
      </c>
    </row>
    <row r="12">
      <c r="A12" t="n">
        <v>3</v>
      </c>
      <c r="B12" t="n">
        <v>59.9032258064516</v>
      </c>
      <c r="C12" t="n">
        <v>59.9462365591398</v>
      </c>
      <c r="D12" s="5" t="str">
        <f>AVERAGE(B12,C12)</f>
      </c>
      <c r="E12" s="5" t="str">
        <f>ABS(B12-C12)</f>
      </c>
      <c r="F12" s="5" t="str">
        <f>E12^2</f>
      </c>
    </row>
    <row r="13">
      <c r="A13" t="n">
        <v>4</v>
      </c>
      <c r="B13" t="n">
        <v>59.8731182795699</v>
      </c>
      <c r="C13" t="n">
        <v>59.9021505376344</v>
      </c>
      <c r="D13" s="5" t="str">
        <f>AVERAGE(B13,C13)</f>
      </c>
      <c r="E13" s="5" t="str">
        <f>ABS(B13-C13)</f>
      </c>
      <c r="F13" s="5" t="str">
        <f>E13^2</f>
      </c>
    </row>
    <row r="14">
      <c r="A14" t="n">
        <v>5</v>
      </c>
      <c r="B14" t="n">
        <v>59.9279569892473</v>
      </c>
      <c r="C14" t="n">
        <v>59.9118279569892</v>
      </c>
      <c r="D14" s="5" t="str">
        <f>AVERAGE(B14,C14)</f>
      </c>
      <c r="E14" s="5" t="str">
        <f>ABS(B14-C14)</f>
      </c>
      <c r="F14" s="5" t="str">
        <f>E14^2</f>
      </c>
    </row>
    <row r="15">
      <c r="A15" t="n">
        <v>6</v>
      </c>
      <c r="B15" t="n">
        <v>59.9139784946237</v>
      </c>
      <c r="C15" t="n">
        <v>59.9634408602151</v>
      </c>
      <c r="D15" s="5" t="str">
        <f>AVERAGE(B15,C15)</f>
      </c>
      <c r="E15" s="5" t="str">
        <f>ABS(B15-C15)</f>
      </c>
      <c r="F15" s="5" t="str">
        <f>E15^2</f>
      </c>
    </row>
    <row r="16">
      <c r="A16" t="n">
        <v>7</v>
      </c>
      <c r="B16" t="n">
        <v>59.9182795698925</v>
      </c>
      <c r="C16" t="n">
        <v>59.8333333333333</v>
      </c>
      <c r="D16" s="5" t="str">
        <f>AVERAGE(B16,C16)</f>
      </c>
      <c r="E16" s="5" t="str">
        <f>ABS(B16-C16)</f>
      </c>
      <c r="F16" s="5" t="str">
        <f>E16^2</f>
      </c>
    </row>
    <row r="17">
      <c r="A17" t="n">
        <v>8</v>
      </c>
      <c r="B17" t="n">
        <v>59.9301075268817</v>
      </c>
      <c r="C17" t="n">
        <v>59.9322580645161</v>
      </c>
      <c r="D17" s="5" t="str">
        <f>AVERAGE(B17,C17)</f>
      </c>
      <c r="E17" s="5" t="str">
        <f>ABS(B17-C17)</f>
      </c>
      <c r="F17" s="5" t="str">
        <f>E17^2</f>
      </c>
    </row>
    <row r="18">
      <c r="A18" t="n">
        <v>9</v>
      </c>
      <c r="B18" t="n">
        <v>59.8935483870968</v>
      </c>
      <c r="C18" t="n">
        <v>59.9075268817204</v>
      </c>
      <c r="D18" s="5" t="str">
        <f>AVERAGE(B18,C18)</f>
      </c>
      <c r="E18" s="5" t="str">
        <f>ABS(B18-C18)</f>
      </c>
      <c r="F18" s="5" t="str">
        <f>E18^2</f>
      </c>
    </row>
    <row r="19">
      <c r="A19" t="n">
        <v>10</v>
      </c>
      <c r="B19" t="n">
        <v>59.8784946236559</v>
      </c>
      <c r="C19" t="n">
        <v>59.8720430107527</v>
      </c>
      <c r="D19" s="5" t="str">
        <f>AVERAGE(B19,C19)</f>
      </c>
      <c r="E19" s="5" t="str">
        <f>ABS(B19-C19)</f>
      </c>
      <c r="F19" s="5" t="str">
        <f>E19^2</f>
      </c>
    </row>
    <row r="21">
      <c r="A21" s="2" t="s">
        <v>12</v>
      </c>
    </row>
    <row r="22">
      <c r="A22" t="s">
        <v>13</v>
      </c>
      <c r="B22" s="6" t="str">
        <f>AVERAGE(D10:D19)</f>
      </c>
    </row>
    <row r="23">
      <c r="A23" t="s">
        <v>14</v>
      </c>
      <c r="B23" s="6" t="str">
        <f>VAR.S(D10:D19)</f>
      </c>
    </row>
    <row r="24">
      <c r="A24" t="s">
        <v>15</v>
      </c>
      <c r="B24" t="str">
        <f>SUM(F10:F19)</f>
      </c>
    </row>
    <row r="25">
      <c r="A25" t="s">
        <v>16</v>
      </c>
      <c r="B25" s="6" t="str">
        <f>SQRT(B24/(2*B5))</f>
      </c>
      <c r="C25" t="s">
        <v>17</v>
      </c>
    </row>
    <row r="26">
      <c r="A26" t="s">
        <v>18</v>
      </c>
      <c r="B26" t="str">
        <f>B25^2</f>
      </c>
    </row>
    <row r="27">
      <c r="A27" t="s">
        <v>19</v>
      </c>
      <c r="B27" s="6" t="str">
        <f>ABS(B23-B26/B6)</f>
      </c>
      <c r="C27" t="s">
        <v>20</v>
      </c>
    </row>
    <row r="28">
      <c r="A28" t="s">
        <v>21</v>
      </c>
      <c r="B28" s="6" t="str">
        <f>SQRT(B27)</f>
      </c>
      <c r="C28" t="s">
        <v>22</v>
      </c>
    </row>
    <row r="30">
      <c r="A30" s="2" t="s">
        <v>23</v>
      </c>
    </row>
    <row r="31">
      <c r="A31" t="s">
        <v>24</v>
      </c>
      <c r="B31" s="6" t="str">
        <f>0.3*B7</f>
      </c>
    </row>
    <row r="32">
      <c r="A32" t="s">
        <v>25</v>
      </c>
      <c r="B32" s="6" t="str">
        <f>IF(B28&lt;=B31,"PASS","FAIL")</f>
      </c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0.9175" hidden="0" customWidth="1"/>
    <col min="2" max="2" width="11.71" hidden="0" customWidth="1"/>
    <col min="3" max="3" width="11.71" hidden="0" customWidth="1"/>
    <col min="4" max="4" width="4.71" hidden="0" customWidth="1"/>
  </cols>
  <sheetData>
    <row r="1">
      <c r="A1" s="1" t="s">
        <v>26</v>
      </c>
    </row>
    <row r="2">
      <c r="A2" t="s">
        <v>27</v>
      </c>
    </row>
    <row r="4">
      <c r="A4" s="2" t="s">
        <v>2</v>
      </c>
    </row>
    <row r="5">
      <c r="A5" t="s">
        <v>5</v>
      </c>
      <c r="B5" s="3" t="n">
        <v>0.6</v>
      </c>
    </row>
    <row r="7">
      <c r="A7" s="2" t="s">
        <v>28</v>
      </c>
    </row>
    <row r="8">
      <c r="A8" s="4" t="s">
        <v>6</v>
      </c>
      <c r="B8" s="4" t="s">
        <v>29</v>
      </c>
      <c r="C8" s="4" t="s">
        <v>30</v>
      </c>
      <c r="D8" s="4" t="s">
        <v>31</v>
      </c>
    </row>
    <row r="9">
      <c r="A9" t="n">
        <v>1</v>
      </c>
      <c r="B9" t="n">
        <v>59.8978494623656</v>
      </c>
      <c r="C9" t="n">
        <v>59.8387096774194</v>
      </c>
      <c r="D9" s="5" t="str">
        <f>AVERAGE(B9,C9)</f>
      </c>
    </row>
    <row r="10">
      <c r="A10" t="n">
        <v>2</v>
      </c>
      <c r="B10" t="n">
        <v>59.8150537634409</v>
      </c>
      <c r="C10" t="n">
        <v>59.9365591397849</v>
      </c>
      <c r="D10" s="5" t="str">
        <f>AVERAGE(B10,C10)</f>
      </c>
    </row>
    <row r="11">
      <c r="A11" t="n">
        <v>3</v>
      </c>
      <c r="B11" t="n">
        <v>59.9032258064516</v>
      </c>
      <c r="C11" t="n">
        <v>59.9462365591398</v>
      </c>
      <c r="D11" s="5" t="str">
        <f>AVERAGE(B11,C11)</f>
      </c>
    </row>
    <row r="12">
      <c r="A12" t="n">
        <v>4</v>
      </c>
      <c r="B12" t="n">
        <v>59.8731182795699</v>
      </c>
      <c r="C12" t="n">
        <v>59.9021505376344</v>
      </c>
      <c r="D12" s="5" t="str">
        <f>AVERAGE(B12,C12)</f>
      </c>
    </row>
    <row r="13">
      <c r="A13" t="n">
        <v>5</v>
      </c>
      <c r="B13" t="n">
        <v>59.9279569892473</v>
      </c>
      <c r="C13" t="n">
        <v>59.9118279569892</v>
      </c>
      <c r="D13" s="5" t="str">
        <f>AVERAGE(B13,C13)</f>
      </c>
    </row>
    <row r="14">
      <c r="A14" t="n">
        <v>6</v>
      </c>
      <c r="B14" t="n">
        <v>59.9139784946237</v>
      </c>
      <c r="C14" t="n">
        <v>59.9634408602151</v>
      </c>
      <c r="D14" s="5" t="str">
        <f>AVERAGE(B14,C14)</f>
      </c>
    </row>
    <row r="15">
      <c r="A15" t="n">
        <v>7</v>
      </c>
      <c r="B15" t="n">
        <v>59.9182795698925</v>
      </c>
      <c r="C15" t="n">
        <v>59.8333333333333</v>
      </c>
      <c r="D15" s="5" t="str">
        <f>AVERAGE(B15,C15)</f>
      </c>
    </row>
    <row r="16">
      <c r="A16" t="n">
        <v>8</v>
      </c>
      <c r="B16" t="n">
        <v>59.9301075268817</v>
      </c>
      <c r="C16" t="n">
        <v>59.9322580645161</v>
      </c>
      <c r="D16" s="5" t="str">
        <f>AVERAGE(B16,C16)</f>
      </c>
    </row>
    <row r="17">
      <c r="A17" t="n">
        <v>9</v>
      </c>
      <c r="B17" t="n">
        <v>59.8935483870968</v>
      </c>
      <c r="C17" t="n">
        <v>59.9075268817204</v>
      </c>
      <c r="D17" s="5" t="str">
        <f>AVERAGE(B17,C17)</f>
      </c>
    </row>
    <row r="18">
      <c r="A18" t="n">
        <v>10</v>
      </c>
      <c r="B18" t="n">
        <v>59.8784946236559</v>
      </c>
      <c r="C18" t="n">
        <v>59.8720430107527</v>
      </c>
      <c r="D18" s="5" t="str">
        <f>AVERAGE(B18,C18)</f>
      </c>
    </row>
    <row r="19">
      <c r="A19" s="2" t="s">
        <v>32</v>
      </c>
      <c r="D19" s="6" t="str">
        <f>AVERAGE(D9:D18)</f>
      </c>
    </row>
    <row r="22">
      <c r="A22" s="2" t="s">
        <v>33</v>
      </c>
    </row>
    <row r="23">
      <c r="A23" s="4" t="s">
        <v>6</v>
      </c>
      <c r="B23" s="4" t="s">
        <v>29</v>
      </c>
      <c r="C23" s="4" t="s">
        <v>30</v>
      </c>
      <c r="D23" s="4" t="s">
        <v>31</v>
      </c>
    </row>
    <row r="24">
      <c r="A24" t="n">
        <v>1</v>
      </c>
      <c r="B24" t="n">
        <v>59.8483870967742</v>
      </c>
      <c r="C24" t="n">
        <v>59.8193548387097</v>
      </c>
      <c r="D24" s="5" t="str">
        <f>AVERAGE(B24,C24)</f>
      </c>
    </row>
    <row r="25">
      <c r="A25" t="n">
        <v>2</v>
      </c>
      <c r="B25" t="n">
        <v>59.8494623655914</v>
      </c>
      <c r="C25" t="n">
        <v>59.9333333333333</v>
      </c>
      <c r="D25" s="5" t="str">
        <f>AVERAGE(B25,C25)</f>
      </c>
    </row>
    <row r="26">
      <c r="A26" s="2" t="s">
        <v>34</v>
      </c>
      <c r="D26" s="6" t="str">
        <f>AVERAGE(D24:D25)</f>
      </c>
    </row>
    <row r="29">
      <c r="A29" s="2" t="s">
        <v>35</v>
      </c>
    </row>
    <row r="30">
      <c r="A30" t="s">
        <v>36</v>
      </c>
      <c r="B30" s="6" t="str">
        <f>ABS(D26-D19)</f>
      </c>
    </row>
    <row r="31">
      <c r="A31" t="s">
        <v>37</v>
      </c>
      <c r="B31" s="6" t="str">
        <f>0.3*B5</f>
      </c>
    </row>
    <row r="32">
      <c r="A32" t="s">
        <v>38</v>
      </c>
      <c r="B32" s="6" t="str">
        <f>IF(B30&lt;=B31,"PASS","FAIL")</f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4875" hidden="0" customWidth="1"/>
    <col min="2" max="2" width="13.71" hidden="0" customWidth="1"/>
    <col min="3" max="3" width="23.71" hidden="0" customWidth="1"/>
  </cols>
  <sheetData>
    <row r="1">
      <c r="A1" s="1" t="s">
        <v>39</v>
      </c>
    </row>
    <row r="2">
      <c r="A2" t="s">
        <v>40</v>
      </c>
    </row>
    <row r="4">
      <c r="A4" s="2" t="s">
        <v>41</v>
      </c>
      <c r="B4" s="2" t="s">
        <v>42</v>
      </c>
    </row>
    <row r="5">
      <c r="A5" t="n">
        <v>59.902688172043</v>
      </c>
      <c r="B5" s="5" t="str">
        <f>ABS(A5-B20)</f>
      </c>
    </row>
    <row r="6">
      <c r="A6" t="n">
        <v>59.8831182795699</v>
      </c>
      <c r="B6" s="5" t="str">
        <f>ABS(A6-B20)</f>
      </c>
    </row>
    <row r="7">
      <c r="A7" t="n">
        <v>59.9029032258064</v>
      </c>
      <c r="B7" s="5" t="str">
        <f>ABS(A7-B20)</f>
      </c>
    </row>
    <row r="8">
      <c r="A8" t="n">
        <v>59.8802150537635</v>
      </c>
      <c r="B8" s="5" t="str">
        <f>ABS(A8-B20)</f>
      </c>
    </row>
    <row r="9">
      <c r="A9" t="n">
        <v>59.8877419354839</v>
      </c>
      <c r="B9" s="5" t="str">
        <f>ABS(A9-B20)</f>
      </c>
    </row>
    <row r="10">
      <c r="A10" t="n">
        <v>59.8931182795699</v>
      </c>
      <c r="B10" s="5" t="str">
        <f>ABS(A10-B20)</f>
      </c>
    </row>
    <row r="11">
      <c r="A11" t="n">
        <v>59.9041935483871</v>
      </c>
      <c r="B11" s="5" t="str">
        <f>ABS(A11-B20)</f>
      </c>
    </row>
    <row r="12">
      <c r="A12" t="n">
        <v>59.8850537634409</v>
      </c>
      <c r="B12" s="5" t="str">
        <f>ABS(A12-B20)</f>
      </c>
    </row>
    <row r="13">
      <c r="A13" t="n">
        <v>59.9122580645161</v>
      </c>
      <c r="B13" s="5" t="str">
        <f>ABS(A13-B20)</f>
      </c>
    </row>
    <row r="14">
      <c r="A14" t="n">
        <v>59.8769892473118</v>
      </c>
      <c r="B14" s="5" t="str">
        <f>ABS(A14-B20)</f>
      </c>
    </row>
    <row r="15">
      <c r="A15" t="n">
        <v>59.9201075268817</v>
      </c>
      <c r="B15" s="5" t="str">
        <f>ABS(A15-B20)</f>
      </c>
    </row>
    <row r="16">
      <c r="A16" t="n">
        <v>59.8829032258065</v>
      </c>
      <c r="B16" s="5" t="str">
        <f>ABS(A16-B20)</f>
      </c>
    </row>
    <row r="18">
      <c r="A18" s="2" t="s">
        <v>43</v>
      </c>
    </row>
    <row r="19">
      <c r="A19" t="s">
        <v>44</v>
      </c>
      <c r="B19" t="str">
        <f>COUNT(A5:A16)</f>
      </c>
    </row>
    <row r="20">
      <c r="A20" t="s">
        <v>45</v>
      </c>
      <c r="B20" s="6" t="str">
        <f>MEDIAN(A5:A16)</f>
      </c>
    </row>
    <row r="21">
      <c r="A21" t="s">
        <v>46</v>
      </c>
      <c r="B21" t="str">
        <f>QUARTILE.INC(A5:A16,1)</f>
      </c>
    </row>
    <row r="22">
      <c r="A22" t="s">
        <v>47</v>
      </c>
      <c r="B22" t="str">
        <f>QUARTILE.INC(A5:A16,3)</f>
      </c>
    </row>
    <row r="23">
      <c r="A23" t="s">
        <v>48</v>
      </c>
      <c r="B23" t="str">
        <f>B22-B21</f>
      </c>
    </row>
    <row r="24">
      <c r="A24" t="s">
        <v>49</v>
      </c>
      <c r="B24" s="6" t="str">
        <f>0.7413*B23</f>
      </c>
      <c r="C24" t="s">
        <v>50</v>
      </c>
    </row>
    <row r="25">
      <c r="A25" t="s">
        <v>51</v>
      </c>
      <c r="B25" t="str">
        <f>MEDIAN(B5:B16)</f>
      </c>
    </row>
    <row r="26">
      <c r="A26" t="s">
        <v>52</v>
      </c>
      <c r="B26" s="6" t="str">
        <f>1.483*B25</f>
      </c>
      <c r="C26" t="s">
        <v>50</v>
      </c>
    </row>
    <row r="28">
      <c r="A28" s="2" t="s">
        <v>53</v>
      </c>
    </row>
    <row r="29">
      <c r="A29" t="s">
        <v>31</v>
      </c>
      <c r="B29" t="str">
        <f>AVERAGE(A5:A16)</f>
      </c>
    </row>
    <row r="30">
      <c r="A30" t="s">
        <v>54</v>
      </c>
      <c r="B30" t="str">
        <f>STDEV.S(A5:A16)</f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8.71" hidden="0" customWidth="1"/>
    <col min="2" max="2" width="86.71" hidden="0" customWidth="1"/>
    <col min="3" max="3" width="13.71" hidden="0" customWidth="1"/>
    <col min="4" max="4" width="13.71" hidden="0" customWidth="1"/>
    <col min="5" max="5" width="7.71" hidden="0" customWidth="1"/>
    <col min="6" max="6" width="13.71" hidden="0" customWidth="1"/>
    <col min="7" max="7" width="8.71" hidden="0" customWidth="1"/>
    <col min="8" max="8" width="8.71" hidden="0" customWidth="1"/>
    <col min="9" max="9" width="6.71" hidden="0" customWidth="1"/>
    <col min="10" max="10" width="7.71" hidden="0" customWidth="1"/>
  </cols>
  <sheetData>
    <row r="1">
      <c r="A1" s="1" t="s">
        <v>55</v>
      </c>
    </row>
    <row r="2">
      <c r="A2" t="s">
        <v>56</v>
      </c>
    </row>
    <row r="4">
      <c r="A4" s="2" t="s">
        <v>57</v>
      </c>
    </row>
    <row r="5">
      <c r="A5" t="s">
        <v>58</v>
      </c>
      <c r="B5" s="3" t="n">
        <v>59.9</v>
      </c>
    </row>
    <row r="6">
      <c r="A6" t="s">
        <v>59</v>
      </c>
      <c r="B6" s="3" t="n">
        <v>0.6</v>
      </c>
    </row>
    <row r="7">
      <c r="A7" t="s">
        <v>60</v>
      </c>
      <c r="B7" s="3" t="n">
        <v>0.1</v>
      </c>
    </row>
    <row r="8">
      <c r="A8" t="s">
        <v>61</v>
      </c>
      <c r="B8" s="3" t="n">
        <v>0.2</v>
      </c>
    </row>
    <row r="10">
      <c r="A10" s="2" t="s">
        <v>62</v>
      </c>
    </row>
    <row r="11">
      <c r="A11" s="4" t="s">
        <v>63</v>
      </c>
      <c r="B11" s="4" t="s">
        <v>64</v>
      </c>
      <c r="C11" s="4" t="s">
        <v>65</v>
      </c>
      <c r="D11" s="4" t="s">
        <v>66</v>
      </c>
      <c r="E11" s="4" t="s">
        <v>67</v>
      </c>
      <c r="F11" s="4" t="s">
        <v>68</v>
      </c>
      <c r="G11" s="4" t="s">
        <v>69</v>
      </c>
      <c r="H11" s="4" t="s">
        <v>70</v>
      </c>
      <c r="I11" s="4" t="s">
        <v>71</v>
      </c>
      <c r="J11" s="4" t="s">
        <v>72</v>
      </c>
    </row>
    <row r="12">
      <c r="A12" t="s">
        <v>73</v>
      </c>
      <c r="B12" s="3" t="n">
        <v>59.95</v>
      </c>
      <c r="C12" s="3" t="n">
        <v>0.15</v>
      </c>
      <c r="D12" s="3" t="n">
        <v>0.3</v>
      </c>
      <c r="E12" s="5" t="str">
        <f>(B12-$B$5)/$B$6</f>
      </c>
      <c r="F12" s="5" t="str">
        <f>(B12-$B$5)/SQRT($B$6^2+$B$7^2)</f>
      </c>
      <c r="G12" s="5" t="str">
        <f>(B12-$B$5)/SQRT(C12^2+$B$7^2)</f>
      </c>
      <c r="H12" s="5" t="str">
        <f>(B12-$B$5)/SQRT(D12^2+$B$8^2)</f>
      </c>
      <c r="I12" s="5" t="str">
        <f>IF(ABS(E12)&lt;=2,"Satisfactorio",IF(ABS(E12)&lt;3,"Cuestionable","No satisfactorio"))</f>
      </c>
      <c r="J12" s="5" t="str">
        <f>IF(ABS(H12)&lt;=1,"Satisfactorio","No satisfactorio")</f>
      </c>
    </row>
    <row r="13">
      <c r="A13" t="s">
        <v>74</v>
      </c>
      <c r="B13" s="3" t="n">
        <v>59.8</v>
      </c>
      <c r="C13" s="3" t="n">
        <v>0.2</v>
      </c>
      <c r="D13" s="3" t="n">
        <v>0.4</v>
      </c>
      <c r="E13" s="5" t="str">
        <f>(B13-$B$5)/$B$6</f>
      </c>
      <c r="F13" s="5" t="str">
        <f>(B13-$B$5)/SQRT($B$6^2+$B$7^2)</f>
      </c>
      <c r="G13" s="5" t="str">
        <f>(B13-$B$5)/SQRT(C13^2+$B$7^2)</f>
      </c>
      <c r="H13" s="5" t="str">
        <f>(B13-$B$5)/SQRT(D13^2+$B$8^2)</f>
      </c>
      <c r="I13" s="5" t="str">
        <f>IF(ABS(E13)&lt;=2,"Satisfactorio",IF(ABS(E13)&lt;3,"Cuestionable","No satisfactorio"))</f>
      </c>
      <c r="J13" s="5" t="str">
        <f>IF(ABS(H13)&lt;=1,"Satisfactorio","No satisfactorio")</f>
      </c>
    </row>
    <row r="14">
      <c r="A14" t="s">
        <v>75</v>
      </c>
      <c r="B14" s="3" t="n">
        <v>60.5</v>
      </c>
      <c r="C14" s="3" t="n">
        <v>0.1</v>
      </c>
      <c r="D14" s="3" t="n">
        <v>0.2</v>
      </c>
      <c r="E14" s="5" t="str">
        <f>(B14-$B$5)/$B$6</f>
      </c>
      <c r="F14" s="5" t="str">
        <f>(B14-$B$5)/SQRT($B$6^2+$B$7^2)</f>
      </c>
      <c r="G14" s="5" t="str">
        <f>(B14-$B$5)/SQRT(C14^2+$B$7^2)</f>
      </c>
      <c r="H14" s="5" t="str">
        <f>(B14-$B$5)/SQRT(D14^2+$B$8^2)</f>
      </c>
      <c r="I14" s="5" t="str">
        <f>IF(ABS(E14)&lt;=2,"Satisfactorio",IF(ABS(E14)&lt;3,"Cuestionable","No satisfactorio"))</f>
      </c>
      <c r="J14" s="5" t="str">
        <f>IF(ABS(H14)&lt;=1,"Satisfactorio","No satisfactorio")</f>
      </c>
    </row>
    <row r="15">
      <c r="A15" t="s">
        <v>76</v>
      </c>
      <c r="B15" s="3" t="n">
        <v>59.9</v>
      </c>
      <c r="C15" s="3" t="n">
        <v>0.25</v>
      </c>
      <c r="D15" s="3" t="n">
        <v>0.5</v>
      </c>
      <c r="E15" s="5" t="str">
        <f>(B15-$B$5)/$B$6</f>
      </c>
      <c r="F15" s="5" t="str">
        <f>(B15-$B$5)/SQRT($B$6^2+$B$7^2)</f>
      </c>
      <c r="G15" s="5" t="str">
        <f>(B15-$B$5)/SQRT(C15^2+$B$7^2)</f>
      </c>
      <c r="H15" s="5" t="str">
        <f>(B15-$B$5)/SQRT(D15^2+$B$8^2)</f>
      </c>
      <c r="I15" s="5" t="str">
        <f>IF(ABS(E15)&lt;=2,"Satisfactorio",IF(ABS(E15)&lt;3,"Cuestionable","No satisfactorio"))</f>
      </c>
      <c r="J15" s="5" t="str">
        <f>IF(ABS(H15)&lt;=1,"Satisfactorio","No satisfactorio")</f>
      </c>
    </row>
    <row r="16">
      <c r="A16" t="s">
        <v>77</v>
      </c>
      <c r="B16" s="3" t="n">
        <v>58.5</v>
      </c>
      <c r="C16" s="3" t="n">
        <v>0.3</v>
      </c>
      <c r="D16" s="3" t="n">
        <v>0.6</v>
      </c>
      <c r="E16" s="5" t="str">
        <f>(B16-$B$5)/$B$6</f>
      </c>
      <c r="F16" s="5" t="str">
        <f>(B16-$B$5)/SQRT($B$6^2+$B$7^2)</f>
      </c>
      <c r="G16" s="5" t="str">
        <f>(B16-$B$5)/SQRT(C16^2+$B$7^2)</f>
      </c>
      <c r="H16" s="5" t="str">
        <f>(B16-$B$5)/SQRT(D16^2+$B$8^2)</f>
      </c>
      <c r="I16" s="5" t="str">
        <f>IF(ABS(E16)&lt;=2,"Satisfactorio",IF(ABS(E16)&lt;3,"Cuestionable","No satisfactorio"))</f>
      </c>
      <c r="J16" s="5" t="str">
        <f>IF(ABS(H16)&lt;=1,"Satisfactorio","No satisfactorio")</f>
      </c>
    </row>
    <row r="18">
      <c r="A18" s="2" t="s">
        <v>78</v>
      </c>
    </row>
    <row r="19">
      <c r="A19" t="s">
        <v>67</v>
      </c>
      <c r="B19" t="s">
        <v>79</v>
      </c>
    </row>
    <row r="20">
      <c r="A20" t="s">
        <v>68</v>
      </c>
      <c r="B20" t="s">
        <v>80</v>
      </c>
    </row>
    <row r="21">
      <c r="A21" t="s">
        <v>81</v>
      </c>
      <c r="B21" t="s">
        <v>82</v>
      </c>
    </row>
    <row r="22">
      <c r="A22" t="s">
        <v>70</v>
      </c>
      <c r="B22" t="s">
        <v>83</v>
      </c>
    </row>
    <row r="24">
      <c r="A24" s="2" t="s">
        <v>84</v>
      </c>
    </row>
    <row r="25">
      <c r="A25" t="s">
        <v>67</v>
      </c>
      <c r="B25" t="s">
        <v>85</v>
      </c>
    </row>
    <row r="26">
      <c r="A26" t="s">
        <v>70</v>
      </c>
      <c r="B26" t="s">
        <v>86</v>
      </c>
    </row>
  </sheetData>
  <mergeCells count="2">
    <mergeCell ref="A1:J1"/>
    <mergeCell ref="A2:J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2026-01-21T10:40:08Z</dcterms:created>
</coreProperties>
</file>