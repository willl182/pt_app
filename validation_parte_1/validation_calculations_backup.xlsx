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mogeneity" sheetId="1" state="visible" r:id="rId1"/>
    <sheet name="Stability" sheetId="2" state="visible" r:id="rId2"/>
    <sheet name="Robust_Stats" sheetId="3" state="visible" r:id="rId3"/>
    <sheet name="Algorithm_A" sheetId="4" state="visible" r:id="rId4"/>
    <sheet name="Multi_Pollutant" sheetId="5" state="visible" r:id="rId5"/>
    <sheet name="PT_Scores" sheetId="6" state="visible" r:id="rId6"/>
  </sheets>
</workbook>
</file>

<file path=xl/sharedStrings.xml><?xml version="1.0" encoding="utf-8"?>
<sst xmlns="http://schemas.openxmlformats.org/spreadsheetml/2006/main" count="174" uniqueCount="174">
  <si>
    <t xml:space="preserve">HOMOGENEITY VALIDATION - SO2 60-nmol/mol</t>
  </si>
  <si>
    <t xml:space="preserve">ISO 13528:2022 Section 9.2 - Between-sample and within-sample standard deviations</t>
  </si>
  <si>
    <t xml:space="preserve">Parameters</t>
  </si>
  <si>
    <t xml:space="preserve">g (samples)</t>
  </si>
  <si>
    <t xml:space="preserve">m (replicates)</t>
  </si>
  <si>
    <t xml:space="preserve">σ_pt (user input)</t>
  </si>
  <si>
    <t xml:space="preserve">Sample ID</t>
  </si>
  <si>
    <t xml:space="preserve">Replicate 1</t>
  </si>
  <si>
    <t xml:space="preserve">Replicate 2</t>
  </si>
  <si>
    <t xml:space="preserve">Sample Mean</t>
  </si>
  <si>
    <t xml:space="preserve">Range |R1-R2|</t>
  </si>
  <si>
    <t xml:space="preserve">Range²</t>
  </si>
  <si>
    <t xml:space="preserve">CALCULATED STATISTICS</t>
  </si>
  <si>
    <t xml:space="preserve">Grand Mean (x̄̄)</t>
  </si>
  <si>
    <t xml:space="preserve">s²_x̄ (Var of means)</t>
  </si>
  <si>
    <t xml:space="preserve">Σ(Range²)</t>
  </si>
  <si>
    <t xml:space="preserve">sw (within-sample SD)</t>
  </si>
  <si>
    <t xml:space="preserve">Formula: √(Σw²/(2g))</t>
  </si>
  <si>
    <t xml:space="preserve">sw²</t>
  </si>
  <si>
    <t xml:space="preserve">ss² (|s²_x̄ - sw²/m|)</t>
  </si>
  <si>
    <t xml:space="preserve">Formula: |s²_x̄ - sw²/m|</t>
  </si>
  <si>
    <t xml:space="preserve">ss (between-sample SD)</t>
  </si>
  <si>
    <t xml:space="preserve">Formula: √ss²</t>
  </si>
  <si>
    <t xml:space="preserve">HOMOGENEITY CRITERION</t>
  </si>
  <si>
    <t xml:space="preserve">c = 0.3 × σ_pt</t>
  </si>
  <si>
    <t xml:space="preserve">ss ≤ c ?</t>
  </si>
  <si>
    <t xml:space="preserve">STABILITY VALIDATION - SO2 60-nmol/mol</t>
  </si>
  <si>
    <t xml:space="preserve">ISO 13528:2022 Section 9.3 - Stability assessment</t>
  </si>
  <si>
    <t xml:space="preserve">HOMOGENEITY DATA</t>
  </si>
  <si>
    <t xml:space="preserve">Rep 1</t>
  </si>
  <si>
    <t xml:space="preserve">Rep 2</t>
  </si>
  <si>
    <t xml:space="preserve">Mean</t>
  </si>
  <si>
    <t xml:space="preserve">Homogeneity Grand Mean</t>
  </si>
  <si>
    <t xml:space="preserve">STABILITY DATA</t>
  </si>
  <si>
    <t xml:space="preserve">Stability Grand Mean</t>
  </si>
  <si>
    <t xml:space="preserve">STABILITY ASSESSMENT</t>
  </si>
  <si>
    <t xml:space="preserve">|Stab Mean - Hom Mean|</t>
  </si>
  <si>
    <t xml:space="preserve">Criterion c = 0.3 × σ_pt</t>
  </si>
  <si>
    <t xml:space="preserve">diff ≤ c ?</t>
  </si>
  <si>
    <t xml:space="preserve">ROBUST STATISTICS VALIDATION - SO2 60-nmol/mol</t>
  </si>
  <si>
    <t xml:space="preserve">ISO 13528:2022 Section 9.4 - MADe and nIQR calculations</t>
  </si>
  <si>
    <t xml:space="preserve">Values (xi)</t>
  </si>
  <si>
    <t xml:space="preserve">|xi - median|</t>
  </si>
  <si>
    <t xml:space="preserve">CALCULATIONS</t>
  </si>
  <si>
    <t xml:space="preserve">n (count)</t>
  </si>
  <si>
    <t xml:space="preserve">Median</t>
  </si>
  <si>
    <t xml:space="preserve">Q1 (25th percentile)</t>
  </si>
  <si>
    <t xml:space="preserve">Q3 (75th percentile)</t>
  </si>
  <si>
    <t xml:space="preserve">IQR (Q3 - Q1)</t>
  </si>
  <si>
    <t xml:space="preserve">nIQR = 0.7413 × IQR</t>
  </si>
  <si>
    <t xml:space="preserve">← Robust SD estimator</t>
  </si>
  <si>
    <t xml:space="preserve">MAD (median of |xi-median|)</t>
  </si>
  <si>
    <t xml:space="preserve">MADe = 1.483 × MAD</t>
  </si>
  <si>
    <t xml:space="preserve">COMPARISON (Classical)</t>
  </si>
  <si>
    <t xml:space="preserve">SD</t>
  </si>
  <si>
    <t xml:space="preserve">ALGORITHM A VALIDATION - SO2 60-nmol/mol</t>
  </si>
  <si>
    <t xml:space="preserve">ISO 13528:2022 Annex C - Iterative Robust Estimation (Algorithm A)</t>
  </si>
  <si>
    <t xml:space="preserve">ALGORITHM PARAMETERS</t>
  </si>
  <si>
    <t xml:space="preserve">Huber constant (c)</t>
  </si>
  <si>
    <t xml:space="preserve">← Weight cutoff: |u| &lt;= 1</t>
  </si>
  <si>
    <t xml:space="preserve">MAD scale factor</t>
  </si>
  <si>
    <t xml:space="preserve">← Makes MAD consistent for normal distribution</t>
  </si>
  <si>
    <t xml:space="preserve">Tolerance</t>
  </si>
  <si>
    <t xml:space="preserve">INPUT DATA (xi)</t>
  </si>
  <si>
    <t xml:space="preserve">i</t>
  </si>
  <si>
    <t xml:space="preserve">xi</t>
  </si>
  <si>
    <t xml:space="preserve">INITIAL ESTIMATES (Iteration 0)</t>
  </si>
  <si>
    <t xml:space="preserve">MAD (median of |xi - median|)</t>
  </si>
  <si>
    <t xml:space="preserve">x*₀ = median</t>
  </si>
  <si>
    <t xml:space="preserve">s*₀ = 1.483 × MAD</t>
  </si>
  <si>
    <t xml:space="preserve">ITERATION 1 DETAIL</t>
  </si>
  <si>
    <t xml:space="preserve">ui = (xi-x*₀)/(1.5×s*₀)</t>
  </si>
  <si>
    <t xml:space="preserve">|ui|</t>
  </si>
  <si>
    <t xml:space="preserve">wi</t>
  </si>
  <si>
    <t xml:space="preserve">wi×xi</t>
  </si>
  <si>
    <t xml:space="preserve">wi×(xi-x*₁)²</t>
  </si>
  <si>
    <t xml:space="preserve">Σ</t>
  </si>
  <si>
    <t xml:space="preserve">x*₁ = Σ(wi×xi) / Σwi</t>
  </si>
  <si>
    <t xml:space="preserve">s*₁ = √(Σ(wi×(xi-x*₁)²) / Σwi)</t>
  </si>
  <si>
    <t xml:space="preserve">Δx* = |x*₁ - x*₀|</t>
  </si>
  <si>
    <t xml:space="preserve">Δs* = |s*₁ - s*₀|</t>
  </si>
  <si>
    <t xml:space="preserve">Converged? (Δ &lt; tol)</t>
  </si>
  <si>
    <t xml:space="preserve">ITERATION SUMMARY</t>
  </si>
  <si>
    <t xml:space="preserve">Iteration</t>
  </si>
  <si>
    <t xml:space="preserve">x*</t>
  </si>
  <si>
    <t xml:space="preserve">s*</t>
  </si>
  <si>
    <t xml:space="preserve">Δx*</t>
  </si>
  <si>
    <t xml:space="preserve">Δs*</t>
  </si>
  <si>
    <t xml:space="preserve">Converged</t>
  </si>
  <si>
    <t xml:space="preserve">-</t>
  </si>
  <si>
    <t xml:space="preserve">FINAL RESULTS (after convergence)</t>
  </si>
  <si>
    <t xml:space="preserve">x* (Robust Mean / Assigned Value)</t>
  </si>
  <si>
    <t xml:space="preserve">s* (Robust SD)</t>
  </si>
  <si>
    <t xml:space="preserve">Effective n (Σwi)</t>
  </si>
  <si>
    <t xml:space="preserve">FORMULA REFERENCE (ISO 13528:2022 Annex C)</t>
  </si>
  <si>
    <t xml:space="preserve">Initial x*</t>
  </si>
  <si>
    <t xml:space="preserve">x*₀ = median(xi)</t>
  </si>
  <si>
    <t xml:space="preserve">Initial s*</t>
  </si>
  <si>
    <t xml:space="preserve">s*₀ = 1.483 × median(|xi - median|)</t>
  </si>
  <si>
    <t xml:space="preserve">Standardized residual</t>
  </si>
  <si>
    <t xml:space="preserve">ui = (xi - x*) / (1.5 × s*)</t>
  </si>
  <si>
    <t xml:space="preserve">Weights</t>
  </si>
  <si>
    <t xml:space="preserve">wi = 1 if |ui| ≤ 1, else wi = 1/ui²</t>
  </si>
  <si>
    <t xml:space="preserve">Updated x*</t>
  </si>
  <si>
    <t xml:space="preserve">x* = Σ(wi × xi) / Σwi</t>
  </si>
  <si>
    <t xml:space="preserve">Updated s*</t>
  </si>
  <si>
    <t xml:space="preserve">s* = √(Σ(wi × (xi - x*)²) / Σwi)</t>
  </si>
  <si>
    <t xml:space="preserve">MULTI-POLLUTANT ROBUST STATISTICS COMPARISON</t>
  </si>
  <si>
    <t xml:space="preserve">ISO 13528:2022 - Robust estimates for all pollutants at selected levels</t>
  </si>
  <si>
    <t xml:space="preserve">CO 4-μmol/mol (n=12)</t>
  </si>
  <si>
    <t xml:space="preserve">Statistic</t>
  </si>
  <si>
    <t xml:space="preserve">Value</t>
  </si>
  <si>
    <t xml:space="preserve">Formula</t>
  </si>
  <si>
    <t xml:space="preserve">n</t>
  </si>
  <si>
    <t xml:space="preserve">MEDIAN(xi)</t>
  </si>
  <si>
    <t xml:space="preserve">AVERAGE(xi)</t>
  </si>
  <si>
    <t xml:space="preserve">STDEV.S(xi)</t>
  </si>
  <si>
    <t xml:space="preserve">Q1</t>
  </si>
  <si>
    <t xml:space="preserve">Q3</t>
  </si>
  <si>
    <t xml:space="preserve">IQR</t>
  </si>
  <si>
    <t xml:space="preserve">Q3 - Q1</t>
  </si>
  <si>
    <t xml:space="preserve">nIQR</t>
  </si>
  <si>
    <t xml:space="preserve">0.7413 × IQR</t>
  </si>
  <si>
    <t xml:space="preserve">MADe</t>
  </si>
  <si>
    <t xml:space="preserve">(computed)</t>
  </si>
  <si>
    <t xml:space="preserve">1.483 × median(|xi-median|)</t>
  </si>
  <si>
    <t xml:space="preserve">NO 121-nmol/mol (n=12)</t>
  </si>
  <si>
    <t xml:space="preserve">NO2 60-nmol/mol (n=12)</t>
  </si>
  <si>
    <t xml:space="preserve">O3 80-nmol/mol (n=12)</t>
  </si>
  <si>
    <t xml:space="preserve">SO2 60-nmol/mol (n=12)</t>
  </si>
  <si>
    <t xml:space="preserve">SUMMARY COMPARISON TABLE</t>
  </si>
  <si>
    <t xml:space="preserve">Pollutant</t>
  </si>
  <si>
    <t xml:space="preserve">Level</t>
  </si>
  <si>
    <t xml:space="preserve">CO</t>
  </si>
  <si>
    <t xml:space="preserve">4-μmol/mol</t>
  </si>
  <si>
    <t xml:space="preserve">NO</t>
  </si>
  <si>
    <t xml:space="preserve">121-nmol/mol</t>
  </si>
  <si>
    <t xml:space="preserve">NO2</t>
  </si>
  <si>
    <t xml:space="preserve">60-nmol/mol</t>
  </si>
  <si>
    <t xml:space="preserve">O3</t>
  </si>
  <si>
    <t xml:space="preserve">80-nmol/mol</t>
  </si>
  <si>
    <t xml:space="preserve">SO2</t>
  </si>
  <si>
    <t xml:space="preserve">PT SCORES VALIDATION</t>
  </si>
  <si>
    <t xml:space="preserve">ISO 13528:2022 Section 10 - Performance scores</t>
  </si>
  <si>
    <t xml:space="preserve">ASSIGNED VALUE &amp; PARAMETERS (Example: SO2 60-nmol/mol)</t>
  </si>
  <si>
    <t xml:space="preserve">x_pt (assigned value)</t>
  </si>
  <si>
    <t xml:space="preserve">σ_pt (std dev for PT)</t>
  </si>
  <si>
    <t xml:space="preserve">u_xpt (std uncertainty of x_pt)</t>
  </si>
  <si>
    <t xml:space="preserve">U_xpt (expanded uncertainty, k=2)</t>
  </si>
  <si>
    <t xml:space="preserve">PARTICIPANT RESULTS</t>
  </si>
  <si>
    <t xml:space="preserve">Participant</t>
  </si>
  <si>
    <t xml:space="preserve">x (result)</t>
  </si>
  <si>
    <t xml:space="preserve">u_x (std unc)</t>
  </si>
  <si>
    <t xml:space="preserve">U_x (exp unc)</t>
  </si>
  <si>
    <t xml:space="preserve">z-score</t>
  </si>
  <si>
    <t xml:space="preserve">z'-score</t>
  </si>
  <si>
    <t xml:space="preserve">ζ-score</t>
  </si>
  <si>
    <t xml:space="preserve">En-score</t>
  </si>
  <si>
    <t xml:space="preserve">z Eval</t>
  </si>
  <si>
    <t xml:space="preserve">En Eval</t>
  </si>
  <si>
    <t xml:space="preserve">Lab A</t>
  </si>
  <si>
    <t xml:space="preserve">Lab B</t>
  </si>
  <si>
    <t xml:space="preserve">Lab C</t>
  </si>
  <si>
    <t xml:space="preserve">Lab D</t>
  </si>
  <si>
    <t xml:space="preserve">Lab E</t>
  </si>
  <si>
    <t xml:space="preserve">FORMULA REFERENCE</t>
  </si>
  <si>
    <t xml:space="preserve">z = (x - x_pt) / σ_pt</t>
  </si>
  <si>
    <t xml:space="preserve">z' = (x - x_pt) / √(σ_pt² + u_xpt²)</t>
  </si>
  <si>
    <t xml:space="preserve">ζ-score (zeta)</t>
  </si>
  <si>
    <t xml:space="preserve">ζ = (x - x_pt) / √(u_x² + u_xpt²)</t>
  </si>
  <si>
    <t xml:space="preserve">En = (x - x_pt) / √(U_x² + U_xpt²)</t>
  </si>
  <si>
    <t xml:space="preserve">EVALUATION CRITERIA</t>
  </si>
  <si>
    <t xml:space="preserve">|z| ≤ 2: Satisfactorio, 2 &lt; |z| &lt; 3: Cuestionable, |z| ≥ 3: No satisfactorio</t>
  </si>
  <si>
    <t xml:space="preserve">|En| ≤ 1: Satisfactorio, |En| &gt; 1: No satisfactorio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</si>
</sst>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FFFFFF"/>
      <name val="Calibri"/>
      <b/>
    </font>
    <font>
      <sz val="11"/>
      <color rgb="FF0000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E2EFDA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5" fillId="0" borderId="0" xfId="0" applyFont="1"/>
    <xf numFmtId="0" fontId="3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1.71" hidden="0" customWidth="1"/>
    <col min="2" max="2" width="11.71" hidden="0" customWidth="1"/>
    <col min="3" max="3" width="27.71" hidden="0" customWidth="1"/>
    <col min="4" max="4" width="11.71" hidden="0" customWidth="1"/>
    <col min="5" max="5" width="13.71" hidden="0" customWidth="1"/>
    <col min="6" max="6" width="7.71" hidden="0" customWidth="1"/>
  </cols>
  <sheetData>
    <row r="1">
      <c r="A1" s="1" t="s">
        <v>0</v>
      </c>
    </row>
    <row r="2">
      <c r="A2" t="s">
        <v>1</v>
      </c>
    </row>
    <row r="4">
      <c r="A4" s="2" t="s">
        <v>2</v>
      </c>
    </row>
    <row r="5">
      <c r="A5" t="s">
        <v>3</v>
      </c>
      <c r="B5" t="n">
        <v>10</v>
      </c>
    </row>
    <row r="6">
      <c r="A6" t="s">
        <v>4</v>
      </c>
      <c r="B6" t="n">
        <v>2</v>
      </c>
    </row>
    <row r="7">
      <c r="A7" t="s">
        <v>5</v>
      </c>
      <c r="B7" s="3" t="n">
        <v>0.6</v>
      </c>
    </row>
    <row r="9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</row>
    <row r="10">
      <c r="A10" t="n">
        <v>1</v>
      </c>
      <c r="B10" t="n">
        <v>59.8978494623656</v>
      </c>
      <c r="C10" t="n">
        <v>59.8387096774194</v>
      </c>
      <c r="D10" s="5" t="str">
        <f>AVERAGE(B10,C10)</f>
      </c>
      <c r="E10" s="5" t="str">
        <f>ABS(B10-C10)</f>
      </c>
      <c r="F10" s="5" t="str">
        <f>E10^2</f>
      </c>
    </row>
    <row r="11">
      <c r="A11" t="n">
        <v>2</v>
      </c>
      <c r="B11" t="n">
        <v>59.8150537634409</v>
      </c>
      <c r="C11" t="n">
        <v>59.9365591397849</v>
      </c>
      <c r="D11" s="5" t="str">
        <f>AVERAGE(B11,C11)</f>
      </c>
      <c r="E11" s="5" t="str">
        <f>ABS(B11-C11)</f>
      </c>
      <c r="F11" s="5" t="str">
        <f>E11^2</f>
      </c>
    </row>
    <row r="12">
      <c r="A12" t="n">
        <v>3</v>
      </c>
      <c r="B12" t="n">
        <v>59.9032258064516</v>
      </c>
      <c r="C12" t="n">
        <v>59.9462365591398</v>
      </c>
      <c r="D12" s="5" t="str">
        <f>AVERAGE(B12,C12)</f>
      </c>
      <c r="E12" s="5" t="str">
        <f>ABS(B12-C12)</f>
      </c>
      <c r="F12" s="5" t="str">
        <f>E12^2</f>
      </c>
    </row>
    <row r="13">
      <c r="A13" t="n">
        <v>4</v>
      </c>
      <c r="B13" t="n">
        <v>59.8731182795699</v>
      </c>
      <c r="C13" t="n">
        <v>59.9021505376344</v>
      </c>
      <c r="D13" s="5" t="str">
        <f>AVERAGE(B13,C13)</f>
      </c>
      <c r="E13" s="5" t="str">
        <f>ABS(B13-C13)</f>
      </c>
      <c r="F13" s="5" t="str">
        <f>E13^2</f>
      </c>
    </row>
    <row r="14">
      <c r="A14" t="n">
        <v>5</v>
      </c>
      <c r="B14" t="n">
        <v>59.9279569892473</v>
      </c>
      <c r="C14" t="n">
        <v>59.9118279569892</v>
      </c>
      <c r="D14" s="5" t="str">
        <f>AVERAGE(B14,C14)</f>
      </c>
      <c r="E14" s="5" t="str">
        <f>ABS(B14-C14)</f>
      </c>
      <c r="F14" s="5" t="str">
        <f>E14^2</f>
      </c>
    </row>
    <row r="15">
      <c r="A15" t="n">
        <v>6</v>
      </c>
      <c r="B15" t="n">
        <v>59.9139784946237</v>
      </c>
      <c r="C15" t="n">
        <v>59.9634408602151</v>
      </c>
      <c r="D15" s="5" t="str">
        <f>AVERAGE(B15,C15)</f>
      </c>
      <c r="E15" s="5" t="str">
        <f>ABS(B15-C15)</f>
      </c>
      <c r="F15" s="5" t="str">
        <f>E15^2</f>
      </c>
    </row>
    <row r="16">
      <c r="A16" t="n">
        <v>7</v>
      </c>
      <c r="B16" t="n">
        <v>59.9182795698925</v>
      </c>
      <c r="C16" t="n">
        <v>59.8333333333333</v>
      </c>
      <c r="D16" s="5" t="str">
        <f>AVERAGE(B16,C16)</f>
      </c>
      <c r="E16" s="5" t="str">
        <f>ABS(B16-C16)</f>
      </c>
      <c r="F16" s="5" t="str">
        <f>E16^2</f>
      </c>
    </row>
    <row r="17">
      <c r="A17" t="n">
        <v>8</v>
      </c>
      <c r="B17" t="n">
        <v>59.9301075268817</v>
      </c>
      <c r="C17" t="n">
        <v>59.9322580645161</v>
      </c>
      <c r="D17" s="5" t="str">
        <f>AVERAGE(B17,C17)</f>
      </c>
      <c r="E17" s="5" t="str">
        <f>ABS(B17-C17)</f>
      </c>
      <c r="F17" s="5" t="str">
        <f>E17^2</f>
      </c>
    </row>
    <row r="18">
      <c r="A18" t="n">
        <v>9</v>
      </c>
      <c r="B18" t="n">
        <v>59.8935483870968</v>
      </c>
      <c r="C18" t="n">
        <v>59.9075268817204</v>
      </c>
      <c r="D18" s="5" t="str">
        <f>AVERAGE(B18,C18)</f>
      </c>
      <c r="E18" s="5" t="str">
        <f>ABS(B18-C18)</f>
      </c>
      <c r="F18" s="5" t="str">
        <f>E18^2</f>
      </c>
    </row>
    <row r="19">
      <c r="A19" t="n">
        <v>10</v>
      </c>
      <c r="B19" t="n">
        <v>59.8784946236559</v>
      </c>
      <c r="C19" t="n">
        <v>59.8720430107527</v>
      </c>
      <c r="D19" s="5" t="str">
        <f>AVERAGE(B19,C19)</f>
      </c>
      <c r="E19" s="5" t="str">
        <f>ABS(B19-C19)</f>
      </c>
      <c r="F19" s="5" t="str">
        <f>E19^2</f>
      </c>
    </row>
    <row r="21">
      <c r="A21" s="2" t="s">
        <v>12</v>
      </c>
    </row>
    <row r="22">
      <c r="A22" t="s">
        <v>13</v>
      </c>
      <c r="B22" s="6" t="str">
        <f>AVERAGE(D10:D19)</f>
      </c>
    </row>
    <row r="23">
      <c r="A23" t="s">
        <v>14</v>
      </c>
      <c r="B23" s="6" t="str">
        <f>VAR.S(D10:D19)</f>
      </c>
    </row>
    <row r="24">
      <c r="A24" t="s">
        <v>15</v>
      </c>
      <c r="B24" t="str">
        <f>SUM(F10:F19)</f>
      </c>
    </row>
    <row r="25">
      <c r="A25" t="s">
        <v>16</v>
      </c>
      <c r="B25" s="6" t="str">
        <f>SQRT(B24/(2*B5))</f>
      </c>
      <c r="C25" t="s">
        <v>17</v>
      </c>
    </row>
    <row r="26">
      <c r="A26" t="s">
        <v>18</v>
      </c>
      <c r="B26" t="str">
        <f>B25^2</f>
      </c>
    </row>
    <row r="27">
      <c r="A27" t="s">
        <v>19</v>
      </c>
      <c r="B27" s="6" t="str">
        <f>ABS(B23-B26/B6)</f>
      </c>
      <c r="C27" t="s">
        <v>20</v>
      </c>
    </row>
    <row r="28">
      <c r="A28" t="s">
        <v>21</v>
      </c>
      <c r="B28" s="6" t="str">
        <f>SQRT(B27)</f>
      </c>
      <c r="C28" t="s">
        <v>22</v>
      </c>
    </row>
    <row r="30">
      <c r="A30" s="2" t="s">
        <v>23</v>
      </c>
    </row>
    <row r="31">
      <c r="A31" t="s">
        <v>24</v>
      </c>
      <c r="B31" s="6" t="str">
        <f>0.3*B7</f>
      </c>
    </row>
    <row r="32">
      <c r="A32" t="s">
        <v>25</v>
      </c>
      <c r="B32" s="6" t="str">
        <f>IF(B28&lt;=B31,"PASS","FAIL")</f>
      </c>
    </row>
  </sheetData>
  <mergeCells count="2">
    <mergeCell ref="A1:H1"/>
    <mergeCell ref="A2:H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0.9175" hidden="0" customWidth="1"/>
    <col min="2" max="2" width="11.71" hidden="0" customWidth="1"/>
    <col min="3" max="3" width="11.71" hidden="0" customWidth="1"/>
    <col min="4" max="4" width="4.71" hidden="0" customWidth="1"/>
  </cols>
  <sheetData>
    <row r="1">
      <c r="A1" s="1" t="s">
        <v>26</v>
      </c>
    </row>
    <row r="2">
      <c r="A2" t="s">
        <v>27</v>
      </c>
    </row>
    <row r="4">
      <c r="A4" s="2" t="s">
        <v>2</v>
      </c>
    </row>
    <row r="5">
      <c r="A5" t="s">
        <v>5</v>
      </c>
      <c r="B5" s="3" t="n">
        <v>0.6</v>
      </c>
    </row>
    <row r="7">
      <c r="A7" s="2" t="s">
        <v>28</v>
      </c>
    </row>
    <row r="8">
      <c r="A8" s="4" t="s">
        <v>6</v>
      </c>
      <c r="B8" s="4" t="s">
        <v>29</v>
      </c>
      <c r="C8" s="4" t="s">
        <v>30</v>
      </c>
      <c r="D8" s="4" t="s">
        <v>31</v>
      </c>
    </row>
    <row r="9">
      <c r="A9" t="n">
        <v>1</v>
      </c>
      <c r="B9" t="n">
        <v>59.8978494623656</v>
      </c>
      <c r="C9" t="n">
        <v>59.8387096774194</v>
      </c>
      <c r="D9" s="5" t="str">
        <f>AVERAGE(B9,C9)</f>
      </c>
    </row>
    <row r="10">
      <c r="A10" t="n">
        <v>2</v>
      </c>
      <c r="B10" t="n">
        <v>59.8150537634409</v>
      </c>
      <c r="C10" t="n">
        <v>59.9365591397849</v>
      </c>
      <c r="D10" s="5" t="str">
        <f>AVERAGE(B10,C10)</f>
      </c>
    </row>
    <row r="11">
      <c r="A11" t="n">
        <v>3</v>
      </c>
      <c r="B11" t="n">
        <v>59.9032258064516</v>
      </c>
      <c r="C11" t="n">
        <v>59.9462365591398</v>
      </c>
      <c r="D11" s="5" t="str">
        <f>AVERAGE(B11,C11)</f>
      </c>
    </row>
    <row r="12">
      <c r="A12" t="n">
        <v>4</v>
      </c>
      <c r="B12" t="n">
        <v>59.8731182795699</v>
      </c>
      <c r="C12" t="n">
        <v>59.9021505376344</v>
      </c>
      <c r="D12" s="5" t="str">
        <f>AVERAGE(B12,C12)</f>
      </c>
    </row>
    <row r="13">
      <c r="A13" t="n">
        <v>5</v>
      </c>
      <c r="B13" t="n">
        <v>59.9279569892473</v>
      </c>
      <c r="C13" t="n">
        <v>59.9118279569892</v>
      </c>
      <c r="D13" s="5" t="str">
        <f>AVERAGE(B13,C13)</f>
      </c>
    </row>
    <row r="14">
      <c r="A14" t="n">
        <v>6</v>
      </c>
      <c r="B14" t="n">
        <v>59.9139784946237</v>
      </c>
      <c r="C14" t="n">
        <v>59.9634408602151</v>
      </c>
      <c r="D14" s="5" t="str">
        <f>AVERAGE(B14,C14)</f>
      </c>
    </row>
    <row r="15">
      <c r="A15" t="n">
        <v>7</v>
      </c>
      <c r="B15" t="n">
        <v>59.9182795698925</v>
      </c>
      <c r="C15" t="n">
        <v>59.8333333333333</v>
      </c>
      <c r="D15" s="5" t="str">
        <f>AVERAGE(B15,C15)</f>
      </c>
    </row>
    <row r="16">
      <c r="A16" t="n">
        <v>8</v>
      </c>
      <c r="B16" t="n">
        <v>59.9301075268817</v>
      </c>
      <c r="C16" t="n">
        <v>59.9322580645161</v>
      </c>
      <c r="D16" s="5" t="str">
        <f>AVERAGE(B16,C16)</f>
      </c>
    </row>
    <row r="17">
      <c r="A17" t="n">
        <v>9</v>
      </c>
      <c r="B17" t="n">
        <v>59.8935483870968</v>
      </c>
      <c r="C17" t="n">
        <v>59.9075268817204</v>
      </c>
      <c r="D17" s="5" t="str">
        <f>AVERAGE(B17,C17)</f>
      </c>
    </row>
    <row r="18">
      <c r="A18" t="n">
        <v>10</v>
      </c>
      <c r="B18" t="n">
        <v>59.8784946236559</v>
      </c>
      <c r="C18" t="n">
        <v>59.8720430107527</v>
      </c>
      <c r="D18" s="5" t="str">
        <f>AVERAGE(B18,C18)</f>
      </c>
    </row>
    <row r="19">
      <c r="A19" s="2" t="s">
        <v>32</v>
      </c>
      <c r="D19" s="6" t="str">
        <f>AVERAGE(D9:D18)</f>
      </c>
    </row>
    <row r="22">
      <c r="A22" s="2" t="s">
        <v>33</v>
      </c>
    </row>
    <row r="23">
      <c r="A23" s="4" t="s">
        <v>6</v>
      </c>
      <c r="B23" s="4" t="s">
        <v>29</v>
      </c>
      <c r="C23" s="4" t="s">
        <v>30</v>
      </c>
      <c r="D23" s="4" t="s">
        <v>31</v>
      </c>
    </row>
    <row r="24">
      <c r="A24" t="n">
        <v>1</v>
      </c>
      <c r="B24" t="n">
        <v>59.8483870967742</v>
      </c>
      <c r="C24" t="n">
        <v>59.8193548387097</v>
      </c>
      <c r="D24" s="5" t="str">
        <f>AVERAGE(B24,C24)</f>
      </c>
    </row>
    <row r="25">
      <c r="A25" t="n">
        <v>2</v>
      </c>
      <c r="B25" t="n">
        <v>59.8494623655914</v>
      </c>
      <c r="C25" t="n">
        <v>59.9333333333333</v>
      </c>
      <c r="D25" s="5" t="str">
        <f>AVERAGE(B25,C25)</f>
      </c>
    </row>
    <row r="26">
      <c r="A26" s="2" t="s">
        <v>34</v>
      </c>
      <c r="D26" s="6" t="str">
        <f>AVERAGE(D24:D25)</f>
      </c>
    </row>
    <row r="29">
      <c r="A29" s="2" t="s">
        <v>35</v>
      </c>
    </row>
    <row r="30">
      <c r="A30" t="s">
        <v>36</v>
      </c>
      <c r="B30" s="6" t="str">
        <f>ABS(D26-D19)</f>
      </c>
    </row>
    <row r="31">
      <c r="A31" t="s">
        <v>37</v>
      </c>
      <c r="B31" s="6" t="str">
        <f>0.3*B5</f>
      </c>
    </row>
    <row r="32">
      <c r="A32" t="s">
        <v>38</v>
      </c>
      <c r="B32" s="6" t="str">
        <f>IF(B30&lt;=B31,"PASS","FAIL")</f>
      </c>
    </row>
  </sheetData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1.4875" hidden="0" customWidth="1"/>
    <col min="2" max="2" width="13.71" hidden="0" customWidth="1"/>
    <col min="3" max="3" width="23.71" hidden="0" customWidth="1"/>
  </cols>
  <sheetData>
    <row r="1">
      <c r="A1" s="1" t="s">
        <v>39</v>
      </c>
    </row>
    <row r="2">
      <c r="A2" t="s">
        <v>40</v>
      </c>
    </row>
    <row r="4">
      <c r="A4" s="2" t="s">
        <v>41</v>
      </c>
      <c r="B4" s="2" t="s">
        <v>42</v>
      </c>
    </row>
    <row r="5">
      <c r="A5" t="n">
        <v>59.902688172043</v>
      </c>
      <c r="B5" s="5" t="str">
        <f>ABS(A5-B20)</f>
      </c>
    </row>
    <row r="6">
      <c r="A6" t="n">
        <v>59.8831182795699</v>
      </c>
      <c r="B6" s="5" t="str">
        <f>ABS(A6-B20)</f>
      </c>
    </row>
    <row r="7">
      <c r="A7" t="n">
        <v>59.9029032258064</v>
      </c>
      <c r="B7" s="5" t="str">
        <f>ABS(A7-B20)</f>
      </c>
    </row>
    <row r="8">
      <c r="A8" t="n">
        <v>59.8802150537635</v>
      </c>
      <c r="B8" s="5" t="str">
        <f>ABS(A8-B20)</f>
      </c>
    </row>
    <row r="9">
      <c r="A9" t="n">
        <v>59.8877419354839</v>
      </c>
      <c r="B9" s="5" t="str">
        <f>ABS(A9-B20)</f>
      </c>
    </row>
    <row r="10">
      <c r="A10" t="n">
        <v>59.8931182795699</v>
      </c>
      <c r="B10" s="5" t="str">
        <f>ABS(A10-B20)</f>
      </c>
    </row>
    <row r="11">
      <c r="A11" t="n">
        <v>59.9041935483871</v>
      </c>
      <c r="B11" s="5" t="str">
        <f>ABS(A11-B20)</f>
      </c>
    </row>
    <row r="12">
      <c r="A12" t="n">
        <v>59.8850537634409</v>
      </c>
      <c r="B12" s="5" t="str">
        <f>ABS(A12-B20)</f>
      </c>
    </row>
    <row r="13">
      <c r="A13" t="n">
        <v>59.9122580645161</v>
      </c>
      <c r="B13" s="5" t="str">
        <f>ABS(A13-B20)</f>
      </c>
    </row>
    <row r="14">
      <c r="A14" t="n">
        <v>59.8769892473118</v>
      </c>
      <c r="B14" s="5" t="str">
        <f>ABS(A14-B20)</f>
      </c>
    </row>
    <row r="15">
      <c r="A15" t="n">
        <v>59.9201075268817</v>
      </c>
      <c r="B15" s="5" t="str">
        <f>ABS(A15-B20)</f>
      </c>
    </row>
    <row r="16">
      <c r="A16" t="n">
        <v>59.8829032258065</v>
      </c>
      <c r="B16" s="5" t="str">
        <f>ABS(A16-B20)</f>
      </c>
    </row>
    <row r="18">
      <c r="A18" s="2" t="s">
        <v>43</v>
      </c>
    </row>
    <row r="19">
      <c r="A19" t="s">
        <v>44</v>
      </c>
      <c r="B19" t="str">
        <f>COUNT(A5:A16)</f>
      </c>
    </row>
    <row r="20">
      <c r="A20" t="s">
        <v>45</v>
      </c>
      <c r="B20" s="6" t="str">
        <f>MEDIAN(A5:A16)</f>
      </c>
    </row>
    <row r="21">
      <c r="A21" t="s">
        <v>46</v>
      </c>
      <c r="B21" t="str">
        <f>QUARTILE.INC(A5:A16,1)</f>
      </c>
    </row>
    <row r="22">
      <c r="A22" t="s">
        <v>47</v>
      </c>
      <c r="B22" t="str">
        <f>QUARTILE.INC(A5:A16,3)</f>
      </c>
    </row>
    <row r="23">
      <c r="A23" t="s">
        <v>48</v>
      </c>
      <c r="B23" t="str">
        <f>B22-B21</f>
      </c>
    </row>
    <row r="24">
      <c r="A24" t="s">
        <v>49</v>
      </c>
      <c r="B24" s="6" t="str">
        <f>0.7413*B23</f>
      </c>
      <c r="C24" t="s">
        <v>50</v>
      </c>
    </row>
    <row r="25">
      <c r="A25" t="s">
        <v>51</v>
      </c>
      <c r="B25" t="str">
        <f>MEDIAN(B5:B16)</f>
      </c>
    </row>
    <row r="26">
      <c r="A26" t="s">
        <v>52</v>
      </c>
      <c r="B26" s="6" t="str">
        <f>1.483*B25</f>
      </c>
      <c r="C26" t="s">
        <v>50</v>
      </c>
    </row>
    <row r="28">
      <c r="A28" s="2" t="s">
        <v>53</v>
      </c>
    </row>
    <row r="29">
      <c r="A29" t="s">
        <v>31</v>
      </c>
      <c r="B29" t="str">
        <f>AVERAGE(A5:A16)</f>
      </c>
    </row>
    <row r="30">
      <c r="A30" t="s">
        <v>54</v>
      </c>
      <c r="B30" t="str">
        <f>STDEV.S(A5:A16)</f>
      </c>
    </row>
  </sheetData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6.71" hidden="0" customWidth="1"/>
    <col min="2" max="2" width="38.71" hidden="0" customWidth="1"/>
    <col min="3" max="3" width="48.71" hidden="0" customWidth="1"/>
    <col min="4" max="4" width="4.71" hidden="0" customWidth="1"/>
    <col min="5" max="5" width="4.71" hidden="0" customWidth="1"/>
    <col min="6" max="6" width="9.71" hidden="0" customWidth="1"/>
    <col min="7" max="7" width="16.71" hidden="0" customWidth="1"/>
  </cols>
  <sheetData>
    <row r="1">
      <c r="A1" s="1" t="s">
        <v>55</v>
      </c>
    </row>
    <row r="2">
      <c r="A2" t="s">
        <v>56</v>
      </c>
    </row>
    <row r="4">
      <c r="A4" s="2" t="s">
        <v>57</v>
      </c>
    </row>
    <row r="5">
      <c r="A5" t="s">
        <v>58</v>
      </c>
      <c r="B5" s="3" t="n">
        <v>1.5</v>
      </c>
      <c r="C5" t="s">
        <v>59</v>
      </c>
    </row>
    <row r="6">
      <c r="A6" t="s">
        <v>60</v>
      </c>
      <c r="B6" s="3" t="n">
        <v>1.483</v>
      </c>
      <c r="C6" t="s">
        <v>61</v>
      </c>
    </row>
    <row r="7">
      <c r="A7" t="s">
        <v>62</v>
      </c>
      <c r="B7" s="3" t="n">
        <v>0.001</v>
      </c>
    </row>
    <row r="9">
      <c r="A9" s="2" t="s">
        <v>63</v>
      </c>
    </row>
    <row r="10">
      <c r="A10" s="4" t="s">
        <v>64</v>
      </c>
      <c r="B10" s="4" t="s">
        <v>65</v>
      </c>
      <c r="C10" s="4" t="s">
        <v>42</v>
      </c>
    </row>
    <row r="11">
      <c r="A11" t="n">
        <v>1</v>
      </c>
      <c r="B11" t="n">
        <v>59.902688172043</v>
      </c>
      <c r="C11" s="5" t="str">
        <f>ABS(B11-B25)</f>
      </c>
    </row>
    <row r="12">
      <c r="A12" t="n">
        <v>2</v>
      </c>
      <c r="B12" t="n">
        <v>59.8831182795699</v>
      </c>
      <c r="C12" s="5" t="str">
        <f>ABS(B12-B25)</f>
      </c>
    </row>
    <row r="13">
      <c r="A13" t="n">
        <v>3</v>
      </c>
      <c r="B13" t="n">
        <v>59.9029032258064</v>
      </c>
      <c r="C13" s="5" t="str">
        <f>ABS(B13-B25)</f>
      </c>
    </row>
    <row r="14">
      <c r="A14" t="n">
        <v>4</v>
      </c>
      <c r="B14" t="n">
        <v>59.8802150537635</v>
      </c>
      <c r="C14" s="5" t="str">
        <f>ABS(B14-B25)</f>
      </c>
    </row>
    <row r="15">
      <c r="A15" t="n">
        <v>5</v>
      </c>
      <c r="B15" t="n">
        <v>59.8877419354839</v>
      </c>
      <c r="C15" s="5" t="str">
        <f>ABS(B15-B25)</f>
      </c>
    </row>
    <row r="16">
      <c r="A16" t="n">
        <v>6</v>
      </c>
      <c r="B16" t="n">
        <v>59.8931182795699</v>
      </c>
      <c r="C16" s="5" t="str">
        <f>ABS(B16-B25)</f>
      </c>
    </row>
    <row r="17">
      <c r="A17" t="n">
        <v>7</v>
      </c>
      <c r="B17" t="n">
        <v>59.9041935483871</v>
      </c>
      <c r="C17" s="5" t="str">
        <f>ABS(B17-B25)</f>
      </c>
    </row>
    <row r="18">
      <c r="A18" t="n">
        <v>8</v>
      </c>
      <c r="B18" t="n">
        <v>59.8850537634409</v>
      </c>
      <c r="C18" s="5" t="str">
        <f>ABS(B18-B25)</f>
      </c>
    </row>
    <row r="19">
      <c r="A19" t="n">
        <v>9</v>
      </c>
      <c r="B19" t="n">
        <v>59.9122580645161</v>
      </c>
      <c r="C19" s="5" t="str">
        <f>ABS(B19-B25)</f>
      </c>
    </row>
    <row r="20">
      <c r="A20" t="n">
        <v>10</v>
      </c>
      <c r="B20" t="n">
        <v>59.8769892473118</v>
      </c>
      <c r="C20" s="5" t="str">
        <f>ABS(B20-B25)</f>
      </c>
    </row>
    <row r="21">
      <c r="A21" t="n">
        <v>11</v>
      </c>
      <c r="B21" t="n">
        <v>59.9201075268817</v>
      </c>
      <c r="C21" s="5" t="str">
        <f>ABS(B21-B25)</f>
      </c>
    </row>
    <row r="22">
      <c r="A22" t="n">
        <v>12</v>
      </c>
      <c r="B22" t="n">
        <v>59.8829032258065</v>
      </c>
      <c r="C22" s="5" t="str">
        <f>ABS(B22-B25)</f>
      </c>
    </row>
    <row r="24">
      <c r="A24" s="2" t="s">
        <v>66</v>
      </c>
    </row>
    <row r="25">
      <c r="A25" t="s">
        <v>45</v>
      </c>
      <c r="B25" s="6" t="str">
        <f>MEDIAN(B11:B22)</f>
      </c>
    </row>
    <row r="26">
      <c r="A26" t="s">
        <v>67</v>
      </c>
      <c r="B26" t="str">
        <f>MEDIAN(C11:C22)</f>
      </c>
    </row>
    <row r="27">
      <c r="A27" t="s">
        <v>68</v>
      </c>
      <c r="B27" s="6" t="str">
        <f>=B25</f>
      </c>
    </row>
    <row r="28">
      <c r="A28" t="s">
        <v>69</v>
      </c>
      <c r="B28" s="6" t="str">
        <f>B6*B26</f>
      </c>
    </row>
    <row r="31">
      <c r="A31" s="2" t="s">
        <v>70</v>
      </c>
    </row>
    <row r="32">
      <c r="A32" s="4" t="s">
        <v>64</v>
      </c>
      <c r="B32" s="4" t="s">
        <v>65</v>
      </c>
      <c r="C32" s="4" t="s">
        <v>71</v>
      </c>
      <c r="D32" s="4" t="s">
        <v>72</v>
      </c>
      <c r="E32" s="4" t="s">
        <v>73</v>
      </c>
      <c r="F32" s="4" t="s">
        <v>74</v>
      </c>
      <c r="G32" s="4" t="s">
        <v>75</v>
      </c>
    </row>
    <row r="33">
      <c r="A33" t="n">
        <v>1</v>
      </c>
      <c r="B33" t="n">
        <v>59.902688172043</v>
      </c>
      <c r="C33" s="5" t="str">
        <f>(B33-B27)/(B5*B28)</f>
      </c>
      <c r="D33" s="5" t="str">
        <f>ABS(C33)</f>
      </c>
      <c r="E33" s="5" t="str">
        <f>IF(D33&lt;=1,1,1/(C33^2))</f>
      </c>
      <c r="F33" s="5" t="str">
        <f>E33*B33</f>
      </c>
      <c r="G33" s="5" t="str">
        <f>E33*(B33-B47)^2</f>
      </c>
    </row>
    <row r="34">
      <c r="A34" t="n">
        <v>2</v>
      </c>
      <c r="B34" t="n">
        <v>59.8831182795699</v>
      </c>
      <c r="C34" s="5" t="str">
        <f>(B34-B27)/(B5*B28)</f>
      </c>
      <c r="D34" s="5" t="str">
        <f>ABS(C34)</f>
      </c>
      <c r="E34" s="5" t="str">
        <f>IF(D34&lt;=1,1,1/(C34^2))</f>
      </c>
      <c r="F34" s="5" t="str">
        <f>E34*B34</f>
      </c>
      <c r="G34" s="5" t="str">
        <f>E34*(B34-B47)^2</f>
      </c>
    </row>
    <row r="35">
      <c r="A35" t="n">
        <v>3</v>
      </c>
      <c r="B35" t="n">
        <v>59.9029032258064</v>
      </c>
      <c r="C35" s="5" t="str">
        <f>(B35-B27)/(B5*B28)</f>
      </c>
      <c r="D35" s="5" t="str">
        <f>ABS(C35)</f>
      </c>
      <c r="E35" s="5" t="str">
        <f>IF(D35&lt;=1,1,1/(C35^2))</f>
      </c>
      <c r="F35" s="5" t="str">
        <f>E35*B35</f>
      </c>
      <c r="G35" s="5" t="str">
        <f>E35*(B35-B47)^2</f>
      </c>
    </row>
    <row r="36">
      <c r="A36" t="n">
        <v>4</v>
      </c>
      <c r="B36" t="n">
        <v>59.8802150537635</v>
      </c>
      <c r="C36" s="5" t="str">
        <f>(B36-B27)/(B5*B28)</f>
      </c>
      <c r="D36" s="5" t="str">
        <f>ABS(C36)</f>
      </c>
      <c r="E36" s="5" t="str">
        <f>IF(D36&lt;=1,1,1/(C36^2))</f>
      </c>
      <c r="F36" s="5" t="str">
        <f>E36*B36</f>
      </c>
      <c r="G36" s="5" t="str">
        <f>E36*(B36-B47)^2</f>
      </c>
    </row>
    <row r="37">
      <c r="A37" t="n">
        <v>5</v>
      </c>
      <c r="B37" t="n">
        <v>59.8877419354839</v>
      </c>
      <c r="C37" s="5" t="str">
        <f>(B37-B27)/(B5*B28)</f>
      </c>
      <c r="D37" s="5" t="str">
        <f>ABS(C37)</f>
      </c>
      <c r="E37" s="5" t="str">
        <f>IF(D37&lt;=1,1,1/(C37^2))</f>
      </c>
      <c r="F37" s="5" t="str">
        <f>E37*B37</f>
      </c>
      <c r="G37" s="5" t="str">
        <f>E37*(B37-B47)^2</f>
      </c>
    </row>
    <row r="38">
      <c r="A38" t="n">
        <v>6</v>
      </c>
      <c r="B38" t="n">
        <v>59.8931182795699</v>
      </c>
      <c r="C38" s="5" t="str">
        <f>(B38-B27)/(B5*B28)</f>
      </c>
      <c r="D38" s="5" t="str">
        <f>ABS(C38)</f>
      </c>
      <c r="E38" s="5" t="str">
        <f>IF(D38&lt;=1,1,1/(C38^2))</f>
      </c>
      <c r="F38" s="5" t="str">
        <f>E38*B38</f>
      </c>
      <c r="G38" s="5" t="str">
        <f>E38*(B38-B47)^2</f>
      </c>
    </row>
    <row r="39">
      <c r="A39" t="n">
        <v>7</v>
      </c>
      <c r="B39" t="n">
        <v>59.9041935483871</v>
      </c>
      <c r="C39" s="5" t="str">
        <f>(B39-B27)/(B5*B28)</f>
      </c>
      <c r="D39" s="5" t="str">
        <f>ABS(C39)</f>
      </c>
      <c r="E39" s="5" t="str">
        <f>IF(D39&lt;=1,1,1/(C39^2))</f>
      </c>
      <c r="F39" s="5" t="str">
        <f>E39*B39</f>
      </c>
      <c r="G39" s="5" t="str">
        <f>E39*(B39-B47)^2</f>
      </c>
    </row>
    <row r="40">
      <c r="A40" t="n">
        <v>8</v>
      </c>
      <c r="B40" t="n">
        <v>59.8850537634409</v>
      </c>
      <c r="C40" s="5" t="str">
        <f>(B40-B27)/(B5*B28)</f>
      </c>
      <c r="D40" s="5" t="str">
        <f>ABS(C40)</f>
      </c>
      <c r="E40" s="5" t="str">
        <f>IF(D40&lt;=1,1,1/(C40^2))</f>
      </c>
      <c r="F40" s="5" t="str">
        <f>E40*B40</f>
      </c>
      <c r="G40" s="5" t="str">
        <f>E40*(B40-B47)^2</f>
      </c>
    </row>
    <row r="41">
      <c r="A41" t="n">
        <v>9</v>
      </c>
      <c r="B41" t="n">
        <v>59.9122580645161</v>
      </c>
      <c r="C41" s="5" t="str">
        <f>(B41-B27)/(B5*B28)</f>
      </c>
      <c r="D41" s="5" t="str">
        <f>ABS(C41)</f>
      </c>
      <c r="E41" s="5" t="str">
        <f>IF(D41&lt;=1,1,1/(C41^2))</f>
      </c>
      <c r="F41" s="5" t="str">
        <f>E41*B41</f>
      </c>
      <c r="G41" s="5" t="str">
        <f>E41*(B41-B47)^2</f>
      </c>
    </row>
    <row r="42">
      <c r="A42" t="n">
        <v>10</v>
      </c>
      <c r="B42" t="n">
        <v>59.8769892473118</v>
      </c>
      <c r="C42" s="5" t="str">
        <f>(B42-B27)/(B5*B28)</f>
      </c>
      <c r="D42" s="5" t="str">
        <f>ABS(C42)</f>
      </c>
      <c r="E42" s="5" t="str">
        <f>IF(D42&lt;=1,1,1/(C42^2))</f>
      </c>
      <c r="F42" s="5" t="str">
        <f>E42*B42</f>
      </c>
      <c r="G42" s="5" t="str">
        <f>E42*(B42-B47)^2</f>
      </c>
    </row>
    <row r="43">
      <c r="A43" t="n">
        <v>11</v>
      </c>
      <c r="B43" t="n">
        <v>59.9201075268817</v>
      </c>
      <c r="C43" s="5" t="str">
        <f>(B43-B27)/(B5*B28)</f>
      </c>
      <c r="D43" s="5" t="str">
        <f>ABS(C43)</f>
      </c>
      <c r="E43" s="5" t="str">
        <f>IF(D43&lt;=1,1,1/(C43^2))</f>
      </c>
      <c r="F43" s="5" t="str">
        <f>E43*B43</f>
      </c>
      <c r="G43" s="5" t="str">
        <f>E43*(B43-B47)^2</f>
      </c>
    </row>
    <row r="44">
      <c r="A44" t="n">
        <v>12</v>
      </c>
      <c r="B44" t="n">
        <v>59.8829032258065</v>
      </c>
      <c r="C44" s="5" t="str">
        <f>(B44-B27)/(B5*B28)</f>
      </c>
      <c r="D44" s="5" t="str">
        <f>ABS(C44)</f>
      </c>
      <c r="E44" s="5" t="str">
        <f>IF(D44&lt;=1,1,1/(C44^2))</f>
      </c>
      <c r="F44" s="5" t="str">
        <f>E44*B44</f>
      </c>
      <c r="G44" s="5" t="str">
        <f>E44*(B44-B47)^2</f>
      </c>
    </row>
    <row r="45">
      <c r="A45" s="2" t="s">
        <v>76</v>
      </c>
      <c r="E45" s="6" t="str">
        <f>SUM(E33:E44)</f>
      </c>
      <c r="F45" s="6" t="str">
        <f>SUM(F33:F44)</f>
      </c>
      <c r="G45" s="6" t="str">
        <f>SUM(G33:G44)</f>
      </c>
    </row>
    <row r="47">
      <c r="A47" t="s">
        <v>77</v>
      </c>
      <c r="B47" s="6" t="str">
        <f>F45/E45</f>
      </c>
    </row>
    <row r="48">
      <c r="A48" t="s">
        <v>78</v>
      </c>
      <c r="B48" s="6" t="str">
        <f>SQRT(G45/E45)</f>
      </c>
    </row>
    <row r="50">
      <c r="A50" t="s">
        <v>79</v>
      </c>
      <c r="B50" t="str">
        <f>ABS(B47-B27)</f>
      </c>
    </row>
    <row r="51">
      <c r="A51" t="s">
        <v>80</v>
      </c>
      <c r="B51" t="str">
        <f>ABS(B48-B28)</f>
      </c>
    </row>
    <row r="52">
      <c r="A52" t="s">
        <v>81</v>
      </c>
      <c r="B52" s="6" t="str">
        <f>IF(AND(B50&lt;B7,B51&lt;B7),"YES","NO")</f>
      </c>
    </row>
    <row r="55">
      <c r="A55" s="2" t="s">
        <v>82</v>
      </c>
    </row>
    <row r="56">
      <c r="A56" s="4" t="s">
        <v>83</v>
      </c>
      <c r="B56" s="4" t="s">
        <v>84</v>
      </c>
      <c r="C56" s="4" t="s">
        <v>85</v>
      </c>
      <c r="D56" s="4" t="s">
        <v>86</v>
      </c>
      <c r="E56" s="4" t="s">
        <v>87</v>
      </c>
      <c r="F56" s="4" t="s">
        <v>88</v>
      </c>
    </row>
    <row r="57">
      <c r="A57" t="n">
        <v>0</v>
      </c>
      <c r="B57" t="str">
        <f>=B27</f>
      </c>
      <c r="C57" t="str">
        <f>=B28</f>
      </c>
      <c r="D57" t="s">
        <v>89</v>
      </c>
      <c r="E57" t="s">
        <v>89</v>
      </c>
      <c r="F57" t="s">
        <v>89</v>
      </c>
    </row>
    <row r="58">
      <c r="A58" t="n">
        <v>1</v>
      </c>
      <c r="B58" s="6" t="str">
        <f>=B47</f>
      </c>
      <c r="C58" s="6" t="str">
        <f>=B48</f>
      </c>
      <c r="D58" s="6" t="str">
        <f>=B50</f>
      </c>
      <c r="E58" s="6" t="str">
        <f>=B51</f>
      </c>
      <c r="F58" s="6" t="str">
        <f>=B52</f>
      </c>
    </row>
    <row r="61">
      <c r="A61" s="2" t="s">
        <v>90</v>
      </c>
    </row>
    <row r="62">
      <c r="A62" t="s">
        <v>91</v>
      </c>
      <c r="B62" s="6" t="str">
        <f>=B47</f>
      </c>
    </row>
    <row r="63">
      <c r="A63" t="s">
        <v>92</v>
      </c>
      <c r="B63" s="6" t="str">
        <f>=B48</f>
      </c>
    </row>
    <row r="64">
      <c r="A64" t="s">
        <v>93</v>
      </c>
      <c r="B64" s="6" t="str">
        <f>=E45</f>
      </c>
    </row>
    <row r="67">
      <c r="A67" s="2" t="s">
        <v>94</v>
      </c>
    </row>
    <row r="68">
      <c r="A68" t="s">
        <v>95</v>
      </c>
      <c r="B68" t="s">
        <v>96</v>
      </c>
    </row>
    <row r="69">
      <c r="A69" t="s">
        <v>97</v>
      </c>
      <c r="B69" t="s">
        <v>98</v>
      </c>
    </row>
    <row r="70">
      <c r="A70" t="s">
        <v>99</v>
      </c>
      <c r="B70" t="s">
        <v>100</v>
      </c>
    </row>
    <row r="71">
      <c r="A71" t="s">
        <v>101</v>
      </c>
      <c r="B71" t="s">
        <v>102</v>
      </c>
    </row>
    <row r="72">
      <c r="A72" t="s">
        <v>103</v>
      </c>
      <c r="B72" t="s">
        <v>104</v>
      </c>
    </row>
    <row r="73">
      <c r="A73" t="s">
        <v>105</v>
      </c>
      <c r="B73" t="s">
        <v>106</v>
      </c>
    </row>
  </sheetData>
  <mergeCells count="2">
    <mergeCell ref="A1:L1"/>
    <mergeCell ref="A2:L2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1.71" hidden="0" customWidth="1"/>
    <col min="2" max="2" width="12.71" hidden="0" customWidth="1"/>
    <col min="3" max="3" width="9.71" hidden="0" customWidth="1"/>
    <col min="4" max="4" width="10.71" hidden="0" customWidth="1"/>
    <col min="5" max="5" width="28.71" hidden="0" customWidth="1"/>
    <col min="6" max="6" width="6.71" hidden="0" customWidth="1"/>
  </cols>
  <sheetData>
    <row r="1">
      <c r="A1" s="1" t="s">
        <v>107</v>
      </c>
    </row>
    <row r="2">
      <c r="A2" t="s">
        <v>108</v>
      </c>
    </row>
    <row r="4">
      <c r="A4" s="7" t="s">
        <v>109</v>
      </c>
      <c r="B4" s="7"/>
      <c r="C4" s="7"/>
      <c r="D4" s="7"/>
      <c r="E4" s="7"/>
      <c r="F4" s="7"/>
    </row>
    <row r="5">
      <c r="A5" s="4" t="s">
        <v>41</v>
      </c>
      <c r="C5" s="4" t="s">
        <v>110</v>
      </c>
      <c r="D5" s="4" t="s">
        <v>111</v>
      </c>
      <c r="E5" s="4" t="s">
        <v>112</v>
      </c>
    </row>
    <row r="6">
      <c r="A6" t="n">
        <v>4.02834714285714</v>
      </c>
      <c r="C6" t="s">
        <v>113</v>
      </c>
      <c r="D6" t="str">
        <f>COUNT(A6:A17)</f>
      </c>
    </row>
    <row r="7">
      <c r="A7" t="n">
        <v>4.02174824675325</v>
      </c>
      <c r="C7" t="s">
        <v>45</v>
      </c>
      <c r="D7" s="6" t="str">
        <f>MEDIAN(A6:A17)</f>
      </c>
      <c r="E7" t="s">
        <v>114</v>
      </c>
    </row>
    <row r="8">
      <c r="A8" t="n">
        <v>4.02319577922078</v>
      </c>
      <c r="C8" t="s">
        <v>31</v>
      </c>
      <c r="D8" t="str">
        <f>AVERAGE(A6:A17)</f>
      </c>
      <c r="E8" t="s">
        <v>115</v>
      </c>
    </row>
    <row r="9">
      <c r="A9" t="n">
        <v>4.02555491341991</v>
      </c>
      <c r="C9" t="s">
        <v>54</v>
      </c>
      <c r="D9" t="str">
        <f>STDEV.S(A6:A17)</f>
      </c>
      <c r="E9" t="s">
        <v>116</v>
      </c>
    </row>
    <row r="10">
      <c r="A10" t="n">
        <v>4.02804854978355</v>
      </c>
      <c r="C10" t="s">
        <v>117</v>
      </c>
      <c r="D10" t="str">
        <f>QUARTILE.INC(A6:A17,1)</f>
      </c>
    </row>
    <row r="11">
      <c r="A11" t="n">
        <v>4.02798640692641</v>
      </c>
      <c r="C11" t="s">
        <v>118</v>
      </c>
      <c r="D11" t="str">
        <f>QUARTILE.INC(A6:A17,3)</f>
      </c>
    </row>
    <row r="12">
      <c r="A12" t="n">
        <v>4.02581798701299</v>
      </c>
      <c r="C12" t="s">
        <v>119</v>
      </c>
      <c r="D12" t="str">
        <f>D11-D10</f>
      </c>
      <c r="E12" t="s">
        <v>120</v>
      </c>
    </row>
    <row r="13">
      <c r="A13" t="n">
        <v>4.01839738095238</v>
      </c>
      <c r="C13" t="s">
        <v>121</v>
      </c>
      <c r="D13" s="6" t="str">
        <f>0.7413*D12</f>
      </c>
      <c r="E13" t="s">
        <v>122</v>
      </c>
    </row>
    <row r="14">
      <c r="A14" t="n">
        <v>4.02659575757576</v>
      </c>
      <c r="C14" t="s">
        <v>123</v>
      </c>
      <c r="D14" t="s">
        <v>124</v>
      </c>
      <c r="E14" t="s">
        <v>125</v>
      </c>
    </row>
    <row r="15">
      <c r="A15" t="n">
        <v>4.0254069047619</v>
      </c>
    </row>
    <row r="16">
      <c r="A16" t="n">
        <v>4.02159461038961</v>
      </c>
    </row>
    <row r="17">
      <c r="A17" t="n">
        <v>4.02160218614719</v>
      </c>
    </row>
    <row r="20">
      <c r="A20" s="7" t="s">
        <v>126</v>
      </c>
      <c r="B20" s="7"/>
      <c r="C20" s="7"/>
      <c r="D20" s="7"/>
      <c r="E20" s="7"/>
      <c r="F20" s="7"/>
    </row>
    <row r="21">
      <c r="A21" s="4" t="s">
        <v>41</v>
      </c>
      <c r="C21" s="4" t="s">
        <v>110</v>
      </c>
      <c r="D21" s="4" t="s">
        <v>111</v>
      </c>
      <c r="E21" s="4" t="s">
        <v>112</v>
      </c>
    </row>
    <row r="22">
      <c r="A22" t="n">
        <v>120.411343873518</v>
      </c>
      <c r="C22" t="s">
        <v>113</v>
      </c>
      <c r="D22" t="str">
        <f>COUNT(A22:A33)</f>
      </c>
    </row>
    <row r="23">
      <c r="A23" t="n">
        <v>120.334703557312</v>
      </c>
      <c r="C23" t="s">
        <v>45</v>
      </c>
      <c r="D23" s="6" t="str">
        <f>MEDIAN(A22:A33)</f>
      </c>
      <c r="E23" t="s">
        <v>114</v>
      </c>
    </row>
    <row r="24">
      <c r="A24" t="n">
        <v>120.345256916996</v>
      </c>
      <c r="C24" t="s">
        <v>31</v>
      </c>
      <c r="D24" t="str">
        <f>AVERAGE(A22:A33)</f>
      </c>
      <c r="E24" t="s">
        <v>115</v>
      </c>
    </row>
    <row r="25">
      <c r="A25" t="n">
        <v>120.331936758893</v>
      </c>
      <c r="C25" t="s">
        <v>54</v>
      </c>
      <c r="D25" t="str">
        <f>STDEV.S(A22:A33)</f>
      </c>
      <c r="E25" t="s">
        <v>116</v>
      </c>
    </row>
    <row r="26">
      <c r="A26" t="n">
        <v>120.327628458498</v>
      </c>
      <c r="C26" t="s">
        <v>117</v>
      </c>
      <c r="D26" t="str">
        <f>QUARTILE.INC(A22:A33,1)</f>
      </c>
    </row>
    <row r="27">
      <c r="A27" t="n">
        <v>120.367747035573</v>
      </c>
      <c r="C27" t="s">
        <v>118</v>
      </c>
      <c r="D27" t="str">
        <f>QUARTILE.INC(A22:A33,3)</f>
      </c>
    </row>
    <row r="28">
      <c r="A28" t="n">
        <v>120.385138339921</v>
      </c>
      <c r="C28" t="s">
        <v>119</v>
      </c>
      <c r="D28" t="str">
        <f>D27-D26</f>
      </c>
      <c r="E28" t="s">
        <v>120</v>
      </c>
    </row>
    <row r="29">
      <c r="A29" t="n">
        <v>120.332608695652</v>
      </c>
      <c r="C29" t="s">
        <v>121</v>
      </c>
      <c r="D29" s="6" t="str">
        <f>0.7413*D28</f>
      </c>
      <c r="E29" t="s">
        <v>122</v>
      </c>
    </row>
    <row r="30">
      <c r="A30" t="n">
        <v>120.365296442688</v>
      </c>
      <c r="C30" t="s">
        <v>123</v>
      </c>
      <c r="D30" t="s">
        <v>124</v>
      </c>
      <c r="E30" t="s">
        <v>125</v>
      </c>
    </row>
    <row r="31">
      <c r="A31" t="n">
        <v>120.332371541502</v>
      </c>
    </row>
    <row r="32">
      <c r="A32" t="n">
        <v>120.386600790514</v>
      </c>
    </row>
    <row r="33">
      <c r="A33" t="n">
        <v>120.350197628459</v>
      </c>
    </row>
    <row r="36">
      <c r="A36" s="7" t="s">
        <v>127</v>
      </c>
      <c r="B36" s="7"/>
      <c r="C36" s="7"/>
      <c r="D36" s="7"/>
      <c r="E36" s="7"/>
      <c r="F36" s="7"/>
    </row>
    <row r="37">
      <c r="A37" s="4" t="s">
        <v>41</v>
      </c>
      <c r="C37" s="4" t="s">
        <v>110</v>
      </c>
      <c r="D37" s="4" t="s">
        <v>111</v>
      </c>
      <c r="E37" s="4" t="s">
        <v>112</v>
      </c>
    </row>
    <row r="38">
      <c r="A38" t="n">
        <v>65.0942637362637</v>
      </c>
      <c r="C38" t="s">
        <v>113</v>
      </c>
      <c r="D38" t="str">
        <f>COUNT(A38:A49)</f>
      </c>
    </row>
    <row r="39">
      <c r="A39" t="n">
        <v>64.8853516483516</v>
      </c>
      <c r="C39" t="s">
        <v>45</v>
      </c>
      <c r="D39" s="6" t="str">
        <f>MEDIAN(A38:A49)</f>
      </c>
      <c r="E39" t="s">
        <v>114</v>
      </c>
    </row>
    <row r="40">
      <c r="A40" t="n">
        <v>64.8445494505494</v>
      </c>
      <c r="C40" t="s">
        <v>31</v>
      </c>
      <c r="D40" t="str">
        <f>AVERAGE(A38:A49)</f>
      </c>
      <c r="E40" t="s">
        <v>115</v>
      </c>
    </row>
    <row r="41">
      <c r="A41" t="n">
        <v>64.9377032967033</v>
      </c>
      <c r="C41" t="s">
        <v>54</v>
      </c>
      <c r="D41" t="str">
        <f>STDEV.S(A38:A49)</f>
      </c>
      <c r="E41" t="s">
        <v>116</v>
      </c>
    </row>
    <row r="42">
      <c r="A42" t="n">
        <v>65.0282307692308</v>
      </c>
      <c r="C42" t="s">
        <v>117</v>
      </c>
      <c r="D42" t="str">
        <f>QUARTILE.INC(A38:A49,1)</f>
      </c>
    </row>
    <row r="43">
      <c r="A43" t="n">
        <v>65.0564285714286</v>
      </c>
      <c r="C43" t="s">
        <v>118</v>
      </c>
      <c r="D43" t="str">
        <f>QUARTILE.INC(A38:A49,3)</f>
      </c>
    </row>
    <row r="44">
      <c r="A44" t="n">
        <v>64.9988131868132</v>
      </c>
      <c r="C44" t="s">
        <v>119</v>
      </c>
      <c r="D44" t="str">
        <f>D43-D42</f>
      </c>
      <c r="E44" t="s">
        <v>120</v>
      </c>
    </row>
    <row r="45">
      <c r="A45" t="n">
        <v>64.9322307692308</v>
      </c>
      <c r="C45" t="s">
        <v>121</v>
      </c>
      <c r="D45" s="6" t="str">
        <f>0.7413*D44</f>
      </c>
      <c r="E45" t="s">
        <v>122</v>
      </c>
    </row>
    <row r="46">
      <c r="A46" t="n">
        <v>64.9064615384615</v>
      </c>
      <c r="C46" t="s">
        <v>123</v>
      </c>
      <c r="D46" t="s">
        <v>124</v>
      </c>
      <c r="E46" t="s">
        <v>125</v>
      </c>
    </row>
    <row r="47">
      <c r="A47" t="n">
        <v>64.9413626373626</v>
      </c>
    </row>
    <row r="48">
      <c r="A48" t="n">
        <v>65.017934065934</v>
      </c>
    </row>
    <row r="49">
      <c r="A49" t="n">
        <v>64.8850439560439</v>
      </c>
    </row>
    <row r="52">
      <c r="A52" s="7" t="s">
        <v>128</v>
      </c>
      <c r="B52" s="7"/>
      <c r="C52" s="7"/>
      <c r="D52" s="7"/>
      <c r="E52" s="7"/>
      <c r="F52" s="7"/>
    </row>
    <row r="53">
      <c r="A53" s="4" t="s">
        <v>41</v>
      </c>
      <c r="C53" s="4" t="s">
        <v>110</v>
      </c>
      <c r="D53" s="4" t="s">
        <v>111</v>
      </c>
      <c r="E53" s="4" t="s">
        <v>112</v>
      </c>
    </row>
    <row r="54">
      <c r="A54" t="n">
        <v>80.0055839875632</v>
      </c>
      <c r="C54" t="s">
        <v>113</v>
      </c>
      <c r="D54" t="str">
        <f>COUNT(A54:A65)</f>
      </c>
    </row>
    <row r="55">
      <c r="A55" t="n">
        <v>79.9947304443581</v>
      </c>
      <c r="C55" t="s">
        <v>45</v>
      </c>
      <c r="D55" s="6" t="str">
        <f>MEDIAN(A54:A65)</f>
      </c>
      <c r="E55" t="s">
        <v>114</v>
      </c>
    </row>
    <row r="56">
      <c r="A56" t="n">
        <v>80.1883565358207</v>
      </c>
      <c r="C56" t="s">
        <v>31</v>
      </c>
      <c r="D56" t="str">
        <f>AVERAGE(A54:A65)</f>
      </c>
      <c r="E56" t="s">
        <v>115</v>
      </c>
    </row>
    <row r="57">
      <c r="A57" t="n">
        <v>80.1980247052727</v>
      </c>
      <c r="C57" t="s">
        <v>54</v>
      </c>
      <c r="D57" t="str">
        <f>STDEV.S(A54:A65)</f>
      </c>
      <c r="E57" t="s">
        <v>116</v>
      </c>
    </row>
    <row r="58">
      <c r="A58" t="n">
        <v>80.0917021764477</v>
      </c>
      <c r="C58" t="s">
        <v>117</v>
      </c>
      <c r="D58" t="str">
        <f>QUARTILE.INC(A54:A65,1)</f>
      </c>
    </row>
    <row r="59">
      <c r="A59" t="n">
        <v>80.325636623915</v>
      </c>
      <c r="C59" t="s">
        <v>118</v>
      </c>
      <c r="D59" t="str">
        <f>QUARTILE.INC(A54:A65,3)</f>
      </c>
    </row>
    <row r="60">
      <c r="A60" t="n">
        <v>79.7569172949864</v>
      </c>
      <c r="C60" t="s">
        <v>119</v>
      </c>
      <c r="D60" t="str">
        <f>D59-D58</f>
      </c>
      <c r="E60" t="s">
        <v>120</v>
      </c>
    </row>
    <row r="61">
      <c r="A61" t="n">
        <v>80.3327486202876</v>
      </c>
      <c r="C61" t="s">
        <v>121</v>
      </c>
      <c r="D61" s="6" t="str">
        <f>0.7413*D60</f>
      </c>
      <c r="E61" t="s">
        <v>122</v>
      </c>
    </row>
    <row r="62">
      <c r="A62" t="n">
        <v>80.4239494364555</v>
      </c>
      <c r="C62" t="s">
        <v>123</v>
      </c>
      <c r="D62" t="s">
        <v>124</v>
      </c>
      <c r="E62" t="s">
        <v>125</v>
      </c>
    </row>
    <row r="63">
      <c r="A63" t="n">
        <v>80.0761667443969</v>
      </c>
    </row>
    <row r="64">
      <c r="A64" t="n">
        <v>80.1009182277497</v>
      </c>
    </row>
    <row r="65">
      <c r="A65" t="n">
        <v>80.1018071382304</v>
      </c>
    </row>
    <row r="68">
      <c r="A68" s="7" t="s">
        <v>129</v>
      </c>
      <c r="B68" s="7"/>
      <c r="C68" s="7"/>
      <c r="D68" s="7"/>
      <c r="E68" s="7"/>
      <c r="F68" s="7"/>
    </row>
    <row r="69">
      <c r="A69" s="4" t="s">
        <v>41</v>
      </c>
      <c r="C69" s="4" t="s">
        <v>110</v>
      </c>
      <c r="D69" s="4" t="s">
        <v>111</v>
      </c>
      <c r="E69" s="4" t="s">
        <v>112</v>
      </c>
    </row>
    <row r="70">
      <c r="A70" t="n">
        <v>59.902688172043</v>
      </c>
      <c r="C70" t="s">
        <v>113</v>
      </c>
      <c r="D70" t="str">
        <f>COUNT(A70:A81)</f>
      </c>
    </row>
    <row r="71">
      <c r="A71" t="n">
        <v>59.8831182795699</v>
      </c>
      <c r="C71" t="s">
        <v>45</v>
      </c>
      <c r="D71" s="6" t="str">
        <f>MEDIAN(A70:A81)</f>
      </c>
      <c r="E71" t="s">
        <v>114</v>
      </c>
    </row>
    <row r="72">
      <c r="A72" t="n">
        <v>59.9029032258064</v>
      </c>
      <c r="C72" t="s">
        <v>31</v>
      </c>
      <c r="D72" t="str">
        <f>AVERAGE(A70:A81)</f>
      </c>
      <c r="E72" t="s">
        <v>115</v>
      </c>
    </row>
    <row r="73">
      <c r="A73" t="n">
        <v>59.8802150537635</v>
      </c>
      <c r="C73" t="s">
        <v>54</v>
      </c>
      <c r="D73" t="str">
        <f>STDEV.S(A70:A81)</f>
      </c>
      <c r="E73" t="s">
        <v>116</v>
      </c>
    </row>
    <row r="74">
      <c r="A74" t="n">
        <v>59.8877419354839</v>
      </c>
      <c r="C74" t="s">
        <v>117</v>
      </c>
      <c r="D74" t="str">
        <f>QUARTILE.INC(A70:A81,1)</f>
      </c>
    </row>
    <row r="75">
      <c r="A75" t="n">
        <v>59.8931182795699</v>
      </c>
      <c r="C75" t="s">
        <v>118</v>
      </c>
      <c r="D75" t="str">
        <f>QUARTILE.INC(A70:A81,3)</f>
      </c>
    </row>
    <row r="76">
      <c r="A76" t="n">
        <v>59.9041935483871</v>
      </c>
      <c r="C76" t="s">
        <v>119</v>
      </c>
      <c r="D76" t="str">
        <f>D75-D74</f>
      </c>
      <c r="E76" t="s">
        <v>120</v>
      </c>
    </row>
    <row r="77">
      <c r="A77" t="n">
        <v>59.8850537634409</v>
      </c>
      <c r="C77" t="s">
        <v>121</v>
      </c>
      <c r="D77" s="6" t="str">
        <f>0.7413*D76</f>
      </c>
      <c r="E77" t="s">
        <v>122</v>
      </c>
    </row>
    <row r="78">
      <c r="A78" t="n">
        <v>59.9122580645161</v>
      </c>
      <c r="C78" t="s">
        <v>123</v>
      </c>
      <c r="D78" t="s">
        <v>124</v>
      </c>
      <c r="E78" t="s">
        <v>125</v>
      </c>
    </row>
    <row r="79">
      <c r="A79" t="n">
        <v>59.8769892473118</v>
      </c>
    </row>
    <row r="80">
      <c r="A80" t="n">
        <v>59.9201075268817</v>
      </c>
    </row>
    <row r="81">
      <c r="A81" t="n">
        <v>59.8829032258065</v>
      </c>
    </row>
    <row r="84">
      <c r="A84" s="2" t="s">
        <v>130</v>
      </c>
    </row>
    <row r="85">
      <c r="A85" s="4" t="s">
        <v>131</v>
      </c>
      <c r="B85" s="4" t="s">
        <v>132</v>
      </c>
      <c r="C85" s="4" t="s">
        <v>113</v>
      </c>
      <c r="D85" s="4" t="s">
        <v>45</v>
      </c>
      <c r="E85" s="4" t="s">
        <v>31</v>
      </c>
      <c r="F85" s="4" t="s">
        <v>54</v>
      </c>
      <c r="G85" s="4" t="s">
        <v>121</v>
      </c>
    </row>
    <row r="86">
      <c r="A86" t="s">
        <v>133</v>
      </c>
      <c r="B86" t="s">
        <v>134</v>
      </c>
      <c r="C86" t="n">
        <v>12</v>
      </c>
      <c r="D86" t="n">
        <v>4.0255</v>
      </c>
      <c r="E86" t="n">
        <v>4.0245</v>
      </c>
      <c r="F86" t="n">
        <v>0.0032</v>
      </c>
      <c r="G86" t="n">
        <v>0.0039</v>
      </c>
    </row>
    <row r="87">
      <c r="A87" t="s">
        <v>135</v>
      </c>
      <c r="B87" t="s">
        <v>136</v>
      </c>
      <c r="C87" t="n">
        <v>12</v>
      </c>
      <c r="D87" t="n">
        <v>120.3477</v>
      </c>
      <c r="E87" t="n">
        <v>120.3559</v>
      </c>
      <c r="F87" t="n">
        <v>0.0272</v>
      </c>
      <c r="G87" t="n">
        <v>0.0293</v>
      </c>
    </row>
    <row r="88">
      <c r="A88" t="s">
        <v>137</v>
      </c>
      <c r="B88" t="s">
        <v>138</v>
      </c>
      <c r="C88" t="n">
        <v>12</v>
      </c>
      <c r="D88" t="n">
        <v>64.9395</v>
      </c>
      <c r="E88" t="n">
        <v>64.9607</v>
      </c>
      <c r="F88" t="n">
        <v>0.0774</v>
      </c>
      <c r="G88" t="n">
        <v>0.0885</v>
      </c>
    </row>
    <row r="89">
      <c r="A89" t="s">
        <v>139</v>
      </c>
      <c r="B89" t="s">
        <v>140</v>
      </c>
      <c r="C89" t="n">
        <v>12</v>
      </c>
      <c r="D89" t="n">
        <v>80.1014</v>
      </c>
      <c r="E89" t="n">
        <v>80.133</v>
      </c>
      <c r="F89" t="n">
        <v>0.1791</v>
      </c>
      <c r="G89" t="n">
        <v>0.1271</v>
      </c>
    </row>
    <row r="90">
      <c r="A90" t="s">
        <v>141</v>
      </c>
      <c r="B90" t="s">
        <v>138</v>
      </c>
      <c r="C90" t="n">
        <v>12</v>
      </c>
      <c r="D90" t="n">
        <v>59.8904</v>
      </c>
      <c r="E90" t="n">
        <v>59.8943</v>
      </c>
      <c r="F90" t="n">
        <v>0.0139</v>
      </c>
      <c r="G90" t="n">
        <v>0.0149</v>
      </c>
    </row>
  </sheetData>
  <mergeCells count="7">
    <mergeCell ref="A1:J1"/>
    <mergeCell ref="A2:J2"/>
    <mergeCell ref="A4:F4"/>
    <mergeCell ref="A20:F20"/>
    <mergeCell ref="A36:F36"/>
    <mergeCell ref="A52:F52"/>
    <mergeCell ref="A68:F68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8.71" hidden="0" customWidth="1"/>
    <col min="2" max="2" width="86.71" hidden="0" customWidth="1"/>
    <col min="3" max="3" width="13.71" hidden="0" customWidth="1"/>
    <col min="4" max="4" width="13.71" hidden="0" customWidth="1"/>
    <col min="5" max="5" width="7.71" hidden="0" customWidth="1"/>
    <col min="6" max="6" width="13.71" hidden="0" customWidth="1"/>
    <col min="7" max="7" width="8.71" hidden="0" customWidth="1"/>
    <col min="8" max="8" width="8.71" hidden="0" customWidth="1"/>
    <col min="9" max="9" width="6.71" hidden="0" customWidth="1"/>
    <col min="10" max="10" width="7.71" hidden="0" customWidth="1"/>
  </cols>
  <sheetData>
    <row r="1">
      <c r="A1" s="1" t="s">
        <v>142</v>
      </c>
    </row>
    <row r="2">
      <c r="A2" t="s">
        <v>143</v>
      </c>
    </row>
    <row r="4">
      <c r="A4" s="2" t="s">
        <v>144</v>
      </c>
    </row>
    <row r="5">
      <c r="A5" t="s">
        <v>145</v>
      </c>
      <c r="B5" s="3" t="n">
        <v>59.9</v>
      </c>
    </row>
    <row r="6">
      <c r="A6" t="s">
        <v>146</v>
      </c>
      <c r="B6" s="3" t="n">
        <v>0.6</v>
      </c>
    </row>
    <row r="7">
      <c r="A7" t="s">
        <v>147</v>
      </c>
      <c r="B7" s="3" t="n">
        <v>0.1</v>
      </c>
    </row>
    <row r="8">
      <c r="A8" t="s">
        <v>148</v>
      </c>
      <c r="B8" s="3" t="n">
        <v>0.2</v>
      </c>
    </row>
    <row r="10">
      <c r="A10" s="2" t="s">
        <v>149</v>
      </c>
    </row>
    <row r="11">
      <c r="A11" s="4" t="s">
        <v>150</v>
      </c>
      <c r="B11" s="4" t="s">
        <v>151</v>
      </c>
      <c r="C11" s="4" t="s">
        <v>152</v>
      </c>
      <c r="D11" s="4" t="s">
        <v>153</v>
      </c>
      <c r="E11" s="4" t="s">
        <v>154</v>
      </c>
      <c r="F11" s="4" t="s">
        <v>155</v>
      </c>
      <c r="G11" s="4" t="s">
        <v>156</v>
      </c>
      <c r="H11" s="4" t="s">
        <v>157</v>
      </c>
      <c r="I11" s="4" t="s">
        <v>158</v>
      </c>
      <c r="J11" s="4" t="s">
        <v>159</v>
      </c>
    </row>
    <row r="12">
      <c r="A12" t="s">
        <v>160</v>
      </c>
      <c r="B12" s="3" t="n">
        <v>59.95</v>
      </c>
      <c r="C12" s="3" t="n">
        <v>0.15</v>
      </c>
      <c r="D12" s="3" t="n">
        <v>0.3</v>
      </c>
      <c r="E12" s="5" t="str">
        <f>(B12-$B$5)/$B$6</f>
      </c>
      <c r="F12" s="5" t="str">
        <f>(B12-$B$5)/SQRT($B$6^2+$B$7^2)</f>
      </c>
      <c r="G12" s="5" t="str">
        <f>(B12-$B$5)/SQRT(C12^2+$B$7^2)</f>
      </c>
      <c r="H12" s="5" t="str">
        <f>(B12-$B$5)/SQRT(D12^2+$B$8^2)</f>
      </c>
      <c r="I12" s="5" t="str">
        <f>IF(ABS(E12)&lt;=2,"Satisfactorio",IF(ABS(E12)&lt;3,"Cuestionable","No satisfactorio"))</f>
      </c>
      <c r="J12" s="5" t="str">
        <f>IF(ABS(H12)&lt;=1,"Satisfactorio","No satisfactorio")</f>
      </c>
    </row>
    <row r="13">
      <c r="A13" t="s">
        <v>161</v>
      </c>
      <c r="B13" s="3" t="n">
        <v>59.8</v>
      </c>
      <c r="C13" s="3" t="n">
        <v>0.2</v>
      </c>
      <c r="D13" s="3" t="n">
        <v>0.4</v>
      </c>
      <c r="E13" s="5" t="str">
        <f>(B13-$B$5)/$B$6</f>
      </c>
      <c r="F13" s="5" t="str">
        <f>(B13-$B$5)/SQRT($B$6^2+$B$7^2)</f>
      </c>
      <c r="G13" s="5" t="str">
        <f>(B13-$B$5)/SQRT(C13^2+$B$7^2)</f>
      </c>
      <c r="H13" s="5" t="str">
        <f>(B13-$B$5)/SQRT(D13^2+$B$8^2)</f>
      </c>
      <c r="I13" s="5" t="str">
        <f>IF(ABS(E13)&lt;=2,"Satisfactorio",IF(ABS(E13)&lt;3,"Cuestionable","No satisfactorio"))</f>
      </c>
      <c r="J13" s="5" t="str">
        <f>IF(ABS(H13)&lt;=1,"Satisfactorio","No satisfactorio")</f>
      </c>
    </row>
    <row r="14">
      <c r="A14" t="s">
        <v>162</v>
      </c>
      <c r="B14" s="3" t="n">
        <v>60.5</v>
      </c>
      <c r="C14" s="3" t="n">
        <v>0.1</v>
      </c>
      <c r="D14" s="3" t="n">
        <v>0.2</v>
      </c>
      <c r="E14" s="5" t="str">
        <f>(B14-$B$5)/$B$6</f>
      </c>
      <c r="F14" s="5" t="str">
        <f>(B14-$B$5)/SQRT($B$6^2+$B$7^2)</f>
      </c>
      <c r="G14" s="5" t="str">
        <f>(B14-$B$5)/SQRT(C14^2+$B$7^2)</f>
      </c>
      <c r="H14" s="5" t="str">
        <f>(B14-$B$5)/SQRT(D14^2+$B$8^2)</f>
      </c>
      <c r="I14" s="5" t="str">
        <f>IF(ABS(E14)&lt;=2,"Satisfactorio",IF(ABS(E14)&lt;3,"Cuestionable","No satisfactorio"))</f>
      </c>
      <c r="J14" s="5" t="str">
        <f>IF(ABS(H14)&lt;=1,"Satisfactorio","No satisfactorio")</f>
      </c>
    </row>
    <row r="15">
      <c r="A15" t="s">
        <v>163</v>
      </c>
      <c r="B15" s="3" t="n">
        <v>59.9</v>
      </c>
      <c r="C15" s="3" t="n">
        <v>0.25</v>
      </c>
      <c r="D15" s="3" t="n">
        <v>0.5</v>
      </c>
      <c r="E15" s="5" t="str">
        <f>(B15-$B$5)/$B$6</f>
      </c>
      <c r="F15" s="5" t="str">
        <f>(B15-$B$5)/SQRT($B$6^2+$B$7^2)</f>
      </c>
      <c r="G15" s="5" t="str">
        <f>(B15-$B$5)/SQRT(C15^2+$B$7^2)</f>
      </c>
      <c r="H15" s="5" t="str">
        <f>(B15-$B$5)/SQRT(D15^2+$B$8^2)</f>
      </c>
      <c r="I15" s="5" t="str">
        <f>IF(ABS(E15)&lt;=2,"Satisfactorio",IF(ABS(E15)&lt;3,"Cuestionable","No satisfactorio"))</f>
      </c>
      <c r="J15" s="5" t="str">
        <f>IF(ABS(H15)&lt;=1,"Satisfactorio","No satisfactorio")</f>
      </c>
    </row>
    <row r="16">
      <c r="A16" t="s">
        <v>164</v>
      </c>
      <c r="B16" s="3" t="n">
        <v>58.5</v>
      </c>
      <c r="C16" s="3" t="n">
        <v>0.3</v>
      </c>
      <c r="D16" s="3" t="n">
        <v>0.6</v>
      </c>
      <c r="E16" s="5" t="str">
        <f>(B16-$B$5)/$B$6</f>
      </c>
      <c r="F16" s="5" t="str">
        <f>(B16-$B$5)/SQRT($B$6^2+$B$7^2)</f>
      </c>
      <c r="G16" s="5" t="str">
        <f>(B16-$B$5)/SQRT(C16^2+$B$7^2)</f>
      </c>
      <c r="H16" s="5" t="str">
        <f>(B16-$B$5)/SQRT(D16^2+$B$8^2)</f>
      </c>
      <c r="I16" s="5" t="str">
        <f>IF(ABS(E16)&lt;=2,"Satisfactorio",IF(ABS(E16)&lt;3,"Cuestionable","No satisfactorio"))</f>
      </c>
      <c r="J16" s="5" t="str">
        <f>IF(ABS(H16)&lt;=1,"Satisfactorio","No satisfactorio")</f>
      </c>
    </row>
    <row r="18">
      <c r="A18" s="2" t="s">
        <v>165</v>
      </c>
    </row>
    <row r="19">
      <c r="A19" t="s">
        <v>154</v>
      </c>
      <c r="B19" t="s">
        <v>166</v>
      </c>
    </row>
    <row r="20">
      <c r="A20" t="s">
        <v>155</v>
      </c>
      <c r="B20" t="s">
        <v>167</v>
      </c>
    </row>
    <row r="21">
      <c r="A21" t="s">
        <v>168</v>
      </c>
      <c r="B21" t="s">
        <v>169</v>
      </c>
    </row>
    <row r="22">
      <c r="A22" t="s">
        <v>157</v>
      </c>
      <c r="B22" t="s">
        <v>170</v>
      </c>
    </row>
    <row r="24">
      <c r="A24" s="2" t="s">
        <v>171</v>
      </c>
    </row>
    <row r="25">
      <c r="A25" t="s">
        <v>154</v>
      </c>
      <c r="B25" t="s">
        <v>172</v>
      </c>
    </row>
    <row r="26">
      <c r="A26" t="s">
        <v>157</v>
      </c>
      <c r="B26" t="s">
        <v>173</v>
      </c>
    </row>
  </sheetData>
  <mergeCells count="2">
    <mergeCell ref="A1:J1"/>
    <mergeCell ref="A2:J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w182</dc:creator>
  <cp:lastModifiedBy>w182</cp:lastModifiedBy>
  <dcterms:created xsi:type="dcterms:W3CDTF">2026-01-21T18:25:34Z</dcterms:created>
</coreProperties>
</file>