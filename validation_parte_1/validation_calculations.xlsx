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mogeneidad" sheetId="1" state="visible" r:id="rId3"/>
    <sheet name="estabilidad" sheetId="2" state="visible" r:id="rId4"/>
    <sheet name="estadisticas_robustas" sheetId="3" state="visible" r:id="rId5"/>
    <sheet name="algoritmo_a" sheetId="4" state="visible" r:id="rId6"/>
    <sheet name="contaminantes" sheetId="5" state="visible" r:id="rId7"/>
    <sheet name="puntuaciones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<sst xmlns="http://schemas.openxmlformats.org/spreadsheetml/2006/main" count="323" uniqueCount="204">
  <si>
    <t xml:space="preserve">HOMOGENEITY VALIDATION - SO2 60-nmol/mol</t>
  </si>
  <si>
    <t xml:space="preserve">ISO 13528:2022 Section 9.2 - Between-sample and within-sample standard deviations</t>
  </si>
  <si>
    <t xml:space="preserve">Parameters</t>
  </si>
  <si>
    <t xml:space="preserve">MADe</t>
  </si>
  <si>
    <t xml:space="preserve">NIQR</t>
  </si>
  <si>
    <t xml:space="preserve">g (samples)</t>
  </si>
  <si>
    <t xml:space="preserve">m (replicates)</t>
  </si>
  <si>
    <t xml:space="preserve">valor asignado x_pt</t>
  </si>
  <si>
    <t xml:space="preserve">mediana diferencias</t>
  </si>
  <si>
    <t xml:space="preserve">q1</t>
  </si>
  <si>
    <t xml:space="preserve">desviacion</t>
  </si>
  <si>
    <t xml:space="preserve">q3</t>
  </si>
  <si>
    <t xml:space="preserve">σ_pt</t>
  </si>
  <si>
    <t xml:space="preserve">ICR</t>
  </si>
  <si>
    <t xml:space="preserve">incertidumbre x_pt</t>
  </si>
  <si>
    <t xml:space="preserve">Sample ID</t>
  </si>
  <si>
    <t xml:space="preserve">replicate_1</t>
  </si>
  <si>
    <t xml:space="preserve">replicate_2</t>
  </si>
  <si>
    <t xml:space="preserve">promedio muestra xt</t>
  </si>
  <si>
    <t xml:space="preserve">rango entre ensayos</t>
  </si>
  <si>
    <t xml:space="preserve">desviacion vs xpt</t>
  </si>
  <si>
    <t xml:space="preserve">CALCULATED STATISTICS</t>
  </si>
  <si>
    <t xml:space="preserve">Grand Mean (x̄̄)</t>
  </si>
  <si>
    <t xml:space="preserve">sx</t>
  </si>
  <si>
    <t xml:space="preserve">sw</t>
  </si>
  <si>
    <t xml:space="preserve">ss (between-sample SD)</t>
  </si>
  <si>
    <t xml:space="preserve">HOMOGENEITY CRITERION</t>
  </si>
  <si>
    <t xml:space="preserve">c = 0.3 × σ_pt</t>
  </si>
  <si>
    <t xml:space="preserve">ss ≤ c ?</t>
  </si>
  <si>
    <t xml:space="preserve">C_Exp</t>
  </si>
  <si>
    <t xml:space="preserve">g</t>
  </si>
  <si>
    <t xml:space="preserve">f1</t>
  </si>
  <si>
    <t xml:space="preserve">f2</t>
  </si>
  <si>
    <t xml:space="preserve">STABILITY VALIDATION - SO2 60-nmol/mol</t>
  </si>
  <si>
    <t xml:space="preserve">ISO 13528:2022 Section 9.3 - Stability assessment</t>
  </si>
  <si>
    <t xml:space="preserve">HOMOGENEITY DATA</t>
  </si>
  <si>
    <t xml:space="preserve">STABILITY DATA</t>
  </si>
  <si>
    <t xml:space="preserve">Rep 1</t>
  </si>
  <si>
    <t xml:space="preserve">Rep 2</t>
  </si>
  <si>
    <t xml:space="preserve">Mean</t>
  </si>
  <si>
    <t xml:space="preserve">pollutant</t>
  </si>
  <si>
    <t xml:space="preserve">run</t>
  </si>
  <si>
    <t xml:space="preserve">level</t>
  </si>
  <si>
    <t xml:space="preserve">replicate</t>
  </si>
  <si>
    <t xml:space="preserve">sample_id</t>
  </si>
  <si>
    <t xml:space="preserve">value</t>
  </si>
  <si>
    <t xml:space="preserve">co</t>
  </si>
  <si>
    <t xml:space="preserve">corrida_1</t>
  </si>
  <si>
    <t xml:space="preserve">0-μmol/mol</t>
  </si>
  <si>
    <t xml:space="preserve">Stability Grand Mean</t>
  </si>
  <si>
    <t xml:space="preserve">Homogeneity Grand Mean</t>
  </si>
  <si>
    <t xml:space="preserve">STABILITY ASSESSMENT</t>
  </si>
  <si>
    <t xml:space="preserve">|Stab Mean - Hom Mean|</t>
  </si>
  <si>
    <t xml:space="preserve">Criterion c = 0.3 × σ_pt</t>
  </si>
  <si>
    <t xml:space="preserve">diff ≤ c ?</t>
  </si>
  <si>
    <t xml:space="preserve">ADDITIONAL STABILITY CALCULATIONS</t>
  </si>
  <si>
    <t xml:space="preserve">u_stab = Dmax / √3</t>
  </si>
  <si>
    <t xml:space="preserve">← Uncertainty due to instability</t>
  </si>
  <si>
    <t xml:space="preserve">ROBUST STATISTICS VALIDATION - SO2 60-nmol/mol</t>
  </si>
  <si>
    <t xml:space="preserve">ISO 13528:2022 Section 9.4 - MADe and nIQR calculations</t>
  </si>
  <si>
    <t xml:space="preserve">Values (xi)</t>
  </si>
  <si>
    <t xml:space="preserve">|xi - median|</t>
  </si>
  <si>
    <t xml:space="preserve">CALCULATIONS</t>
  </si>
  <si>
    <t xml:space="preserve">n (count)</t>
  </si>
  <si>
    <t xml:space="preserve">Median</t>
  </si>
  <si>
    <t xml:space="preserve">Q1 (25th percentile)</t>
  </si>
  <si>
    <t xml:space="preserve">Q3 (75th percentile)</t>
  </si>
  <si>
    <t xml:space="preserve">IQR (Q3 - Q1)</t>
  </si>
  <si>
    <t xml:space="preserve">nIQR = 0.7413 × IQR</t>
  </si>
  <si>
    <t xml:space="preserve">← Robust SD estimator</t>
  </si>
  <si>
    <t xml:space="preserve">MAD (median of |xi-median|)</t>
  </si>
  <si>
    <t xml:space="preserve">MADe = 1.483 × MAD</t>
  </si>
  <si>
    <t xml:space="preserve">COMPARISON (Classical)</t>
  </si>
  <si>
    <t xml:space="preserve">SD</t>
  </si>
  <si>
    <t xml:space="preserve">ALGORITHM A VALIDATION - SO2 60-nmol/mol</t>
  </si>
  <si>
    <t xml:space="preserve">ISO 13528:2022 Annex C.3 - Iterative Robust Estimation (Winsorization Method)</t>
  </si>
  <si>
    <t xml:space="preserve">ALGORITHM PARAMETERS</t>
  </si>
  <si>
    <t xml:space="preserve">p (observations)</t>
  </si>
  <si>
    <t xml:space="preserve">MAD scale factor</t>
  </si>
  <si>
    <t xml:space="preserve">← Makes MAD consistent for normal distribution</t>
  </si>
  <si>
    <t xml:space="preserve">Winsorization factor (1.5×s*)</t>
  </si>
  <si>
    <t xml:space="preserve">← δ = 1.5 × s* for winsorization bounds</t>
  </si>
  <si>
    <t xml:space="preserve">Scale adjustment factor</t>
  </si>
  <si>
    <t xml:space="preserve">← Applied to s* calculation: 1.134 × SD</t>
  </si>
  <si>
    <t xml:space="preserve">INPUT DATA (xi)</t>
  </si>
  <si>
    <t xml:space="preserve">i</t>
  </si>
  <si>
    <t xml:space="preserve">xi</t>
  </si>
  <si>
    <t xml:space="preserve">INITIAL ESTIMATES (Iteration 0)</t>
  </si>
  <si>
    <t xml:space="preserve">MAD (median of |xi - median|)</t>
  </si>
  <si>
    <t xml:space="preserve">x*₀ = median</t>
  </si>
  <si>
    <t xml:space="preserve">s*₀ = 1.483 × MAD</t>
  </si>
  <si>
    <t xml:space="preserve">δ₀ = 1.5 × s*₀</t>
  </si>
  <si>
    <t xml:space="preserve">Lower bound = x*₀ - δ₀</t>
  </si>
  <si>
    <t xml:space="preserve">Upper bound = x*₀ + δ₀</t>
  </si>
  <si>
    <t xml:space="preserve">ITERATION 1 DETAIL - WINSORIZATION</t>
  </si>
  <si>
    <t xml:space="preserve">Lower bound</t>
  </si>
  <si>
    <t xml:space="preserve">Upper bound</t>
  </si>
  <si>
    <t xml:space="preserve">xi* (winsorized)</t>
  </si>
  <si>
    <t xml:space="preserve">(xi* - x*₁)²</t>
  </si>
  <si>
    <t xml:space="preserve">x*₁ = mean(xi*)</t>
  </si>
  <si>
    <t xml:space="preserve">Σ(xi* - x*₁)²</t>
  </si>
  <si>
    <t xml:space="preserve">s*₁ = 1.134 × √(Σ(xi* - x*₁)² / (p-1))</t>
  </si>
  <si>
    <t xml:space="preserve">3rd Sig Fig Comparison</t>
  </si>
  <si>
    <t xml:space="preserve">Δx* = |x*₁ - x*₀|</t>
  </si>
  <si>
    <t xml:space="preserve">Δs* = |s*₁ - s*₀|</t>
  </si>
  <si>
    <t xml:space="preserve">Converged? (3rd sig fig match)</t>
  </si>
  <si>
    <t xml:space="preserve">ITERATION SUMMARY</t>
  </si>
  <si>
    <t xml:space="preserve">Iteration</t>
  </si>
  <si>
    <t xml:space="preserve">x*</t>
  </si>
  <si>
    <t xml:space="preserve">s*</t>
  </si>
  <si>
    <t xml:space="preserve">Δx*</t>
  </si>
  <si>
    <t xml:space="preserve">Δs*</t>
  </si>
  <si>
    <t xml:space="preserve">Converged</t>
  </si>
  <si>
    <t xml:space="preserve">-</t>
  </si>
  <si>
    <t xml:space="preserve">FINAL RESULTS (after convergence)</t>
  </si>
  <si>
    <t xml:space="preserve">x* (Robust Mean / Assigned Value)</t>
  </si>
  <si>
    <t xml:space="preserve">s* (Robust SD)</t>
  </si>
  <si>
    <t xml:space="preserve">FORMULA REFERENCE (ISO 13528:2022 Annex C.3 - Winsorization Method)</t>
  </si>
  <si>
    <t xml:space="preserve">Initial x*</t>
  </si>
  <si>
    <t xml:space="preserve">x*₀ = median(xi)</t>
  </si>
  <si>
    <t xml:space="preserve">Initial s*</t>
  </si>
  <si>
    <t xml:space="preserve">s*₀ = 1.483 × MAD(xi)</t>
  </si>
  <si>
    <t xml:space="preserve">Winsorization bound</t>
  </si>
  <si>
    <t xml:space="preserve">δ = 1.5 × s*</t>
  </si>
  <si>
    <t xml:space="preserve">Winsorized value</t>
  </si>
  <si>
    <t xml:space="preserve">xi* = clamp(xi, x* - δ, x* + δ)</t>
  </si>
  <si>
    <t xml:space="preserve">Updated x*</t>
  </si>
  <si>
    <t xml:space="preserve">x* = mean(xi*)</t>
  </si>
  <si>
    <t xml:space="preserve">Updated s*</t>
  </si>
  <si>
    <t xml:space="preserve">s* = 1.134 × √(Σ(xi* - x*)² / (p-1))</t>
  </si>
  <si>
    <t xml:space="preserve">Convergence</t>
  </si>
  <si>
    <t xml:space="preserve">3rd significant figure unchanged</t>
  </si>
  <si>
    <t xml:space="preserve">MULTI-POLLUTANT ROBUST STATISTICS COMPARISON</t>
  </si>
  <si>
    <t xml:space="preserve">ISO 13528:2022 - Robust estimates for all pollutants at selected levels</t>
  </si>
  <si>
    <t xml:space="preserve">CO 4-μmol/mol (n=12)</t>
  </si>
  <si>
    <t xml:space="preserve">Statistic</t>
  </si>
  <si>
    <t xml:space="preserve">Value</t>
  </si>
  <si>
    <t xml:space="preserve">Formula</t>
  </si>
  <si>
    <t xml:space="preserve">n</t>
  </si>
  <si>
    <t xml:space="preserve">MEDIAN(xi)</t>
  </si>
  <si>
    <t xml:space="preserve">AVERAGE(xi)</t>
  </si>
  <si>
    <t xml:space="preserve">STDEV.S(xi)</t>
  </si>
  <si>
    <t xml:space="preserve">Q1</t>
  </si>
  <si>
    <t xml:space="preserve">Q3</t>
  </si>
  <si>
    <t xml:space="preserve">IQR</t>
  </si>
  <si>
    <t xml:space="preserve">Q3 - Q1</t>
  </si>
  <si>
    <t xml:space="preserve">nIQR</t>
  </si>
  <si>
    <t xml:space="preserve">0.7413 × IQR</t>
  </si>
  <si>
    <t xml:space="preserve">(computed)</t>
  </si>
  <si>
    <t xml:space="preserve">1.483 × median(|xi-median|)</t>
  </si>
  <si>
    <t xml:space="preserve">NO 121-nmol/mol (n=12)</t>
  </si>
  <si>
    <t xml:space="preserve">NO2 60-nmol/mol (n=12)</t>
  </si>
  <si>
    <t xml:space="preserve">O3 80-nmol/mol (n=12)</t>
  </si>
  <si>
    <t xml:space="preserve">SO2 60-nmol/mol (n=12)</t>
  </si>
  <si>
    <t xml:space="preserve">SUMMARY COMPARISON TABLE</t>
  </si>
  <si>
    <t xml:space="preserve">Pollutant</t>
  </si>
  <si>
    <t xml:space="preserve">Level</t>
  </si>
  <si>
    <t xml:space="preserve">CO</t>
  </si>
  <si>
    <t xml:space="preserve">4-μmol/mol</t>
  </si>
  <si>
    <t xml:space="preserve">NO</t>
  </si>
  <si>
    <t xml:space="preserve">121-nmol/mol</t>
  </si>
  <si>
    <t xml:space="preserve">NO2</t>
  </si>
  <si>
    <t xml:space="preserve">60-nmol/mol</t>
  </si>
  <si>
    <t xml:space="preserve">O3</t>
  </si>
  <si>
    <t xml:space="preserve">80-nmol/mol</t>
  </si>
  <si>
    <t xml:space="preserve">SO2</t>
  </si>
  <si>
    <t xml:space="preserve">PT SCORES VALIDATION</t>
  </si>
  <si>
    <t xml:space="preserve">ISO 13528:2022 Section 10 - Performance scores</t>
  </si>
  <si>
    <t xml:space="preserve">ASSIGNED VALUE &amp; PARAMETERS (Example: SO2 60-nmol/mol)</t>
  </si>
  <si>
    <t xml:space="preserve">x_pt (assigned value)</t>
  </si>
  <si>
    <t xml:space="preserve">σ_pt (std dev for PT)</t>
  </si>
  <si>
    <t xml:space="preserve">u_xpt (std uncertainty of x_pt)</t>
  </si>
  <si>
    <t xml:space="preserve">u_hom (uncertainty from homogeneity)</t>
  </si>
  <si>
    <t xml:space="preserve">u_stab (uncertainty from stability)</t>
  </si>
  <si>
    <t xml:space="preserve">u_xpt_def (definitive uncertainty)</t>
  </si>
  <si>
    <t xml:space="preserve">← √(u_xpt² + u_hom² + u_stab²)</t>
  </si>
  <si>
    <t xml:space="preserve">U_xpt (expanded uncertainty, k=2)</t>
  </si>
  <si>
    <t xml:space="preserve">PARTICIPANT RESULTS</t>
  </si>
  <si>
    <t xml:space="preserve">Participant</t>
  </si>
  <si>
    <t xml:space="preserve">x (result)</t>
  </si>
  <si>
    <t xml:space="preserve">u_x (std unc)</t>
  </si>
  <si>
    <t xml:space="preserve">U_x (exp unc)</t>
  </si>
  <si>
    <t xml:space="preserve">z-score</t>
  </si>
  <si>
    <t xml:space="preserve">z'-score</t>
  </si>
  <si>
    <t xml:space="preserve">ζ-score</t>
  </si>
  <si>
    <t xml:space="preserve">En-score</t>
  </si>
  <si>
    <t xml:space="preserve">z Eval</t>
  </si>
  <si>
    <t xml:space="preserve">En Eval</t>
  </si>
  <si>
    <t xml:space="preserve">Lab A</t>
  </si>
  <si>
    <t xml:space="preserve">Lab B</t>
  </si>
  <si>
    <t xml:space="preserve">Lab C</t>
  </si>
  <si>
    <t xml:space="preserve">Lab D</t>
  </si>
  <si>
    <t xml:space="preserve">Lab E</t>
  </si>
  <si>
    <t xml:space="preserve">FORMULA REFERENCE</t>
  </si>
  <si>
    <t xml:space="preserve">z = (x - x_pt) / σ_pt</t>
  </si>
  <si>
    <t xml:space="preserve">z' = (x - x_pt) / √(σ_pt² + u_xpt_def²)</t>
  </si>
  <si>
    <t xml:space="preserve">ζ-score (zeta)</t>
  </si>
  <si>
    <t xml:space="preserve">ζ = (x - x_pt) / √(u_x² + u_xpt_def²)</t>
  </si>
  <si>
    <t xml:space="preserve">En = (x - x_pt) / √(U_x² + U_xpt²)</t>
  </si>
  <si>
    <t xml:space="preserve">u_xpt_def</t>
  </si>
  <si>
    <t xml:space="preserve">u_xpt_def = √(u_xpt² + u_hom² + u_stab²)</t>
  </si>
  <si>
    <t xml:space="preserve">EVALUATION CRITERIA</t>
  </si>
  <si>
    <t xml:space="preserve">|z| ≤ 2: Satisfactorio, 2 &lt; |z| &lt; 3: Cuestionable, |z| ≥ 3: No satisfactorio</t>
  </si>
  <si>
    <t xml:space="preserve">|En| ≤ 1: Satisfactorio, |En| &gt; 1: No satisfactorio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</si>
</sst>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00"/>
    <numFmt numFmtId="166" formatCode="0.00000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0000FF"/>
      <name val="Calibri"/>
      <family val="0"/>
      <charset val="1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4472C4"/>
        <bgColor rgb="FF666699"/>
      </patternFill>
    </fill>
    <fill>
      <patternFill patternType="solid">
        <fgColor rgb="FFE2EFDA"/>
        <bgColor rgb="FFD9E1F2"/>
      </patternFill>
    </fill>
    <fill>
      <patternFill patternType="solid">
        <fgColor rgb="FFD9E1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9"/>
  <sheetViews>
    <sheetView showFormulas="false" showGridLines="true" showRowColHeaders="true" showZeros="true" rightToLeft="false" tabSelected="true" showOutlineSymbols="true" defaultGridColor="true" view="normal" topLeftCell="A8" colorId="64" zoomScale="62" zoomScaleNormal="62" zoomScalePageLayoutView="100" workbookViewId="0">
      <selection pane="topLeft" activeCell="D11" activeCellId="0" sqref="D11"/>
    </sheetView>
  </sheetViews>
  <sheetFormatPr defaultColWidth="10.6171875" defaultRowHeight="15" customHeight="false" zeroHeight="false" outlineLevelRow="0" outlineLevelCol="0"/>
  <cols>
    <col collapsed="false" customWidth="true" hidden="false" outlineLevel="0" max="1" min="1" style="1" width="20.6"/>
    <col collapsed="false" customWidth="true" hidden="false" outlineLevel="0" max="2" min="2" style="1" width="21.23"/>
    <col collapsed="false" customWidth="true" hidden="false" outlineLevel="0" max="3" min="3" style="1" width="21.44"/>
    <col collapsed="false" customWidth="true" hidden="false" outlineLevel="0" max="4" min="4" style="1" width="18.76"/>
    <col collapsed="false" customWidth="true" hidden="false" outlineLevel="0" max="5" min="5" style="1" width="13.71"/>
    <col collapsed="false" customWidth="true" hidden="false" outlineLevel="0" max="6" min="6" style="1" width="9.81"/>
  </cols>
  <sheetData>
    <row r="1" customFormat="false" ht="17.3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5" hidden="false" customHeight="false" outlineLevel="0" collapsed="false">
      <c r="A4" s="4" t="s">
        <v>2</v>
      </c>
      <c r="B4" s="1" t="s">
        <v>3</v>
      </c>
      <c r="D4" s="1" t="s">
        <v>4</v>
      </c>
    </row>
    <row r="5" customFormat="false" ht="15" hidden="false" customHeight="false" outlineLevel="0" collapsed="false">
      <c r="A5" s="1" t="s">
        <v>5</v>
      </c>
      <c r="B5" s="1" t="n">
        <v>10</v>
      </c>
      <c r="D5" s="1" t="n">
        <f aca="false">B5</f>
        <v>10</v>
      </c>
    </row>
    <row r="6" customFormat="false" ht="15" hidden="false" customHeight="false" outlineLevel="0" collapsed="false">
      <c r="A6" s="1" t="s">
        <v>6</v>
      </c>
      <c r="B6" s="1" t="n">
        <v>2</v>
      </c>
      <c r="D6" s="1" t="n">
        <f aca="false">B6</f>
        <v>2</v>
      </c>
    </row>
    <row r="7" customFormat="false" ht="15" hidden="false" customHeight="false" outlineLevel="0" collapsed="false">
      <c r="A7" s="1" t="s">
        <v>7</v>
      </c>
      <c r="B7" s="5" t="n">
        <f aca="false">MEDIAN(B19:B28)</f>
        <v>-0.0228370132465</v>
      </c>
      <c r="C7" s="6"/>
      <c r="D7" s="7" t="n">
        <f aca="false">MEDIAN(B19:B28)</f>
        <v>-0.0228370132465</v>
      </c>
    </row>
    <row r="8" customFormat="false" ht="15" hidden="false" customHeight="false" outlineLevel="0" collapsed="false">
      <c r="A8" s="1" t="s">
        <v>8</v>
      </c>
      <c r="B8" s="5" t="n">
        <f aca="false">MEDIAN(F19:F28)</f>
        <v>0.026230630268</v>
      </c>
      <c r="C8" s="6" t="s">
        <v>9</v>
      </c>
      <c r="D8" s="6" t="n">
        <f aca="false">QUARTILE(B19:B28,1)</f>
        <v>-0.0503867924525</v>
      </c>
    </row>
    <row r="9" customFormat="false" ht="15" hidden="false" customHeight="false" outlineLevel="0" collapsed="false">
      <c r="A9" s="1" t="s">
        <v>10</v>
      </c>
      <c r="B9" s="5" t="n">
        <f aca="false">1.483*B8</f>
        <v>0.038900024687444</v>
      </c>
      <c r="C9" s="6" t="s">
        <v>11</v>
      </c>
      <c r="D9" s="6" t="n">
        <f aca="false">QUARTILE(B19:B28,3)</f>
        <v>0.0046542553195</v>
      </c>
    </row>
    <row r="10" customFormat="false" ht="15" hidden="false" customHeight="false" outlineLevel="0" collapsed="false">
      <c r="A10" s="1" t="s">
        <v>12</v>
      </c>
      <c r="B10" s="5" t="n">
        <f aca="false">B9</f>
        <v>0.038900024687444</v>
      </c>
      <c r="C10" s="6" t="s">
        <v>13</v>
      </c>
      <c r="D10" s="6" t="n">
        <f aca="false">D9-D8</f>
        <v>0.055041047772</v>
      </c>
    </row>
    <row r="11" customFormat="false" ht="15" hidden="false" customHeight="false" outlineLevel="0" collapsed="false">
      <c r="A11" s="1" t="s">
        <v>14</v>
      </c>
      <c r="B11" s="5" t="n">
        <f aca="false">1.25*B9/SQRT(B5)</f>
        <v>0.0153765848811378</v>
      </c>
      <c r="C11" s="6" t="s">
        <v>4</v>
      </c>
      <c r="D11" s="6" t="n">
        <f aca="false">0.7413*D10</f>
        <v>0.0408019287133836</v>
      </c>
    </row>
    <row r="12" customFormat="false" ht="15" hidden="false" customHeight="false" outlineLevel="0" collapsed="false">
      <c r="B12" s="6"/>
      <c r="C12" s="6" t="s">
        <v>12</v>
      </c>
      <c r="D12" s="6" t="n">
        <f aca="false">D11</f>
        <v>0.0408019287133836</v>
      </c>
    </row>
    <row r="13" customFormat="false" ht="15" hidden="false" customHeight="false" outlineLevel="0" collapsed="false">
      <c r="B13" s="6"/>
      <c r="C13" s="6" t="s">
        <v>14</v>
      </c>
      <c r="D13" s="7" t="n">
        <f aca="false">1.25*D11/SQRT(D5)</f>
        <v>0.0161283784577645</v>
      </c>
    </row>
    <row r="14" customFormat="false" ht="15" hidden="false" customHeight="false" outlineLevel="0" collapsed="false">
      <c r="D14" s="8"/>
    </row>
    <row r="15" customFormat="false" ht="15" hidden="false" customHeight="false" outlineLevel="0" collapsed="false">
      <c r="D15" s="8"/>
    </row>
    <row r="16" customFormat="false" ht="15" hidden="false" customHeight="false" outlineLevel="0" collapsed="false">
      <c r="D16" s="8"/>
    </row>
    <row r="18" customFormat="false" ht="15" hidden="false" customHeight="false" outlineLevel="0" collapsed="false">
      <c r="A18" s="9" t="s">
        <v>15</v>
      </c>
      <c r="B18" s="9" t="s">
        <v>16</v>
      </c>
      <c r="C18" s="9" t="s">
        <v>17</v>
      </c>
      <c r="D18" s="9" t="s">
        <v>18</v>
      </c>
      <c r="E18" s="9" t="s">
        <v>19</v>
      </c>
      <c r="F18" s="9" t="s">
        <v>20</v>
      </c>
    </row>
    <row r="19" customFormat="false" ht="15" hidden="false" customHeight="false" outlineLevel="0" collapsed="false">
      <c r="A19" s="1" t="n">
        <v>1</v>
      </c>
      <c r="B19" s="10" t="n">
        <v>0.00670212766</v>
      </c>
      <c r="C19" s="6" t="n">
        <v>-0.04796226415</v>
      </c>
      <c r="D19" s="11" t="n">
        <f aca="false">AVERAGE(B19,C19)</f>
        <v>-0.020630068245</v>
      </c>
      <c r="E19" s="12" t="n">
        <f aca="false">ABS(B19-C19)</f>
        <v>0.05466439181</v>
      </c>
      <c r="F19" s="11" t="n">
        <f aca="false">ABS(C19-$B$7)</f>
        <v>0.0251252509035</v>
      </c>
    </row>
    <row r="20" customFormat="false" ht="15" hidden="false" customHeight="false" outlineLevel="0" collapsed="false">
      <c r="A20" s="1" t="n">
        <v>2</v>
      </c>
      <c r="B20" s="10" t="n">
        <v>0.004787234043</v>
      </c>
      <c r="C20" s="6" t="n">
        <v>-0.0488490566</v>
      </c>
      <c r="D20" s="11" t="n">
        <f aca="false">AVERAGE(B20,C20)</f>
        <v>-0.0220309112785</v>
      </c>
      <c r="E20" s="12" t="n">
        <f aca="false">ABS(B20-C20)</f>
        <v>0.053636290643</v>
      </c>
      <c r="F20" s="11" t="n">
        <f aca="false">ABS(C20-$B$7)</f>
        <v>0.0260120433535</v>
      </c>
    </row>
    <row r="21" customFormat="false" ht="15" hidden="false" customHeight="false" outlineLevel="0" collapsed="false">
      <c r="A21" s="1" t="n">
        <v>3</v>
      </c>
      <c r="B21" s="10" t="n">
        <v>-0.04928301887</v>
      </c>
      <c r="C21" s="6" t="n">
        <v>-0.04745283019</v>
      </c>
      <c r="D21" s="11" t="n">
        <f aca="false">AVERAGE(B21,C21)</f>
        <v>-0.04836792453</v>
      </c>
      <c r="E21" s="12" t="n">
        <f aca="false">ABS(B21-C21)</f>
        <v>0.00183018868</v>
      </c>
      <c r="F21" s="11" t="n">
        <f aca="false">ABS(C21-$B$7)</f>
        <v>0.0246158169435</v>
      </c>
    </row>
    <row r="22" customFormat="false" ht="15" hidden="false" customHeight="false" outlineLevel="0" collapsed="false">
      <c r="A22" s="1" t="n">
        <v>4</v>
      </c>
      <c r="B22" s="10" t="n">
        <v>0.004255319149</v>
      </c>
      <c r="C22" s="6" t="n">
        <v>-0.04867924528</v>
      </c>
      <c r="D22" s="11" t="n">
        <f aca="false">AVERAGE(B22,C22)</f>
        <v>-0.0222119630655</v>
      </c>
      <c r="E22" s="12" t="n">
        <f aca="false">ABS(B22-C22)</f>
        <v>0.052934564429</v>
      </c>
      <c r="F22" s="11" t="n">
        <f aca="false">ABS(C22-$B$7)</f>
        <v>0.0258422320335</v>
      </c>
    </row>
    <row r="23" customFormat="false" ht="15" hidden="false" customHeight="false" outlineLevel="0" collapsed="false">
      <c r="A23" s="1" t="n">
        <v>5</v>
      </c>
      <c r="B23" s="10" t="n">
        <v>0.006021276596</v>
      </c>
      <c r="C23" s="6" t="n">
        <v>-0.05016981132</v>
      </c>
      <c r="D23" s="11" t="n">
        <f aca="false">AVERAGE(B23,C23)</f>
        <v>-0.022074267362</v>
      </c>
      <c r="E23" s="12" t="n">
        <f aca="false">ABS(B23-C23)</f>
        <v>0.056191087916</v>
      </c>
      <c r="F23" s="11" t="n">
        <f aca="false">ABS(C23-$B$7)</f>
        <v>0.0273327980735</v>
      </c>
    </row>
    <row r="24" customFormat="false" ht="15" hidden="false" customHeight="false" outlineLevel="0" collapsed="false">
      <c r="A24" s="1" t="n">
        <v>6</v>
      </c>
      <c r="B24" s="10" t="n">
        <v>-0.05226415094</v>
      </c>
      <c r="C24" s="6" t="n">
        <v>0.00585106383</v>
      </c>
      <c r="D24" s="11" t="n">
        <f aca="false">AVERAGE(B24,C24)</f>
        <v>-0.023206543555</v>
      </c>
      <c r="E24" s="12" t="n">
        <f aca="false">ABS(B24-C24)</f>
        <v>0.05811521477</v>
      </c>
      <c r="F24" s="11" t="n">
        <f aca="false">ABS(C24-$B$7)</f>
        <v>0.0286880770765</v>
      </c>
    </row>
    <row r="25" customFormat="false" ht="15" hidden="false" customHeight="false" outlineLevel="0" collapsed="false">
      <c r="A25" s="1" t="n">
        <v>7</v>
      </c>
      <c r="B25" s="10" t="n">
        <v>0.003212765957</v>
      </c>
      <c r="C25" s="6" t="n">
        <v>-0.05164150943</v>
      </c>
      <c r="D25" s="11" t="n">
        <f aca="false">AVERAGE(B25,C25)</f>
        <v>-0.0242143717365</v>
      </c>
      <c r="E25" s="12" t="n">
        <f aca="false">ABS(B25-C25)</f>
        <v>0.054854275387</v>
      </c>
      <c r="F25" s="11" t="n">
        <f aca="false">ABS(C25-$B$7)</f>
        <v>0.0288044961835</v>
      </c>
    </row>
    <row r="26" customFormat="false" ht="15" hidden="false" customHeight="false" outlineLevel="0" collapsed="false">
      <c r="A26" s="1" t="n">
        <v>8</v>
      </c>
      <c r="B26" s="10" t="n">
        <v>-0.05075471698</v>
      </c>
      <c r="C26" s="6" t="n">
        <v>0.004595744681</v>
      </c>
      <c r="D26" s="11" t="n">
        <f aca="false">AVERAGE(B26,C26)</f>
        <v>-0.0230794861495</v>
      </c>
      <c r="E26" s="12" t="n">
        <f aca="false">ABS(B26-C26)</f>
        <v>0.055350461661</v>
      </c>
      <c r="F26" s="11" t="n">
        <f aca="false">ABS(C26-$B$7)</f>
        <v>0.0274327579275</v>
      </c>
    </row>
    <row r="27" customFormat="false" ht="15" hidden="false" customHeight="false" outlineLevel="0" collapsed="false">
      <c r="A27" s="1" t="n">
        <v>9</v>
      </c>
      <c r="B27" s="10" t="n">
        <v>-0.05196226415</v>
      </c>
      <c r="C27" s="6" t="n">
        <v>0.003255319149</v>
      </c>
      <c r="D27" s="11" t="n">
        <f aca="false">AVERAGE(B27,C27)</f>
        <v>-0.0243534725005</v>
      </c>
      <c r="E27" s="12" t="n">
        <f aca="false">ABS(B27-C27)</f>
        <v>0.055217583299</v>
      </c>
      <c r="F27" s="11" t="n">
        <f aca="false">ABS(C27-$B$7)</f>
        <v>0.0260923323955</v>
      </c>
    </row>
    <row r="28" customFormat="false" ht="15" hidden="false" customHeight="false" outlineLevel="0" collapsed="false">
      <c r="A28" s="1" t="n">
        <v>10</v>
      </c>
      <c r="B28" s="10" t="n">
        <v>-0.04888679245</v>
      </c>
      <c r="C28" s="6" t="n">
        <v>0.003531914894</v>
      </c>
      <c r="D28" s="11" t="n">
        <f aca="false">AVERAGE(B28,C28)</f>
        <v>-0.022677438778</v>
      </c>
      <c r="E28" s="12" t="n">
        <f aca="false">ABS(B28-C28)</f>
        <v>0.052418707344</v>
      </c>
      <c r="F28" s="11" t="n">
        <f aca="false">ABS(C28-$B$7)</f>
        <v>0.0263689281405</v>
      </c>
    </row>
    <row r="30" customFormat="false" ht="15" hidden="false" customHeight="false" outlineLevel="0" collapsed="false">
      <c r="A30" s="4" t="s">
        <v>21</v>
      </c>
    </row>
    <row r="31" customFormat="false" ht="15" hidden="false" customHeight="false" outlineLevel="0" collapsed="false">
      <c r="A31" s="1" t="s">
        <v>22</v>
      </c>
      <c r="B31" s="13" t="n">
        <f aca="false">AVERAGE(D19:D28)</f>
        <v>-0.02528464472005</v>
      </c>
      <c r="D31" s="8" t="n">
        <f aca="false">AVERAGE(D19:D28)</f>
        <v>-0.02528464472005</v>
      </c>
    </row>
    <row r="32" customFormat="false" ht="15" hidden="false" customHeight="false" outlineLevel="0" collapsed="false">
      <c r="A32" s="1" t="s">
        <v>23</v>
      </c>
      <c r="B32" s="13" t="n">
        <f aca="false">_xlfn.STDEV.S(D19:D28)</f>
        <v>0.00818419128663422</v>
      </c>
      <c r="D32" s="8" t="n">
        <f aca="false">_xlfn.STDEV.S(D19:D28)</f>
        <v>0.00818419128663422</v>
      </c>
    </row>
    <row r="33" customFormat="false" ht="15" hidden="false" customHeight="false" outlineLevel="0" collapsed="false">
      <c r="A33" s="1" t="s">
        <v>24</v>
      </c>
      <c r="B33" s="1" t="n">
        <f aca="false">SQRT(SUMSQ(E19:E28)/(2*COUNT(E19:E28)))</f>
        <v>0.0367931034135838</v>
      </c>
      <c r="D33" s="14" t="n">
        <f aca="false">SQRT(SUMSQ(E19:E28)/(2*COUNT(E19:E28)))</f>
        <v>0.0367931034135838</v>
      </c>
    </row>
    <row r="34" customFormat="false" ht="15" hidden="false" customHeight="false" outlineLevel="0" collapsed="false">
      <c r="A34" s="1" t="s">
        <v>25</v>
      </c>
      <c r="B34" s="13" t="n">
        <f aca="false">SQRT(ABS((B32^2)-((B33^2)/2)))</f>
        <v>0.0246958547611763</v>
      </c>
      <c r="D34" s="8" t="n">
        <f aca="false">SQRT(ABS((B32^2)-((B33^2)/2)))</f>
        <v>0.0246958547611763</v>
      </c>
    </row>
    <row r="35" customFormat="false" ht="15" hidden="false" customHeight="false" outlineLevel="0" collapsed="false">
      <c r="A35" s="4" t="s">
        <v>26</v>
      </c>
      <c r="B35" s="6"/>
    </row>
    <row r="36" customFormat="false" ht="15" hidden="false" customHeight="false" outlineLevel="0" collapsed="false">
      <c r="A36" s="15" t="s">
        <v>12</v>
      </c>
      <c r="B36" s="6" t="n">
        <f aca="false">B10</f>
        <v>0.038900024687444</v>
      </c>
      <c r="D36" s="6" t="n">
        <f aca="false">D11</f>
        <v>0.0408019287133836</v>
      </c>
    </row>
    <row r="37" customFormat="false" ht="15" hidden="false" customHeight="false" outlineLevel="0" collapsed="false">
      <c r="A37" s="1" t="s">
        <v>27</v>
      </c>
      <c r="B37" s="13" t="n">
        <f aca="false">0.3*B10</f>
        <v>0.0116700074062332</v>
      </c>
      <c r="D37" s="1" t="n">
        <f aca="false">0.3*D12</f>
        <v>0.0122405786140151</v>
      </c>
    </row>
    <row r="38" customFormat="false" ht="15" hidden="false" customHeight="false" outlineLevel="0" collapsed="false">
      <c r="A38" s="1" t="s">
        <v>28</v>
      </c>
      <c r="B38" s="13" t="str">
        <f aca="false">IF(B34&lt;=B37,"PASS","FAIL")</f>
        <v>FAIL</v>
      </c>
      <c r="D38" s="8" t="str">
        <f aca="false">IF(D34&lt;=D37,"PASS","FAIL")</f>
        <v>FAIL</v>
      </c>
    </row>
    <row r="39" customFormat="false" ht="15" hidden="false" customHeight="false" outlineLevel="0" collapsed="false">
      <c r="A39" s="1" t="s">
        <v>29</v>
      </c>
      <c r="B39" s="1" t="n">
        <f aca="false">$B66*B37*B37+$C66*B33*B33</f>
        <v>0.00162330524037039</v>
      </c>
      <c r="D39" s="1" t="n">
        <f aca="false">$B66*D37*D37+$C66*D33*D33</f>
        <v>0.00164895350122576</v>
      </c>
    </row>
    <row r="55" customFormat="false" ht="15" hidden="false" customHeight="false" outlineLevel="0" collapsed="false">
      <c r="A55" s="16" t="s">
        <v>30</v>
      </c>
      <c r="B55" s="16" t="s">
        <v>31</v>
      </c>
      <c r="C55" s="16" t="s">
        <v>32</v>
      </c>
    </row>
    <row r="56" customFormat="false" ht="15" hidden="false" customHeight="false" outlineLevel="0" collapsed="false">
      <c r="A56" s="16" t="n">
        <v>20</v>
      </c>
      <c r="B56" s="16" t="n">
        <v>1.59</v>
      </c>
      <c r="C56" s="16" t="n">
        <v>0.57</v>
      </c>
    </row>
    <row r="57" customFormat="false" ht="15" hidden="false" customHeight="false" outlineLevel="0" collapsed="false">
      <c r="A57" s="16" t="n">
        <v>19</v>
      </c>
      <c r="B57" s="16" t="n">
        <v>1.6</v>
      </c>
      <c r="C57" s="16" t="n">
        <v>0.59</v>
      </c>
    </row>
    <row r="58" customFormat="false" ht="15" hidden="false" customHeight="false" outlineLevel="0" collapsed="false">
      <c r="A58" s="16" t="n">
        <v>18</v>
      </c>
      <c r="B58" s="16" t="n">
        <v>1.62</v>
      </c>
      <c r="C58" s="16" t="n">
        <v>0.62</v>
      </c>
    </row>
    <row r="59" customFormat="false" ht="15" hidden="false" customHeight="false" outlineLevel="0" collapsed="false">
      <c r="A59" s="16" t="n">
        <v>17</v>
      </c>
      <c r="B59" s="16" t="n">
        <v>1.64</v>
      </c>
      <c r="C59" s="16" t="n">
        <v>0.64</v>
      </c>
    </row>
    <row r="60" customFormat="false" ht="15" hidden="false" customHeight="false" outlineLevel="0" collapsed="false">
      <c r="A60" s="16" t="n">
        <v>16</v>
      </c>
      <c r="B60" s="16" t="n">
        <v>1.67</v>
      </c>
      <c r="C60" s="16" t="n">
        <v>0.68</v>
      </c>
    </row>
    <row r="61" customFormat="false" ht="15" hidden="false" customHeight="false" outlineLevel="0" collapsed="false">
      <c r="A61" s="16" t="n">
        <v>15</v>
      </c>
      <c r="B61" s="16" t="n">
        <v>1.69</v>
      </c>
      <c r="C61" s="16" t="n">
        <v>0.71</v>
      </c>
    </row>
    <row r="62" customFormat="false" ht="15" hidden="false" customHeight="false" outlineLevel="0" collapsed="false">
      <c r="A62" s="16" t="n">
        <v>14</v>
      </c>
      <c r="B62" s="16" t="n">
        <v>1.72</v>
      </c>
      <c r="C62" s="16" t="n">
        <v>0.75</v>
      </c>
    </row>
    <row r="63" customFormat="false" ht="15" hidden="false" customHeight="false" outlineLevel="0" collapsed="false">
      <c r="A63" s="16" t="n">
        <v>13</v>
      </c>
      <c r="B63" s="16" t="n">
        <v>1.75</v>
      </c>
      <c r="C63" s="16" t="n">
        <v>0.8</v>
      </c>
    </row>
    <row r="64" customFormat="false" ht="15" hidden="false" customHeight="false" outlineLevel="0" collapsed="false">
      <c r="A64" s="16" t="n">
        <v>12</v>
      </c>
      <c r="B64" s="16" t="n">
        <v>1.79</v>
      </c>
      <c r="C64" s="16" t="n">
        <v>0.86</v>
      </c>
    </row>
    <row r="65" customFormat="false" ht="15" hidden="false" customHeight="false" outlineLevel="0" collapsed="false">
      <c r="A65" s="16" t="n">
        <v>11</v>
      </c>
      <c r="B65" s="16" t="n">
        <v>1.83</v>
      </c>
      <c r="C65" s="16" t="n">
        <v>0.93</v>
      </c>
    </row>
    <row r="66" customFormat="false" ht="15" hidden="false" customHeight="false" outlineLevel="0" collapsed="false">
      <c r="A66" s="16" t="n">
        <v>10</v>
      </c>
      <c r="B66" s="16" t="n">
        <v>1.88</v>
      </c>
      <c r="C66" s="16" t="n">
        <v>1.01</v>
      </c>
    </row>
    <row r="67" customFormat="false" ht="15" hidden="false" customHeight="false" outlineLevel="0" collapsed="false">
      <c r="A67" s="16" t="n">
        <v>9</v>
      </c>
      <c r="B67" s="16" t="n">
        <v>1.94</v>
      </c>
      <c r="C67" s="16" t="n">
        <v>1.11</v>
      </c>
    </row>
    <row r="68" customFormat="false" ht="15" hidden="false" customHeight="false" outlineLevel="0" collapsed="false">
      <c r="A68" s="16" t="n">
        <v>8</v>
      </c>
      <c r="B68" s="16" t="n">
        <v>2.01</v>
      </c>
      <c r="C68" s="16" t="n">
        <v>1.25</v>
      </c>
    </row>
    <row r="69" customFormat="false" ht="15" hidden="false" customHeight="false" outlineLevel="0" collapsed="false">
      <c r="A69" s="16" t="n">
        <v>7</v>
      </c>
      <c r="B69" s="16" t="n">
        <v>2.1</v>
      </c>
      <c r="C69" s="16" t="n">
        <v>1.43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6"/>
  <sheetViews>
    <sheetView showFormulas="false" showGridLines="true" showRowColHeaders="true" showZeros="true" rightToLeft="false" tabSelected="false" showOutlineSymbols="true" defaultGridColor="true" view="normal" topLeftCell="A11" colorId="64" zoomScale="62" zoomScaleNormal="62" zoomScalePageLayoutView="100" workbookViewId="0">
      <selection pane="topLeft" activeCell="B41" activeCellId="0" sqref="B41"/>
    </sheetView>
  </sheetViews>
  <sheetFormatPr defaultColWidth="10.6171875" defaultRowHeight="15" customHeight="false" zeroHeight="false" outlineLevelRow="0" outlineLevelCol="0"/>
  <cols>
    <col collapsed="false" customWidth="true" hidden="false" outlineLevel="0" max="1" min="1" style="1" width="31.85"/>
    <col collapsed="false" customWidth="true" hidden="false" outlineLevel="0" max="2" min="2" style="1" width="11.71"/>
    <col collapsed="false" customWidth="true" hidden="false" outlineLevel="0" max="3" min="3" style="1" width="27.15"/>
    <col collapsed="false" customWidth="true" hidden="false" outlineLevel="0" max="4" min="4" style="1" width="13.13"/>
  </cols>
  <sheetData>
    <row r="1" customFormat="false" ht="17.35" hidden="false" customHeight="false" outlineLevel="0" collapsed="false">
      <c r="A1" s="2" t="s">
        <v>33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34</v>
      </c>
      <c r="B2" s="3"/>
      <c r="C2" s="3"/>
      <c r="D2" s="3"/>
      <c r="E2" s="3"/>
      <c r="F2" s="3"/>
    </row>
    <row r="4" customFormat="false" ht="15" hidden="false" customHeight="false" outlineLevel="0" collapsed="false">
      <c r="A4" s="8" t="str">
        <f aca="false">homogeneidad!A4</f>
        <v>Parameters</v>
      </c>
      <c r="B4" s="8" t="str">
        <f aca="false">homogeneidad!B4</f>
        <v>MADe</v>
      </c>
      <c r="C4" s="8"/>
      <c r="D4" s="8" t="str">
        <f aca="false">homogeneidad!D4</f>
        <v>NIQR</v>
      </c>
    </row>
    <row r="5" customFormat="false" ht="15" hidden="false" customHeight="false" outlineLevel="0" collapsed="false">
      <c r="A5" s="8" t="str">
        <f aca="false">homogeneidad!A5</f>
        <v>g (samples)</v>
      </c>
      <c r="B5" s="8" t="n">
        <f aca="false">homogeneidad!B5</f>
        <v>10</v>
      </c>
      <c r="C5" s="8"/>
      <c r="D5" s="8" t="n">
        <f aca="false">homogeneidad!D5</f>
        <v>10</v>
      </c>
    </row>
    <row r="6" customFormat="false" ht="15" hidden="false" customHeight="false" outlineLevel="0" collapsed="false">
      <c r="A6" s="8" t="str">
        <f aca="false">homogeneidad!A6</f>
        <v>m (replicates)</v>
      </c>
      <c r="B6" s="8" t="n">
        <f aca="false">homogeneidad!B6</f>
        <v>2</v>
      </c>
      <c r="C6" s="8"/>
      <c r="D6" s="8" t="n">
        <f aca="false">homogeneidad!D6</f>
        <v>2</v>
      </c>
    </row>
    <row r="7" customFormat="false" ht="15" hidden="false" customHeight="false" outlineLevel="0" collapsed="false">
      <c r="A7" s="8" t="str">
        <f aca="false">homogeneidad!A7</f>
        <v>valor asignado x_pt</v>
      </c>
      <c r="B7" s="7" t="n">
        <f aca="false">homogeneidad!B7</f>
        <v>-0.0228370132465</v>
      </c>
      <c r="C7" s="8"/>
      <c r="D7" s="7" t="n">
        <f aca="false">homogeneidad!D7</f>
        <v>-0.0228370132465</v>
      </c>
    </row>
    <row r="8" customFormat="false" ht="15" hidden="false" customHeight="false" outlineLevel="0" collapsed="false">
      <c r="A8" s="8" t="str">
        <f aca="false">homogeneidad!A8</f>
        <v>mediana diferencias</v>
      </c>
      <c r="B8" s="7" t="n">
        <f aca="false">homogeneidad!B8</f>
        <v>0.026230630268</v>
      </c>
      <c r="C8" s="8" t="str">
        <f aca="false">homogeneidad!C8</f>
        <v>q1</v>
      </c>
      <c r="D8" s="7" t="n">
        <f aca="false">homogeneidad!D8</f>
        <v>-0.0503867924525</v>
      </c>
    </row>
    <row r="9" customFormat="false" ht="15" hidden="false" customHeight="false" outlineLevel="0" collapsed="false">
      <c r="A9" s="8" t="str">
        <f aca="false">homogeneidad!A9</f>
        <v>desviacion</v>
      </c>
      <c r="B9" s="7" t="n">
        <f aca="false">homogeneidad!B9</f>
        <v>0.038900024687444</v>
      </c>
      <c r="C9" s="8" t="str">
        <f aca="false">homogeneidad!C9</f>
        <v>q3</v>
      </c>
      <c r="D9" s="7" t="n">
        <f aca="false">homogeneidad!D9</f>
        <v>0.0046542553195</v>
      </c>
    </row>
    <row r="10" customFormat="false" ht="15" hidden="false" customHeight="false" outlineLevel="0" collapsed="false">
      <c r="A10" s="8" t="str">
        <f aca="false">homogeneidad!A10</f>
        <v>σ_pt</v>
      </c>
      <c r="B10" s="7" t="n">
        <f aca="false">homogeneidad!B10</f>
        <v>0.038900024687444</v>
      </c>
      <c r="C10" s="8" t="str">
        <f aca="false">homogeneidad!C10</f>
        <v>ICR</v>
      </c>
      <c r="D10" s="7" t="n">
        <f aca="false">homogeneidad!D10</f>
        <v>0.055041047772</v>
      </c>
    </row>
    <row r="11" customFormat="false" ht="15" hidden="false" customHeight="false" outlineLevel="0" collapsed="false">
      <c r="A11" s="8" t="str">
        <f aca="false">homogeneidad!A11</f>
        <v>incertidumbre x_pt</v>
      </c>
      <c r="B11" s="7" t="n">
        <f aca="false">homogeneidad!B11</f>
        <v>0.0153765848811378</v>
      </c>
      <c r="C11" s="8" t="str">
        <f aca="false">homogeneidad!C11</f>
        <v>NIQR</v>
      </c>
      <c r="D11" s="7" t="n">
        <f aca="false">homogeneidad!D11</f>
        <v>0.0408019287133836</v>
      </c>
    </row>
    <row r="12" customFormat="false" ht="15" hidden="false" customHeight="false" outlineLevel="0" collapsed="false">
      <c r="A12" s="8"/>
      <c r="B12" s="8"/>
      <c r="C12" s="8" t="str">
        <f aca="false">homogeneidad!C12</f>
        <v>σ_pt</v>
      </c>
      <c r="D12" s="7" t="n">
        <f aca="false">homogeneidad!D12</f>
        <v>0.0408019287133836</v>
      </c>
    </row>
    <row r="13" customFormat="false" ht="15" hidden="false" customHeight="false" outlineLevel="0" collapsed="false">
      <c r="A13" s="8"/>
      <c r="B13" s="8"/>
      <c r="C13" s="8" t="str">
        <f aca="false">homogeneidad!C13</f>
        <v>incertidumbre x_pt</v>
      </c>
      <c r="D13" s="7" t="n">
        <f aca="false">homogeneidad!D13</f>
        <v>0.0161283784577645</v>
      </c>
    </row>
    <row r="14" customFormat="false" ht="15" hidden="false" customHeight="false" outlineLevel="0" collapsed="false">
      <c r="A14" s="4"/>
      <c r="B14" s="4"/>
      <c r="C14" s="4"/>
      <c r="D14" s="4"/>
    </row>
    <row r="15" customFormat="false" ht="15" hidden="false" customHeight="false" outlineLevel="0" collapsed="false">
      <c r="A15" s="4"/>
      <c r="B15" s="4"/>
      <c r="C15" s="4"/>
      <c r="D15" s="4"/>
    </row>
    <row r="17" customFormat="false" ht="15" hidden="false" customHeight="false" outlineLevel="0" collapsed="false">
      <c r="A17" s="4" t="s">
        <v>35</v>
      </c>
    </row>
    <row r="18" customFormat="false" ht="15" hidden="false" customHeight="false" outlineLevel="0" collapsed="false">
      <c r="A18" s="9" t="str">
        <f aca="false">homogeneidad!A18</f>
        <v>Sample ID</v>
      </c>
      <c r="B18" s="9" t="str">
        <f aca="false">homogeneidad!B18</f>
        <v>replicate_1</v>
      </c>
      <c r="C18" s="9" t="str">
        <f aca="false">homogeneidad!C18</f>
        <v>replicate_2</v>
      </c>
      <c r="D18" s="9" t="str">
        <f aca="false">homogeneidad!D18</f>
        <v>promedio muestra xt</v>
      </c>
      <c r="E18" s="9" t="str">
        <f aca="false">homogeneidad!E18</f>
        <v>rango entre ensayos</v>
      </c>
      <c r="F18" s="9" t="str">
        <f aca="false">homogeneidad!F18</f>
        <v>desviacion vs xpt</v>
      </c>
    </row>
    <row r="19" customFormat="false" ht="15" hidden="false" customHeight="false" outlineLevel="0" collapsed="false">
      <c r="A19" s="1" t="n">
        <v>1</v>
      </c>
      <c r="B19" s="10" t="n">
        <f aca="false">homogeneidad!B19</f>
        <v>0.00670212766</v>
      </c>
      <c r="C19" s="10" t="n">
        <f aca="false">homogeneidad!C19</f>
        <v>-0.04796226415</v>
      </c>
      <c r="D19" s="6" t="n">
        <f aca="false">homogeneidad!D19</f>
        <v>-0.020630068245</v>
      </c>
      <c r="E19" s="10" t="n">
        <f aca="false">homogeneidad!E19</f>
        <v>0.05466439181</v>
      </c>
      <c r="F19" s="6" t="n">
        <f aca="false">homogeneidad!F19</f>
        <v>0.0251252509035</v>
      </c>
    </row>
    <row r="20" customFormat="false" ht="15" hidden="false" customHeight="false" outlineLevel="0" collapsed="false">
      <c r="A20" s="1" t="n">
        <v>2</v>
      </c>
      <c r="B20" s="10" t="n">
        <f aca="false">homogeneidad!B20</f>
        <v>0.004787234043</v>
      </c>
      <c r="C20" s="10" t="n">
        <f aca="false">homogeneidad!C20</f>
        <v>-0.0488490566</v>
      </c>
      <c r="D20" s="6" t="n">
        <f aca="false">homogeneidad!D20</f>
        <v>-0.0220309112785</v>
      </c>
      <c r="E20" s="10" t="n">
        <f aca="false">homogeneidad!E20</f>
        <v>0.053636290643</v>
      </c>
      <c r="F20" s="6" t="n">
        <f aca="false">homogeneidad!F20</f>
        <v>0.0260120433535</v>
      </c>
    </row>
    <row r="21" customFormat="false" ht="15" hidden="false" customHeight="false" outlineLevel="0" collapsed="false">
      <c r="A21" s="1" t="n">
        <v>3</v>
      </c>
      <c r="B21" s="10" t="n">
        <f aca="false">homogeneidad!B21</f>
        <v>-0.04928301887</v>
      </c>
      <c r="C21" s="10" t="n">
        <f aca="false">homogeneidad!C21</f>
        <v>-0.04745283019</v>
      </c>
      <c r="D21" s="6" t="n">
        <f aca="false">homogeneidad!D21</f>
        <v>-0.04836792453</v>
      </c>
      <c r="E21" s="10" t="n">
        <f aca="false">homogeneidad!E21</f>
        <v>0.00183018868</v>
      </c>
      <c r="F21" s="6" t="n">
        <f aca="false">homogeneidad!F21</f>
        <v>0.0246158169435</v>
      </c>
    </row>
    <row r="22" customFormat="false" ht="15" hidden="false" customHeight="false" outlineLevel="0" collapsed="false">
      <c r="A22" s="1" t="n">
        <v>4</v>
      </c>
      <c r="B22" s="10" t="n">
        <f aca="false">homogeneidad!B22</f>
        <v>0.004255319149</v>
      </c>
      <c r="C22" s="10" t="n">
        <f aca="false">homogeneidad!C22</f>
        <v>-0.04867924528</v>
      </c>
      <c r="D22" s="6" t="n">
        <f aca="false">homogeneidad!D22</f>
        <v>-0.0222119630655</v>
      </c>
      <c r="E22" s="10" t="n">
        <f aca="false">homogeneidad!E22</f>
        <v>0.052934564429</v>
      </c>
      <c r="F22" s="6" t="n">
        <f aca="false">homogeneidad!F22</f>
        <v>0.0258422320335</v>
      </c>
    </row>
    <row r="23" customFormat="false" ht="15" hidden="false" customHeight="false" outlineLevel="0" collapsed="false">
      <c r="A23" s="1" t="n">
        <v>5</v>
      </c>
      <c r="B23" s="10" t="n">
        <f aca="false">homogeneidad!B23</f>
        <v>0.006021276596</v>
      </c>
      <c r="C23" s="10" t="n">
        <f aca="false">homogeneidad!C23</f>
        <v>-0.05016981132</v>
      </c>
      <c r="D23" s="6" t="n">
        <f aca="false">homogeneidad!D23</f>
        <v>-0.022074267362</v>
      </c>
      <c r="E23" s="10" t="n">
        <f aca="false">homogeneidad!E23</f>
        <v>0.056191087916</v>
      </c>
      <c r="F23" s="6" t="n">
        <f aca="false">homogeneidad!F23</f>
        <v>0.0273327980735</v>
      </c>
    </row>
    <row r="24" customFormat="false" ht="15" hidden="false" customHeight="false" outlineLevel="0" collapsed="false">
      <c r="A24" s="1" t="n">
        <v>6</v>
      </c>
      <c r="B24" s="10" t="n">
        <f aca="false">homogeneidad!B24</f>
        <v>-0.05226415094</v>
      </c>
      <c r="C24" s="10" t="n">
        <f aca="false">homogeneidad!C24</f>
        <v>0.00585106383</v>
      </c>
      <c r="D24" s="6" t="n">
        <f aca="false">homogeneidad!D24</f>
        <v>-0.023206543555</v>
      </c>
      <c r="E24" s="10" t="n">
        <f aca="false">homogeneidad!E24</f>
        <v>0.05811521477</v>
      </c>
      <c r="F24" s="6" t="n">
        <f aca="false">homogeneidad!F24</f>
        <v>0.0286880770765</v>
      </c>
    </row>
    <row r="25" customFormat="false" ht="15" hidden="false" customHeight="false" outlineLevel="0" collapsed="false">
      <c r="A25" s="1" t="n">
        <v>7</v>
      </c>
      <c r="B25" s="10" t="n">
        <f aca="false">homogeneidad!B25</f>
        <v>0.003212765957</v>
      </c>
      <c r="C25" s="10" t="n">
        <f aca="false">homogeneidad!C25</f>
        <v>-0.05164150943</v>
      </c>
      <c r="D25" s="6" t="n">
        <f aca="false">homogeneidad!D25</f>
        <v>-0.0242143717365</v>
      </c>
      <c r="E25" s="10" t="n">
        <f aca="false">homogeneidad!E25</f>
        <v>0.054854275387</v>
      </c>
      <c r="F25" s="6" t="n">
        <f aca="false">homogeneidad!F25</f>
        <v>0.0288044961835</v>
      </c>
    </row>
    <row r="26" customFormat="false" ht="15" hidden="false" customHeight="false" outlineLevel="0" collapsed="false">
      <c r="A26" s="1" t="n">
        <v>8</v>
      </c>
      <c r="B26" s="10" t="n">
        <f aca="false">homogeneidad!B26</f>
        <v>-0.05075471698</v>
      </c>
      <c r="C26" s="10" t="n">
        <f aca="false">homogeneidad!C26</f>
        <v>0.004595744681</v>
      </c>
      <c r="D26" s="6" t="n">
        <f aca="false">homogeneidad!D26</f>
        <v>-0.0230794861495</v>
      </c>
      <c r="E26" s="10" t="n">
        <f aca="false">homogeneidad!E26</f>
        <v>0.055350461661</v>
      </c>
      <c r="F26" s="6" t="n">
        <f aca="false">homogeneidad!F26</f>
        <v>0.0274327579275</v>
      </c>
    </row>
    <row r="27" customFormat="false" ht="15" hidden="false" customHeight="false" outlineLevel="0" collapsed="false">
      <c r="A27" s="1" t="n">
        <v>9</v>
      </c>
      <c r="B27" s="10" t="n">
        <f aca="false">homogeneidad!B27</f>
        <v>-0.05196226415</v>
      </c>
      <c r="C27" s="10" t="n">
        <f aca="false">homogeneidad!C27</f>
        <v>0.003255319149</v>
      </c>
      <c r="D27" s="6" t="n">
        <f aca="false">homogeneidad!D27</f>
        <v>-0.0243534725005</v>
      </c>
      <c r="E27" s="10" t="n">
        <f aca="false">homogeneidad!E27</f>
        <v>0.055217583299</v>
      </c>
      <c r="F27" s="6" t="n">
        <f aca="false">homogeneidad!F27</f>
        <v>0.0260923323955</v>
      </c>
    </row>
    <row r="28" customFormat="false" ht="15" hidden="false" customHeight="false" outlineLevel="0" collapsed="false">
      <c r="A28" s="1" t="n">
        <v>10</v>
      </c>
      <c r="B28" s="10" t="n">
        <f aca="false">homogeneidad!B28</f>
        <v>-0.04888679245</v>
      </c>
      <c r="C28" s="10" t="n">
        <f aca="false">homogeneidad!C28</f>
        <v>0.003531914894</v>
      </c>
      <c r="D28" s="6" t="n">
        <f aca="false">homogeneidad!D28</f>
        <v>-0.022677438778</v>
      </c>
      <c r="E28" s="10" t="n">
        <f aca="false">homogeneidad!E28</f>
        <v>0.052418707344</v>
      </c>
      <c r="F28" s="6" t="n">
        <f aca="false">homogeneidad!F28</f>
        <v>0.0263689281405</v>
      </c>
    </row>
    <row r="32" customFormat="false" ht="15" hidden="false" customHeight="false" outlineLevel="0" collapsed="false">
      <c r="A32" s="4" t="s">
        <v>36</v>
      </c>
    </row>
    <row r="33" customFormat="false" ht="15" hidden="false" customHeight="false" outlineLevel="0" collapsed="false">
      <c r="A33" s="9" t="s">
        <v>15</v>
      </c>
      <c r="B33" s="9" t="s">
        <v>37</v>
      </c>
      <c r="C33" s="9" t="s">
        <v>38</v>
      </c>
      <c r="D33" s="9" t="s">
        <v>39</v>
      </c>
      <c r="E33" s="9" t="s">
        <v>19</v>
      </c>
    </row>
    <row r="34" customFormat="false" ht="15" hidden="false" customHeight="false" outlineLevel="0" collapsed="false">
      <c r="A34" s="1" t="n">
        <v>1</v>
      </c>
      <c r="B34" s="0" t="n">
        <v>-0.0480754717</v>
      </c>
      <c r="C34" s="0" t="n">
        <v>-0.04941509434</v>
      </c>
      <c r="D34" s="17" t="n">
        <f aca="false">AVERAGE(B34,C34)</f>
        <v>-0.04874528302</v>
      </c>
      <c r="E34" s="1" t="n">
        <f aca="false">ABS(B34-C34)</f>
        <v>0.00133962264</v>
      </c>
      <c r="G34" s="0" t="s">
        <v>40</v>
      </c>
      <c r="H34" s="0" t="s">
        <v>41</v>
      </c>
      <c r="I34" s="0" t="s">
        <v>42</v>
      </c>
      <c r="J34" s="0" t="s">
        <v>43</v>
      </c>
      <c r="K34" s="0" t="s">
        <v>44</v>
      </c>
      <c r="L34" s="0" t="s">
        <v>45</v>
      </c>
    </row>
    <row r="35" customFormat="false" ht="15" hidden="false" customHeight="false" outlineLevel="0" collapsed="false">
      <c r="A35" s="1" t="n">
        <v>2</v>
      </c>
      <c r="B35" s="0" t="n">
        <v>0.00514893617</v>
      </c>
      <c r="C35" s="0" t="n">
        <v>0.003319148936</v>
      </c>
      <c r="D35" s="17" t="n">
        <f aca="false">AVERAGE(B35,C35)</f>
        <v>0.004234042553</v>
      </c>
      <c r="E35" s="1" t="n">
        <f aca="false">ABS(B35-C35)</f>
        <v>0.001829787234</v>
      </c>
      <c r="G35" s="0" t="s">
        <v>46</v>
      </c>
      <c r="H35" s="0" t="s">
        <v>47</v>
      </c>
      <c r="I35" s="0" t="s">
        <v>48</v>
      </c>
      <c r="J35" s="0" t="n">
        <v>1</v>
      </c>
      <c r="K35" s="0" t="n">
        <v>1</v>
      </c>
      <c r="L35" s="0" t="n">
        <v>-0.0480754717</v>
      </c>
    </row>
    <row r="36" customFormat="false" ht="15" hidden="false" customHeight="false" outlineLevel="0" collapsed="false">
      <c r="D36" s="17"/>
      <c r="E36" s="1"/>
      <c r="G36" s="0" t="s">
        <v>46</v>
      </c>
      <c r="H36" s="0" t="s">
        <v>47</v>
      </c>
      <c r="I36" s="0" t="s">
        <v>48</v>
      </c>
      <c r="J36" s="0" t="n">
        <v>1</v>
      </c>
      <c r="K36" s="0" t="n">
        <v>2</v>
      </c>
      <c r="L36" s="0" t="n">
        <v>0.00514893617</v>
      </c>
    </row>
    <row r="37" customFormat="false" ht="15" hidden="false" customHeight="false" outlineLevel="0" collapsed="false">
      <c r="A37" s="4" t="s">
        <v>49</v>
      </c>
      <c r="B37" s="13" t="n">
        <f aca="false">AVERAGE(B34:C35)</f>
        <v>-0.0222556202335</v>
      </c>
      <c r="D37" s="8" t="n">
        <f aca="false">AVERAGE(B34:C35)</f>
        <v>-0.0222556202335</v>
      </c>
      <c r="G37" s="0" t="s">
        <v>46</v>
      </c>
      <c r="H37" s="0" t="s">
        <v>47</v>
      </c>
      <c r="I37" s="0" t="s">
        <v>48</v>
      </c>
      <c r="J37" s="0" t="n">
        <v>2</v>
      </c>
      <c r="K37" s="0" t="n">
        <v>1</v>
      </c>
      <c r="L37" s="0" t="n">
        <v>-0.04941509434</v>
      </c>
    </row>
    <row r="38" customFormat="false" ht="15" hidden="false" customHeight="false" outlineLevel="0" collapsed="false">
      <c r="A38" s="4" t="s">
        <v>50</v>
      </c>
      <c r="B38" s="13" t="n">
        <f aca="false">AVERAGE(B19:C28)</f>
        <v>-0.02528464472005</v>
      </c>
      <c r="D38" s="8" t="n">
        <f aca="false">AVERAGE(B19:C28)</f>
        <v>-0.02528464472005</v>
      </c>
      <c r="G38" s="0" t="s">
        <v>46</v>
      </c>
      <c r="H38" s="0" t="s">
        <v>47</v>
      </c>
      <c r="I38" s="0" t="s">
        <v>48</v>
      </c>
      <c r="J38" s="0" t="n">
        <v>2</v>
      </c>
      <c r="K38" s="0" t="n">
        <v>2</v>
      </c>
      <c r="L38" s="0" t="n">
        <v>0.003319148936</v>
      </c>
    </row>
    <row r="40" customFormat="false" ht="15" hidden="false" customHeight="false" outlineLevel="0" collapsed="false">
      <c r="A40" s="4" t="s">
        <v>51</v>
      </c>
    </row>
    <row r="41" customFormat="false" ht="15" hidden="false" customHeight="false" outlineLevel="0" collapsed="false">
      <c r="A41" s="1" t="s">
        <v>52</v>
      </c>
      <c r="B41" s="13" t="n">
        <f aca="false">ABS(B37-B38)</f>
        <v>0.00302902448655</v>
      </c>
      <c r="D41" s="8" t="n">
        <f aca="false">ABS(D37-D38)</f>
        <v>0.00302902448655</v>
      </c>
    </row>
    <row r="42" customFormat="false" ht="15" hidden="false" customHeight="false" outlineLevel="0" collapsed="false">
      <c r="A42" s="1" t="s">
        <v>53</v>
      </c>
      <c r="B42" s="13" t="n">
        <f aca="false">0.3*B10</f>
        <v>0.0116700074062332</v>
      </c>
      <c r="D42" s="1" t="n">
        <f aca="false">0.3*D12</f>
        <v>0.0122405786140151</v>
      </c>
    </row>
    <row r="43" customFormat="false" ht="15" hidden="false" customHeight="false" outlineLevel="0" collapsed="false">
      <c r="A43" s="1" t="s">
        <v>54</v>
      </c>
      <c r="B43" s="13" t="str">
        <f aca="false">IF(B41&lt;=B42,"PASS","FAIL")</f>
        <v>PASS</v>
      </c>
      <c r="D43" s="8" t="str">
        <f aca="false">IF(D41&lt;=D42,"PASS","FAIL")</f>
        <v>PASS</v>
      </c>
    </row>
    <row r="45" customFormat="false" ht="15" hidden="false" customHeight="false" outlineLevel="0" collapsed="false">
      <c r="A45" s="4" t="s">
        <v>55</v>
      </c>
    </row>
    <row r="46" customFormat="false" ht="15" hidden="false" customHeight="false" outlineLevel="0" collapsed="false">
      <c r="A46" s="1" t="s">
        <v>56</v>
      </c>
      <c r="B46" s="13" t="n">
        <f aca="false">B41/SQRT(3)</f>
        <v>0.00174880810269161</v>
      </c>
      <c r="C46" s="1" t="s">
        <v>57</v>
      </c>
    </row>
    <row r="48" customFormat="false" ht="15" hidden="false" customHeight="false" outlineLevel="0" collapsed="false">
      <c r="A48" s="4"/>
    </row>
    <row r="51" customFormat="false" ht="15" hidden="false" customHeight="false" outlineLevel="0" collapsed="false">
      <c r="B51" s="17"/>
    </row>
    <row r="54" customFormat="false" ht="15" hidden="false" customHeight="false" outlineLevel="0" collapsed="false">
      <c r="B54" s="17"/>
    </row>
    <row r="55" customFormat="false" ht="15" hidden="false" customHeight="false" outlineLevel="0" collapsed="false">
      <c r="B55" s="13"/>
    </row>
    <row r="56" customFormat="false" ht="15" hidden="false" customHeight="false" outlineLevel="0" collapsed="false">
      <c r="B56" s="13"/>
    </row>
  </sheetData>
  <mergeCells count="2">
    <mergeCell ref="A1:F1"/>
    <mergeCell ref="A2:F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62" zoomScaleNormal="62" zoomScalePageLayoutView="100" workbookViewId="0">
      <selection pane="topLeft" activeCell="B20" activeCellId="0" sqref="B20"/>
    </sheetView>
  </sheetViews>
  <sheetFormatPr defaultColWidth="10.6171875" defaultRowHeight="15" customHeight="false" zeroHeight="false" outlineLevelRow="0" outlineLevelCol="0"/>
  <cols>
    <col collapsed="false" customWidth="true" hidden="false" outlineLevel="0" max="1" min="1" style="1" width="61.48"/>
    <col collapsed="false" customWidth="true" hidden="false" outlineLevel="0" max="2" min="2" style="1" width="13.71"/>
    <col collapsed="false" customWidth="true" hidden="false" outlineLevel="0" max="3" min="3" style="1" width="23.71"/>
  </cols>
  <sheetData>
    <row r="1" customFormat="false" ht="17.35" hidden="false" customHeight="false" outlineLevel="0" collapsed="false">
      <c r="A1" s="2" t="s">
        <v>58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59</v>
      </c>
      <c r="B2" s="3"/>
      <c r="C2" s="3"/>
      <c r="D2" s="3"/>
      <c r="E2" s="3"/>
      <c r="F2" s="3"/>
    </row>
    <row r="4" customFormat="false" ht="15" hidden="false" customHeight="false" outlineLevel="0" collapsed="false">
      <c r="A4" s="4" t="s">
        <v>60</v>
      </c>
      <c r="B4" s="4" t="s">
        <v>61</v>
      </c>
    </row>
    <row r="5" customFormat="false" ht="15" hidden="false" customHeight="false" outlineLevel="0" collapsed="false">
      <c r="A5" s="1" t="n">
        <v>59.90268817</v>
      </c>
      <c r="B5" s="17" t="n">
        <f aca="false">ABS(A5-B20)</f>
        <v>0.0122580600000006</v>
      </c>
    </row>
    <row r="6" customFormat="false" ht="15" hidden="false" customHeight="false" outlineLevel="0" collapsed="false">
      <c r="A6" s="1" t="n">
        <v>59.88311828</v>
      </c>
      <c r="B6" s="17" t="n">
        <f aca="false">ABS(A6-B20)</f>
        <v>0.00731182999999902</v>
      </c>
    </row>
    <row r="7" customFormat="false" ht="15" hidden="false" customHeight="false" outlineLevel="0" collapsed="false">
      <c r="A7" s="1" t="n">
        <v>59.90290323</v>
      </c>
      <c r="B7" s="17" t="n">
        <f aca="false">ABS(A7-B20)</f>
        <v>0.0124731200000028</v>
      </c>
    </row>
    <row r="8" customFormat="false" ht="15" hidden="false" customHeight="false" outlineLevel="0" collapsed="false">
      <c r="A8" s="1" t="n">
        <v>59.88021505</v>
      </c>
      <c r="B8" s="17" t="n">
        <f aca="false">ABS(A8-B20)</f>
        <v>0.0102150600000002</v>
      </c>
    </row>
    <row r="9" customFormat="false" ht="15" hidden="false" customHeight="false" outlineLevel="0" collapsed="false">
      <c r="A9" s="1" t="n">
        <v>59.88774194</v>
      </c>
      <c r="B9" s="17" t="n">
        <f aca="false">ABS(A9-B20)</f>
        <v>0.00268816999999899</v>
      </c>
    </row>
    <row r="10" customFormat="false" ht="15" hidden="false" customHeight="false" outlineLevel="0" collapsed="false">
      <c r="A10" s="1" t="n">
        <v>59.89311828</v>
      </c>
      <c r="B10" s="17" t="n">
        <f aca="false">ABS(A10-B20)</f>
        <v>0.0026881700000061</v>
      </c>
    </row>
    <row r="11" customFormat="false" ht="15" hidden="false" customHeight="false" outlineLevel="0" collapsed="false">
      <c r="A11" s="1" t="n">
        <v>59.90419355</v>
      </c>
      <c r="B11" s="17" t="n">
        <f aca="false">ABS(A11-B20)</f>
        <v>0.0137634400000053</v>
      </c>
    </row>
    <row r="12" customFormat="false" ht="15" hidden="false" customHeight="false" outlineLevel="0" collapsed="false">
      <c r="A12" s="1" t="n">
        <v>59.88505376</v>
      </c>
      <c r="B12" s="17" t="n">
        <f aca="false">ABS(A12-B20)</f>
        <v>0.00537634999999881</v>
      </c>
    </row>
    <row r="13" customFormat="false" ht="15" hidden="false" customHeight="false" outlineLevel="0" collapsed="false">
      <c r="A13" s="1" t="n">
        <v>59.91225806</v>
      </c>
      <c r="B13" s="17" t="n">
        <f aca="false">ABS(A13-B20)</f>
        <v>0.0218279500000023</v>
      </c>
    </row>
    <row r="14" customFormat="false" ht="15" hidden="false" customHeight="false" outlineLevel="0" collapsed="false">
      <c r="A14" s="1" t="n">
        <v>59.87698925</v>
      </c>
      <c r="B14" s="17" t="n">
        <f aca="false">ABS(A14-B20)</f>
        <v>0.0134408599999958</v>
      </c>
    </row>
    <row r="15" customFormat="false" ht="15" hidden="false" customHeight="false" outlineLevel="0" collapsed="false">
      <c r="A15" s="1" t="n">
        <v>59.92010753</v>
      </c>
      <c r="B15" s="17" t="n">
        <f aca="false">ABS(A15-B20)</f>
        <v>0.0296774200000058</v>
      </c>
    </row>
    <row r="16" customFormat="false" ht="15" hidden="false" customHeight="false" outlineLevel="0" collapsed="false">
      <c r="A16" s="1" t="n">
        <v>59.88290323</v>
      </c>
      <c r="B16" s="17" t="n">
        <f aca="false">ABS(A16-B20)</f>
        <v>0.00752688000000035</v>
      </c>
    </row>
    <row r="18" customFormat="false" ht="15" hidden="false" customHeight="false" outlineLevel="0" collapsed="false">
      <c r="A18" s="4" t="s">
        <v>62</v>
      </c>
    </row>
    <row r="19" customFormat="false" ht="15" hidden="false" customHeight="false" outlineLevel="0" collapsed="false">
      <c r="A19" s="1" t="s">
        <v>63</v>
      </c>
      <c r="B19" s="1" t="n">
        <f aca="false">COUNT(A5:A16)</f>
        <v>12</v>
      </c>
    </row>
    <row r="20" customFormat="false" ht="15" hidden="false" customHeight="false" outlineLevel="0" collapsed="false">
      <c r="A20" s="1" t="s">
        <v>64</v>
      </c>
      <c r="B20" s="13" t="n">
        <f aca="false">MEDIAN(A5:A16)</f>
        <v>59.89043011</v>
      </c>
    </row>
    <row r="21" customFormat="false" ht="15" hidden="false" customHeight="false" outlineLevel="0" collapsed="false">
      <c r="A21" s="1" t="s">
        <v>65</v>
      </c>
      <c r="B21" s="1" t="e">
        <f aca="false">quartile.inc(A5:A16,1)</f>
        <v>#NAME?</v>
      </c>
    </row>
    <row r="22" customFormat="false" ht="15" hidden="false" customHeight="false" outlineLevel="0" collapsed="false">
      <c r="A22" s="1" t="s">
        <v>66</v>
      </c>
      <c r="B22" s="1" t="e">
        <f aca="false">quartile.inc(A5:A16,3)</f>
        <v>#NAME?</v>
      </c>
    </row>
    <row r="23" customFormat="false" ht="15" hidden="false" customHeight="false" outlineLevel="0" collapsed="false">
      <c r="A23" s="1" t="s">
        <v>67</v>
      </c>
      <c r="B23" s="1" t="e">
        <f aca="false">B22-B21</f>
        <v>#NAME?</v>
      </c>
    </row>
    <row r="24" customFormat="false" ht="15" hidden="false" customHeight="false" outlineLevel="0" collapsed="false">
      <c r="A24" s="1" t="s">
        <v>68</v>
      </c>
      <c r="B24" s="13" t="e">
        <f aca="false">0.7413*B23</f>
        <v>#NAME?</v>
      </c>
      <c r="C24" s="1" t="s">
        <v>69</v>
      </c>
    </row>
    <row r="25" customFormat="false" ht="15" hidden="false" customHeight="false" outlineLevel="0" collapsed="false">
      <c r="A25" s="1" t="s">
        <v>70</v>
      </c>
      <c r="B25" s="1" t="n">
        <f aca="false">MEDIAN(B5:B16)</f>
        <v>0.0112365600000004</v>
      </c>
    </row>
    <row r="26" customFormat="false" ht="15" hidden="false" customHeight="false" outlineLevel="0" collapsed="false">
      <c r="A26" s="1" t="s">
        <v>71</v>
      </c>
      <c r="B26" s="13" t="n">
        <f aca="false">1.483*B25</f>
        <v>0.0166638184800006</v>
      </c>
      <c r="C26" s="1" t="s">
        <v>69</v>
      </c>
    </row>
    <row r="28" customFormat="false" ht="15" hidden="false" customHeight="false" outlineLevel="0" collapsed="false">
      <c r="A28" s="4" t="s">
        <v>72</v>
      </c>
    </row>
    <row r="29" customFormat="false" ht="15" hidden="false" customHeight="false" outlineLevel="0" collapsed="false">
      <c r="A29" s="1" t="s">
        <v>39</v>
      </c>
      <c r="B29" s="1" t="n">
        <f aca="false">AVERAGE(A5:A16)</f>
        <v>59.8942741941667</v>
      </c>
    </row>
    <row r="30" customFormat="false" ht="15" hidden="false" customHeight="false" outlineLevel="0" collapsed="false">
      <c r="A30" s="1" t="s">
        <v>73</v>
      </c>
      <c r="B30" s="1" t="e">
        <f aca="false">stdev.s(A5:A16)</f>
        <v>#NAME?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8"/>
  <sheetViews>
    <sheetView showFormulas="false" showGridLines="true" showRowColHeaders="true" showZeros="true" rightToLeft="false" tabSelected="false" showOutlineSymbols="true" defaultGridColor="true" view="normal" topLeftCell="A12" colorId="64" zoomScale="62" zoomScaleNormal="62" zoomScalePageLayoutView="100" workbookViewId="0">
      <selection pane="topLeft" activeCell="B17" activeCellId="0" sqref="B17"/>
    </sheetView>
  </sheetViews>
  <sheetFormatPr defaultColWidth="10.6171875" defaultRowHeight="15" customHeight="false" zeroHeight="false" outlineLevelRow="0" outlineLevelCol="0"/>
  <cols>
    <col collapsed="false" customWidth="true" hidden="false" outlineLevel="0" max="1" min="1" style="1" width="77.71"/>
    <col collapsed="false" customWidth="true" hidden="false" outlineLevel="0" max="2" min="2" style="1" width="41.71"/>
    <col collapsed="false" customWidth="true" hidden="false" outlineLevel="0" max="3" min="3" style="1" width="48.71"/>
    <col collapsed="false" customWidth="true" hidden="false" outlineLevel="0" max="4" min="4" style="1" width="11.71"/>
    <col collapsed="false" customWidth="true" hidden="false" outlineLevel="0" max="5" min="5" style="1" width="16.72"/>
    <col collapsed="false" customWidth="true" hidden="false" outlineLevel="0" max="6" min="6" style="1" width="15.71"/>
  </cols>
  <sheetData>
    <row r="1" customFormat="false" ht="17.35" hidden="false" customHeight="false" outlineLevel="0" collapsed="false">
      <c r="A1" s="2" t="s">
        <v>74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75</v>
      </c>
      <c r="B2" s="3"/>
      <c r="C2" s="3"/>
      <c r="D2" s="3"/>
      <c r="E2" s="3"/>
      <c r="F2" s="3"/>
      <c r="G2" s="3"/>
      <c r="H2" s="3"/>
    </row>
    <row r="4" customFormat="false" ht="15" hidden="false" customHeight="false" outlineLevel="0" collapsed="false">
      <c r="A4" s="4" t="s">
        <v>76</v>
      </c>
    </row>
    <row r="5" customFormat="false" ht="15" hidden="false" customHeight="false" outlineLevel="0" collapsed="false">
      <c r="A5" s="1" t="s">
        <v>77</v>
      </c>
      <c r="B5" s="18" t="n">
        <v>12</v>
      </c>
    </row>
    <row r="6" customFormat="false" ht="15" hidden="false" customHeight="false" outlineLevel="0" collapsed="false">
      <c r="A6" s="1" t="s">
        <v>78</v>
      </c>
      <c r="B6" s="18" t="n">
        <v>1.483</v>
      </c>
      <c r="C6" s="1" t="s">
        <v>79</v>
      </c>
    </row>
    <row r="7" customFormat="false" ht="15" hidden="false" customHeight="false" outlineLevel="0" collapsed="false">
      <c r="A7" s="1" t="s">
        <v>80</v>
      </c>
      <c r="B7" s="18" t="n">
        <v>1.5</v>
      </c>
      <c r="C7" s="1" t="s">
        <v>81</v>
      </c>
    </row>
    <row r="8" customFormat="false" ht="15" hidden="false" customHeight="false" outlineLevel="0" collapsed="false">
      <c r="A8" s="1" t="s">
        <v>82</v>
      </c>
      <c r="B8" s="18" t="n">
        <v>1.134</v>
      </c>
      <c r="C8" s="1" t="s">
        <v>83</v>
      </c>
    </row>
    <row r="10" customFormat="false" ht="15" hidden="false" customHeight="false" outlineLevel="0" collapsed="false">
      <c r="A10" s="4" t="s">
        <v>84</v>
      </c>
    </row>
    <row r="11" customFormat="false" ht="15" hidden="false" customHeight="false" outlineLevel="0" collapsed="false">
      <c r="A11" s="9" t="s">
        <v>85</v>
      </c>
      <c r="B11" s="9" t="s">
        <v>86</v>
      </c>
    </row>
    <row r="12" customFormat="false" ht="15" hidden="false" customHeight="false" outlineLevel="0" collapsed="false">
      <c r="A12" s="1" t="n">
        <v>1</v>
      </c>
      <c r="B12" s="1" t="n">
        <v>59.90268817</v>
      </c>
      <c r="C12" s="17" t="n">
        <f aca="false">ABS(B12-B26)</f>
        <v>0.0122580600000006</v>
      </c>
    </row>
    <row r="13" customFormat="false" ht="15" hidden="false" customHeight="false" outlineLevel="0" collapsed="false">
      <c r="A13" s="1" t="n">
        <v>2</v>
      </c>
      <c r="B13" s="1" t="n">
        <v>59.88311828</v>
      </c>
      <c r="C13" s="17" t="n">
        <f aca="false">ABS(B13-B26)</f>
        <v>0.00731182999999902</v>
      </c>
    </row>
    <row r="14" customFormat="false" ht="15" hidden="false" customHeight="false" outlineLevel="0" collapsed="false">
      <c r="A14" s="1" t="n">
        <v>3</v>
      </c>
      <c r="B14" s="1" t="n">
        <v>59.90290323</v>
      </c>
      <c r="C14" s="17" t="n">
        <f aca="false">ABS(B14-B26)</f>
        <v>0.0124731200000028</v>
      </c>
    </row>
    <row r="15" customFormat="false" ht="15" hidden="false" customHeight="false" outlineLevel="0" collapsed="false">
      <c r="A15" s="1" t="n">
        <v>4</v>
      </c>
      <c r="B15" s="1" t="n">
        <v>59.88021505</v>
      </c>
      <c r="C15" s="17" t="n">
        <f aca="false">ABS(B15-B26)</f>
        <v>0.0102150600000002</v>
      </c>
    </row>
    <row r="16" customFormat="false" ht="15" hidden="false" customHeight="false" outlineLevel="0" collapsed="false">
      <c r="A16" s="1" t="n">
        <v>5</v>
      </c>
      <c r="B16" s="1" t="n">
        <v>59.88774194</v>
      </c>
      <c r="C16" s="17" t="n">
        <f aca="false">ABS(B16-B26)</f>
        <v>0.00268816999999899</v>
      </c>
    </row>
    <row r="17" customFormat="false" ht="15" hidden="false" customHeight="false" outlineLevel="0" collapsed="false">
      <c r="A17" s="1" t="n">
        <v>6</v>
      </c>
      <c r="B17" s="1" t="n">
        <v>59.89311828</v>
      </c>
      <c r="C17" s="17" t="n">
        <f aca="false">ABS(B17-B26)</f>
        <v>0.0026881700000061</v>
      </c>
    </row>
    <row r="18" customFormat="false" ht="15" hidden="false" customHeight="false" outlineLevel="0" collapsed="false">
      <c r="A18" s="1" t="n">
        <v>7</v>
      </c>
      <c r="B18" s="1" t="n">
        <v>59.90419355</v>
      </c>
      <c r="C18" s="17" t="n">
        <f aca="false">ABS(B18-B26)</f>
        <v>0.0137634400000053</v>
      </c>
    </row>
    <row r="19" customFormat="false" ht="15" hidden="false" customHeight="false" outlineLevel="0" collapsed="false">
      <c r="A19" s="1" t="n">
        <v>8</v>
      </c>
      <c r="B19" s="1" t="n">
        <v>59.88505376</v>
      </c>
      <c r="C19" s="17" t="n">
        <f aca="false">ABS(B19-B26)</f>
        <v>0.00537634999999881</v>
      </c>
    </row>
    <row r="20" customFormat="false" ht="15" hidden="false" customHeight="false" outlineLevel="0" collapsed="false">
      <c r="A20" s="1" t="n">
        <v>9</v>
      </c>
      <c r="B20" s="1" t="n">
        <v>59.91225806</v>
      </c>
      <c r="C20" s="17" t="n">
        <f aca="false">ABS(B20-B26)</f>
        <v>0.0218279500000023</v>
      </c>
    </row>
    <row r="21" customFormat="false" ht="15" hidden="false" customHeight="false" outlineLevel="0" collapsed="false">
      <c r="A21" s="1" t="n">
        <v>10</v>
      </c>
      <c r="B21" s="1" t="n">
        <v>59.87698925</v>
      </c>
      <c r="C21" s="17" t="n">
        <f aca="false">ABS(B21-B26)</f>
        <v>0.0134408599999958</v>
      </c>
    </row>
    <row r="22" customFormat="false" ht="15" hidden="false" customHeight="false" outlineLevel="0" collapsed="false">
      <c r="A22" s="1" t="n">
        <v>11</v>
      </c>
      <c r="B22" s="1" t="n">
        <v>59.92010753</v>
      </c>
      <c r="C22" s="17" t="n">
        <f aca="false">ABS(B22-B26)</f>
        <v>0.0296774200000058</v>
      </c>
    </row>
    <row r="23" customFormat="false" ht="15" hidden="false" customHeight="false" outlineLevel="0" collapsed="false">
      <c r="A23" s="1" t="n">
        <v>12</v>
      </c>
      <c r="B23" s="1" t="n">
        <v>59.88290323</v>
      </c>
      <c r="C23" s="17" t="n">
        <f aca="false">ABS(B23-B26)</f>
        <v>0.00752688000000035</v>
      </c>
    </row>
    <row r="25" customFormat="false" ht="15" hidden="false" customHeight="false" outlineLevel="0" collapsed="false">
      <c r="A25" s="4" t="s">
        <v>87</v>
      </c>
    </row>
    <row r="26" customFormat="false" ht="15" hidden="false" customHeight="false" outlineLevel="0" collapsed="false">
      <c r="A26" s="1" t="s">
        <v>64</v>
      </c>
      <c r="B26" s="13" t="n">
        <f aca="false">MEDIAN(B12:B23)</f>
        <v>59.89043011</v>
      </c>
    </row>
    <row r="27" customFormat="false" ht="15" hidden="false" customHeight="false" outlineLevel="0" collapsed="false">
      <c r="A27" s="1" t="s">
        <v>88</v>
      </c>
      <c r="B27" s="1" t="n">
        <f aca="false">MEDIAN(C12:C23)</f>
        <v>0.0112365600000004</v>
      </c>
    </row>
    <row r="28" customFormat="false" ht="15" hidden="false" customHeight="false" outlineLevel="0" collapsed="false">
      <c r="A28" s="1" t="s">
        <v>89</v>
      </c>
      <c r="B28" s="13" t="n">
        <f aca="false">B26</f>
        <v>59.89043011</v>
      </c>
    </row>
    <row r="29" customFormat="false" ht="15" hidden="false" customHeight="false" outlineLevel="0" collapsed="false">
      <c r="A29" s="1" t="s">
        <v>90</v>
      </c>
      <c r="B29" s="13" t="n">
        <f aca="false">B6*B27</f>
        <v>0.0166638184800006</v>
      </c>
    </row>
    <row r="30" customFormat="false" ht="15" hidden="false" customHeight="false" outlineLevel="0" collapsed="false">
      <c r="A30" s="1" t="s">
        <v>91</v>
      </c>
      <c r="B30" s="13" t="n">
        <f aca="false">B7*B29</f>
        <v>0.0249957277200009</v>
      </c>
    </row>
    <row r="31" customFormat="false" ht="15" hidden="false" customHeight="false" outlineLevel="0" collapsed="false">
      <c r="A31" s="1" t="s">
        <v>92</v>
      </c>
      <c r="B31" s="13" t="n">
        <f aca="false">B28-B30</f>
        <v>59.86543438228</v>
      </c>
    </row>
    <row r="32" customFormat="false" ht="15" hidden="false" customHeight="false" outlineLevel="0" collapsed="false">
      <c r="A32" s="1" t="s">
        <v>93</v>
      </c>
      <c r="B32" s="13" t="n">
        <f aca="false">B28+B30</f>
        <v>59.91542583772</v>
      </c>
    </row>
    <row r="35" customFormat="false" ht="15" hidden="false" customHeight="false" outlineLevel="0" collapsed="false">
      <c r="A35" s="4" t="s">
        <v>94</v>
      </c>
    </row>
    <row r="36" customFormat="false" ht="15" hidden="false" customHeight="false" outlineLevel="0" collapsed="false">
      <c r="A36" s="9" t="s">
        <v>85</v>
      </c>
      <c r="B36" s="9" t="s">
        <v>86</v>
      </c>
      <c r="C36" s="9" t="s">
        <v>95</v>
      </c>
      <c r="D36" s="9" t="s">
        <v>96</v>
      </c>
      <c r="E36" s="9" t="s">
        <v>97</v>
      </c>
      <c r="F36" s="9" t="s">
        <v>98</v>
      </c>
    </row>
    <row r="37" customFormat="false" ht="15" hidden="false" customHeight="false" outlineLevel="0" collapsed="false">
      <c r="A37" s="1" t="n">
        <v>1</v>
      </c>
      <c r="B37" s="1" t="n">
        <v>59.90268817</v>
      </c>
      <c r="C37" s="17" t="n">
        <f aca="false">B31</f>
        <v>59.86543438228</v>
      </c>
      <c r="D37" s="17" t="n">
        <f aca="false">B32</f>
        <v>59.91542583772</v>
      </c>
      <c r="E37" s="17" t="n">
        <f aca="false">IF(B37&lt;B31,B31,IF(B37&gt;B32,B32,B37))</f>
        <v>59.90268817</v>
      </c>
      <c r="F37" s="17" t="n">
        <f aca="false">(E37-B49)^2</f>
        <v>7.75124736258332E-005</v>
      </c>
    </row>
    <row r="38" customFormat="false" ht="15" hidden="false" customHeight="false" outlineLevel="0" collapsed="false">
      <c r="A38" s="1" t="n">
        <v>2</v>
      </c>
      <c r="B38" s="1" t="n">
        <v>59.88311828</v>
      </c>
      <c r="C38" s="17" t="n">
        <f aca="false">B31</f>
        <v>59.86543438228</v>
      </c>
      <c r="D38" s="17" t="n">
        <f aca="false">B32</f>
        <v>59.91542583772</v>
      </c>
      <c r="E38" s="17" t="n">
        <f aca="false">IF(B38&lt;B31,B31,IF(B38&gt;B32,B32,B38))</f>
        <v>59.88311828</v>
      </c>
      <c r="F38" s="17" t="n">
        <f aca="false">(E38-B49)^2</f>
        <v>0.000115901871373721</v>
      </c>
    </row>
    <row r="39" customFormat="false" ht="15" hidden="false" customHeight="false" outlineLevel="0" collapsed="false">
      <c r="A39" s="1" t="n">
        <v>3</v>
      </c>
      <c r="B39" s="1" t="n">
        <v>59.90290323</v>
      </c>
      <c r="C39" s="17" t="n">
        <f aca="false">B31</f>
        <v>59.86543438228</v>
      </c>
      <c r="D39" s="17" t="n">
        <f aca="false">B32</f>
        <v>59.91542583772</v>
      </c>
      <c r="E39" s="17" t="n">
        <f aca="false">IF(B39&lt;B31,B31,IF(B39&gt;B32,B32,B39))</f>
        <v>59.90290323</v>
      </c>
      <c r="F39" s="17" t="n">
        <f aca="false">(E39-B49)^2</f>
        <v>8.13455511718613E-005</v>
      </c>
    </row>
    <row r="40" customFormat="false" ht="15" hidden="false" customHeight="false" outlineLevel="0" collapsed="false">
      <c r="A40" s="1" t="n">
        <v>4</v>
      </c>
      <c r="B40" s="1" t="n">
        <v>59.88021505</v>
      </c>
      <c r="C40" s="17" t="n">
        <f aca="false">B31</f>
        <v>59.86543438228</v>
      </c>
      <c r="D40" s="17" t="n">
        <f aca="false">B32</f>
        <v>59.91542583772</v>
      </c>
      <c r="E40" s="17" t="n">
        <f aca="false">IF(B40&lt;B31,B31,IF(B40&gt;B32,B32,B40))</f>
        <v>59.88021505</v>
      </c>
      <c r="F40" s="17" t="n">
        <f aca="false">(E40-B49)^2</f>
        <v>0.000186841646932492</v>
      </c>
    </row>
    <row r="41" customFormat="false" ht="15" hidden="false" customHeight="false" outlineLevel="0" collapsed="false">
      <c r="A41" s="1" t="n">
        <v>5</v>
      </c>
      <c r="B41" s="1" t="n">
        <v>59.88774194</v>
      </c>
      <c r="C41" s="17" t="n">
        <f aca="false">B31</f>
        <v>59.86543438228</v>
      </c>
      <c r="D41" s="17" t="n">
        <f aca="false">B32</f>
        <v>59.91542583772</v>
      </c>
      <c r="E41" s="17" t="n">
        <f aca="false">IF(B41&lt;B31,B31,IF(B41&gt;B32,B32,B41))</f>
        <v>59.88774194</v>
      </c>
      <c r="F41" s="17" t="n">
        <f aca="false">(E41-B49)^2</f>
        <v>3.77255538655096E-005</v>
      </c>
    </row>
    <row r="42" customFormat="false" ht="15" hidden="false" customHeight="false" outlineLevel="0" collapsed="false">
      <c r="A42" s="1" t="n">
        <v>6</v>
      </c>
      <c r="B42" s="1" t="n">
        <v>59.89311828</v>
      </c>
      <c r="C42" s="17" t="n">
        <f aca="false">B31</f>
        <v>59.86543438228</v>
      </c>
      <c r="D42" s="17" t="n">
        <f aca="false">B32</f>
        <v>59.91542583772</v>
      </c>
      <c r="E42" s="17" t="n">
        <f aca="false">IF(B42&lt;B31,B31,IF(B42&gt;B32,B32,B42))</f>
        <v>59.89311828</v>
      </c>
      <c r="F42" s="17" t="n">
        <f aca="false">(E42-B49)^2</f>
        <v>5.86408507043019E-007</v>
      </c>
    </row>
    <row r="43" customFormat="false" ht="15" hidden="false" customHeight="false" outlineLevel="0" collapsed="false">
      <c r="A43" s="1" t="n">
        <v>7</v>
      </c>
      <c r="B43" s="1" t="n">
        <v>59.90419355</v>
      </c>
      <c r="C43" s="17" t="n">
        <f aca="false">B31</f>
        <v>59.86543438228</v>
      </c>
      <c r="D43" s="17" t="n">
        <f aca="false">B32</f>
        <v>59.91542583772</v>
      </c>
      <c r="E43" s="17" t="n">
        <f aca="false">IF(B43&lt;B31,B31,IF(B43&gt;B32,B32,B43))</f>
        <v>59.90419355</v>
      </c>
      <c r="F43" s="17" t="n">
        <f aca="false">(E43-B49)^2</f>
        <v>0.000106285725437706</v>
      </c>
    </row>
    <row r="44" customFormat="false" ht="15" hidden="false" customHeight="false" outlineLevel="0" collapsed="false">
      <c r="A44" s="1" t="n">
        <v>8</v>
      </c>
      <c r="B44" s="1" t="n">
        <v>59.88505376</v>
      </c>
      <c r="C44" s="17" t="n">
        <f aca="false">B31</f>
        <v>59.86543438228</v>
      </c>
      <c r="D44" s="17" t="n">
        <f aca="false">B32</f>
        <v>59.91542583772</v>
      </c>
      <c r="E44" s="17" t="n">
        <f aca="false">IF(B44&lt;B31,B31,IF(B44&gt;B32,B32,B44))</f>
        <v>59.88505376</v>
      </c>
      <c r="F44" s="17" t="n">
        <f aca="false">(E44-B49)^2</f>
        <v>7.79740769971987E-005</v>
      </c>
    </row>
    <row r="45" customFormat="false" ht="15" hidden="false" customHeight="false" outlineLevel="0" collapsed="false">
      <c r="A45" s="1" t="n">
        <v>9</v>
      </c>
      <c r="B45" s="1" t="n">
        <v>59.91225806</v>
      </c>
      <c r="C45" s="17" t="n">
        <f aca="false">B31</f>
        <v>59.86543438228</v>
      </c>
      <c r="D45" s="17" t="n">
        <f aca="false">B32</f>
        <v>59.91542583772</v>
      </c>
      <c r="E45" s="17" t="n">
        <f aca="false">IF(B45&lt;B31,B31,IF(B45&gt;B32,B32,B45))</f>
        <v>59.91225806</v>
      </c>
      <c r="F45" s="17" t="n">
        <f aca="false">(E45-B49)^2</f>
        <v>0.000337604127968875</v>
      </c>
    </row>
    <row r="46" customFormat="false" ht="15" hidden="false" customHeight="false" outlineLevel="0" collapsed="false">
      <c r="A46" s="1" t="n">
        <v>10</v>
      </c>
      <c r="B46" s="1" t="n">
        <v>59.87698925</v>
      </c>
      <c r="C46" s="17" t="n">
        <f aca="false">B31</f>
        <v>59.86543438228</v>
      </c>
      <c r="D46" s="17" t="n">
        <f aca="false">B32</f>
        <v>59.91542583772</v>
      </c>
      <c r="E46" s="17" t="n">
        <f aca="false">IF(B46&lt;B31,B31,IF(B46&gt;B32,B32,B46))</f>
        <v>59.87698925</v>
      </c>
      <c r="F46" s="17" t="n">
        <f aca="false">(E46-B49)^2</f>
        <v>0.000285434373251882</v>
      </c>
    </row>
    <row r="47" customFormat="false" ht="15" hidden="false" customHeight="false" outlineLevel="0" collapsed="false">
      <c r="A47" s="1" t="n">
        <v>11</v>
      </c>
      <c r="B47" s="1" t="n">
        <v>59.92010753</v>
      </c>
      <c r="C47" s="17" t="n">
        <f aca="false">B31</f>
        <v>59.86543438228</v>
      </c>
      <c r="D47" s="17" t="n">
        <f aca="false">B32</f>
        <v>59.91542583772</v>
      </c>
      <c r="E47" s="17" t="n">
        <f aca="false">IF(B47&lt;B31,B31,IF(B47&gt;B32,B32,B47))</f>
        <v>59.91542583772</v>
      </c>
      <c r="F47" s="17" t="n">
        <f aca="false">(E47-B49)^2</f>
        <v>0.000464048482747634</v>
      </c>
    </row>
    <row r="48" customFormat="false" ht="15" hidden="false" customHeight="false" outlineLevel="0" collapsed="false">
      <c r="A48" s="1" t="n">
        <v>12</v>
      </c>
      <c r="B48" s="1" t="n">
        <v>59.88290323</v>
      </c>
      <c r="C48" s="17" t="n">
        <f aca="false">B31</f>
        <v>59.86543438228</v>
      </c>
      <c r="D48" s="17" t="n">
        <f aca="false">B32</f>
        <v>59.91542583772</v>
      </c>
      <c r="E48" s="17" t="n">
        <f aca="false">IF(B48&lt;B31,B31,IF(B48&gt;B32,B32,B48))</f>
        <v>59.88290323</v>
      </c>
      <c r="F48" s="17" t="n">
        <f aca="false">(E48-B49)^2</f>
        <v>0.000120578476905198</v>
      </c>
    </row>
    <row r="49" customFormat="false" ht="15" hidden="false" customHeight="false" outlineLevel="0" collapsed="false">
      <c r="A49" s="1" t="s">
        <v>99</v>
      </c>
      <c r="B49" s="13" t="n">
        <f aca="false">AVERAGE(E37:E48)</f>
        <v>59.8938840531433</v>
      </c>
    </row>
    <row r="50" customFormat="false" ht="15" hidden="false" customHeight="false" outlineLevel="0" collapsed="false">
      <c r="A50" s="1" t="s">
        <v>100</v>
      </c>
      <c r="B50" s="13" t="n">
        <f aca="false">SUM(F37:F48)</f>
        <v>0.00189183876878495</v>
      </c>
    </row>
    <row r="51" customFormat="false" ht="15" hidden="false" customHeight="false" outlineLevel="0" collapsed="false">
      <c r="A51" s="1" t="s">
        <v>101</v>
      </c>
      <c r="B51" s="13" t="n">
        <f aca="false">B8*SQRT(F50/(B5-1))</f>
        <v>0</v>
      </c>
    </row>
    <row r="53" customFormat="false" ht="15" hidden="false" customHeight="false" outlineLevel="0" collapsed="false">
      <c r="A53" s="4" t="s">
        <v>102</v>
      </c>
    </row>
    <row r="54" customFormat="false" ht="15" hidden="false" customHeight="false" outlineLevel="0" collapsed="false">
      <c r="A54" s="1" t="s">
        <v>103</v>
      </c>
      <c r="B54" s="1" t="n">
        <f aca="false">ABS(B49-B28)</f>
        <v>0.00345394314333447</v>
      </c>
    </row>
    <row r="55" customFormat="false" ht="15" hidden="false" customHeight="false" outlineLevel="0" collapsed="false">
      <c r="A55" s="1" t="s">
        <v>104</v>
      </c>
      <c r="B55" s="1" t="n">
        <f aca="false">ABS(B51-B29)</f>
        <v>0.0166638184800006</v>
      </c>
    </row>
    <row r="56" customFormat="false" ht="15" hidden="false" customHeight="false" outlineLevel="0" collapsed="false">
      <c r="A56" s="1" t="s">
        <v>105</v>
      </c>
      <c r="B56" s="13" t="e">
        <f aca="false">IF(ROUND(B28,2-INT(LOG10(ABS(B28))))=ROUND(B49,2-INT(LOG10(ABS(B49)))),ROUND(B29,2-INT(LOG10(ABS(B29))))=ROUND(B51,2-INT(LOG10(ABS(B51)))),"YES","NO")</f>
        <v>#VALUE!</v>
      </c>
    </row>
    <row r="59" customFormat="false" ht="15" hidden="false" customHeight="false" outlineLevel="0" collapsed="false">
      <c r="A59" s="4" t="s">
        <v>106</v>
      </c>
    </row>
    <row r="60" customFormat="false" ht="15" hidden="false" customHeight="false" outlineLevel="0" collapsed="false">
      <c r="A60" s="9" t="s">
        <v>107</v>
      </c>
      <c r="B60" s="9" t="s">
        <v>108</v>
      </c>
      <c r="C60" s="9" t="s">
        <v>109</v>
      </c>
      <c r="D60" s="9" t="s">
        <v>110</v>
      </c>
      <c r="E60" s="9" t="s">
        <v>111</v>
      </c>
      <c r="F60" s="9" t="s">
        <v>112</v>
      </c>
    </row>
    <row r="61" customFormat="false" ht="15" hidden="false" customHeight="false" outlineLevel="0" collapsed="false">
      <c r="A61" s="1" t="n">
        <v>0</v>
      </c>
      <c r="B61" s="1" t="n">
        <f aca="false">B28</f>
        <v>59.89043011</v>
      </c>
      <c r="C61" s="1" t="n">
        <f aca="false">B29</f>
        <v>0.0166638184800006</v>
      </c>
      <c r="D61" s="1" t="s">
        <v>113</v>
      </c>
      <c r="E61" s="1" t="s">
        <v>113</v>
      </c>
      <c r="F61" s="1" t="s">
        <v>113</v>
      </c>
    </row>
    <row r="62" customFormat="false" ht="15" hidden="false" customHeight="false" outlineLevel="0" collapsed="false">
      <c r="A62" s="1" t="n">
        <v>1</v>
      </c>
      <c r="B62" s="13" t="n">
        <f aca="false">B49</f>
        <v>59.8938840531433</v>
      </c>
      <c r="C62" s="13" t="n">
        <f aca="false">B51</f>
        <v>0</v>
      </c>
      <c r="D62" s="13" t="n">
        <f aca="false">B54</f>
        <v>0.00345394314333447</v>
      </c>
      <c r="E62" s="13" t="n">
        <f aca="false">B55</f>
        <v>0.0166638184800006</v>
      </c>
      <c r="F62" s="13" t="e">
        <f aca="false">B56</f>
        <v>#VALUE!</v>
      </c>
    </row>
    <row r="65" customFormat="false" ht="15" hidden="false" customHeight="false" outlineLevel="0" collapsed="false">
      <c r="A65" s="4" t="s">
        <v>114</v>
      </c>
    </row>
    <row r="66" customFormat="false" ht="15" hidden="false" customHeight="false" outlineLevel="0" collapsed="false">
      <c r="A66" s="1" t="s">
        <v>115</v>
      </c>
      <c r="B66" s="13" t="n">
        <f aca="false">B49</f>
        <v>59.8938840531433</v>
      </c>
    </row>
    <row r="67" customFormat="false" ht="15" hidden="false" customHeight="false" outlineLevel="0" collapsed="false">
      <c r="A67" s="1" t="s">
        <v>116</v>
      </c>
      <c r="B67" s="13" t="n">
        <f aca="false">B51</f>
        <v>0</v>
      </c>
    </row>
    <row r="68" customFormat="false" ht="15" hidden="false" customHeight="false" outlineLevel="0" collapsed="false">
      <c r="A68" s="1" t="s">
        <v>77</v>
      </c>
      <c r="B68" s="13" t="n">
        <f aca="false">B5</f>
        <v>12</v>
      </c>
    </row>
    <row r="71" customFormat="false" ht="15" hidden="false" customHeight="false" outlineLevel="0" collapsed="false">
      <c r="A71" s="4" t="s">
        <v>117</v>
      </c>
    </row>
    <row r="72" customFormat="false" ht="15" hidden="false" customHeight="false" outlineLevel="0" collapsed="false">
      <c r="A72" s="1" t="s">
        <v>118</v>
      </c>
      <c r="B72" s="1" t="s">
        <v>119</v>
      </c>
    </row>
    <row r="73" customFormat="false" ht="15" hidden="false" customHeight="false" outlineLevel="0" collapsed="false">
      <c r="A73" s="1" t="s">
        <v>120</v>
      </c>
      <c r="B73" s="1" t="s">
        <v>121</v>
      </c>
    </row>
    <row r="74" customFormat="false" ht="15" hidden="false" customHeight="false" outlineLevel="0" collapsed="false">
      <c r="A74" s="1" t="s">
        <v>122</v>
      </c>
      <c r="B74" s="1" t="s">
        <v>123</v>
      </c>
    </row>
    <row r="75" customFormat="false" ht="15" hidden="false" customHeight="false" outlineLevel="0" collapsed="false">
      <c r="A75" s="1" t="s">
        <v>124</v>
      </c>
      <c r="B75" s="1" t="s">
        <v>125</v>
      </c>
    </row>
    <row r="76" customFormat="false" ht="15" hidden="false" customHeight="false" outlineLevel="0" collapsed="false">
      <c r="A76" s="1" t="s">
        <v>126</v>
      </c>
      <c r="B76" s="1" t="s">
        <v>127</v>
      </c>
    </row>
    <row r="77" customFormat="false" ht="15" hidden="false" customHeight="false" outlineLevel="0" collapsed="false">
      <c r="A77" s="1" t="s">
        <v>128</v>
      </c>
      <c r="B77" s="1" t="s">
        <v>129</v>
      </c>
    </row>
    <row r="78" customFormat="false" ht="15" hidden="false" customHeight="false" outlineLevel="0" collapsed="false">
      <c r="A78" s="1" t="s">
        <v>130</v>
      </c>
      <c r="B78" s="1" t="s">
        <v>131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0"/>
  <sheetViews>
    <sheetView showFormulas="false" showGridLines="true" showRowColHeaders="true" showZeros="true" rightToLeft="false" tabSelected="false" showOutlineSymbols="true" defaultGridColor="true" view="normal" topLeftCell="A4" colorId="64" zoomScale="62" zoomScaleNormal="62" zoomScalePageLayoutView="100" workbookViewId="0">
      <selection pane="topLeft" activeCell="A1" activeCellId="0" sqref="A1"/>
    </sheetView>
  </sheetViews>
  <sheetFormatPr defaultColWidth="10.6171875" defaultRowHeight="15" customHeight="false" zeroHeight="false" outlineLevelRow="0" outlineLevelCol="0"/>
  <cols>
    <col collapsed="false" customWidth="true" hidden="false" outlineLevel="0" max="1" min="1" style="1" width="71.71"/>
    <col collapsed="false" customWidth="true" hidden="false" outlineLevel="0" max="2" min="2" style="1" width="12.71"/>
    <col collapsed="false" customWidth="true" hidden="false" outlineLevel="0" max="3" min="3" style="1" width="9.71"/>
    <col collapsed="false" customWidth="true" hidden="false" outlineLevel="0" max="4" min="4" style="1" width="10.71"/>
    <col collapsed="false" customWidth="true" hidden="false" outlineLevel="0" max="5" min="5" style="1" width="28.71"/>
    <col collapsed="false" customWidth="true" hidden="false" outlineLevel="0" max="6" min="6" style="1" width="6.71"/>
  </cols>
  <sheetData>
    <row r="1" customFormat="false" ht="17.35" hidden="false" customHeight="false" outlineLevel="0" collapsed="false">
      <c r="A1" s="2" t="s">
        <v>132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133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5" hidden="false" customHeight="false" outlineLevel="0" collapsed="false">
      <c r="A4" s="19" t="s">
        <v>134</v>
      </c>
      <c r="B4" s="19"/>
      <c r="C4" s="19"/>
      <c r="D4" s="19"/>
      <c r="E4" s="19"/>
      <c r="F4" s="19"/>
    </row>
    <row r="5" customFormat="false" ht="15" hidden="false" customHeight="false" outlineLevel="0" collapsed="false">
      <c r="A5" s="9" t="s">
        <v>60</v>
      </c>
      <c r="C5" s="9" t="s">
        <v>135</v>
      </c>
      <c r="D5" s="9" t="s">
        <v>136</v>
      </c>
      <c r="E5" s="9" t="s">
        <v>137</v>
      </c>
    </row>
    <row r="6" customFormat="false" ht="15" hidden="false" customHeight="false" outlineLevel="0" collapsed="false">
      <c r="A6" s="1" t="n">
        <v>4.028347143</v>
      </c>
      <c r="C6" s="1" t="s">
        <v>138</v>
      </c>
      <c r="D6" s="1" t="n">
        <f aca="false">COUNT(A6:A17)</f>
        <v>12</v>
      </c>
    </row>
    <row r="7" customFormat="false" ht="15" hidden="false" customHeight="false" outlineLevel="0" collapsed="false">
      <c r="A7" s="1" t="n">
        <v>4.021748247</v>
      </c>
      <c r="C7" s="1" t="s">
        <v>64</v>
      </c>
      <c r="D7" s="13" t="n">
        <f aca="false">MEDIAN(A6:A17)</f>
        <v>4.025480909</v>
      </c>
      <c r="E7" s="1" t="s">
        <v>139</v>
      </c>
    </row>
    <row r="8" customFormat="false" ht="15" hidden="false" customHeight="false" outlineLevel="0" collapsed="false">
      <c r="A8" s="1" t="n">
        <v>4.023195779</v>
      </c>
      <c r="C8" s="1" t="s">
        <v>39</v>
      </c>
      <c r="D8" s="1" t="n">
        <f aca="false">AVERAGE(A6:A17)</f>
        <v>4.0245246555</v>
      </c>
      <c r="E8" s="1" t="s">
        <v>140</v>
      </c>
    </row>
    <row r="9" customFormat="false" ht="15" hidden="false" customHeight="false" outlineLevel="0" collapsed="false">
      <c r="A9" s="1" t="n">
        <v>4.025554913</v>
      </c>
      <c r="C9" s="1" t="s">
        <v>73</v>
      </c>
      <c r="D9" s="1" t="e">
        <f aca="false">stdev.s(A6:A17)</f>
        <v>#NAME?</v>
      </c>
      <c r="E9" s="1" t="s">
        <v>141</v>
      </c>
    </row>
    <row r="10" customFormat="false" ht="15" hidden="false" customHeight="false" outlineLevel="0" collapsed="false">
      <c r="A10" s="1" t="n">
        <v>4.02804855</v>
      </c>
      <c r="C10" s="1" t="s">
        <v>142</v>
      </c>
      <c r="D10" s="1" t="e">
        <f aca="false">quartile.inc(A6:A17,1)</f>
        <v>#NAME?</v>
      </c>
    </row>
    <row r="11" customFormat="false" ht="15" hidden="false" customHeight="false" outlineLevel="0" collapsed="false">
      <c r="A11" s="1" t="n">
        <v>4.027986407</v>
      </c>
      <c r="C11" s="1" t="s">
        <v>143</v>
      </c>
      <c r="D11" s="1" t="e">
        <f aca="false">quartile.inc(A6:A17,3)</f>
        <v>#NAME?</v>
      </c>
    </row>
    <row r="12" customFormat="false" ht="15" hidden="false" customHeight="false" outlineLevel="0" collapsed="false">
      <c r="A12" s="1" t="n">
        <v>4.025817987</v>
      </c>
      <c r="C12" s="1" t="s">
        <v>144</v>
      </c>
      <c r="D12" s="1" t="e">
        <f aca="false">D11-D10</f>
        <v>#NAME?</v>
      </c>
      <c r="E12" s="1" t="s">
        <v>145</v>
      </c>
    </row>
    <row r="13" customFormat="false" ht="15" hidden="false" customHeight="false" outlineLevel="0" collapsed="false">
      <c r="A13" s="1" t="n">
        <v>4.018397381</v>
      </c>
      <c r="C13" s="1" t="s">
        <v>146</v>
      </c>
      <c r="D13" s="13" t="e">
        <f aca="false">0.7413*D12</f>
        <v>#NAME?</v>
      </c>
      <c r="E13" s="1" t="s">
        <v>147</v>
      </c>
    </row>
    <row r="14" customFormat="false" ht="15" hidden="false" customHeight="false" outlineLevel="0" collapsed="false">
      <c r="A14" s="1" t="n">
        <v>4.026595758</v>
      </c>
      <c r="C14" s="1" t="s">
        <v>3</v>
      </c>
      <c r="D14" s="1" t="s">
        <v>148</v>
      </c>
      <c r="E14" s="1" t="s">
        <v>149</v>
      </c>
    </row>
    <row r="15" customFormat="false" ht="15" hidden="false" customHeight="false" outlineLevel="0" collapsed="false">
      <c r="A15" s="1" t="n">
        <v>4.025406905</v>
      </c>
    </row>
    <row r="16" customFormat="false" ht="15" hidden="false" customHeight="false" outlineLevel="0" collapsed="false">
      <c r="A16" s="1" t="n">
        <v>4.02159461</v>
      </c>
    </row>
    <row r="17" customFormat="false" ht="15" hidden="false" customHeight="false" outlineLevel="0" collapsed="false">
      <c r="A17" s="1" t="n">
        <v>4.021602186</v>
      </c>
    </row>
    <row r="20" customFormat="false" ht="15" hidden="false" customHeight="false" outlineLevel="0" collapsed="false">
      <c r="A20" s="19" t="s">
        <v>150</v>
      </c>
      <c r="B20" s="19"/>
      <c r="C20" s="19"/>
      <c r="D20" s="19"/>
      <c r="E20" s="19"/>
      <c r="F20" s="19"/>
    </row>
    <row r="21" customFormat="false" ht="15" hidden="false" customHeight="false" outlineLevel="0" collapsed="false">
      <c r="A21" s="9" t="s">
        <v>60</v>
      </c>
      <c r="C21" s="9" t="s">
        <v>135</v>
      </c>
      <c r="D21" s="9" t="s">
        <v>136</v>
      </c>
      <c r="E21" s="9" t="s">
        <v>137</v>
      </c>
    </row>
    <row r="22" customFormat="false" ht="15" hidden="false" customHeight="false" outlineLevel="0" collapsed="false">
      <c r="A22" s="1" t="n">
        <v>120.4113439</v>
      </c>
      <c r="C22" s="1" t="s">
        <v>138</v>
      </c>
      <c r="D22" s="1" t="n">
        <f aca="false">COUNT(A22:A33)</f>
        <v>12</v>
      </c>
    </row>
    <row r="23" customFormat="false" ht="15" hidden="false" customHeight="false" outlineLevel="0" collapsed="false">
      <c r="A23" s="1" t="n">
        <v>120.3347036</v>
      </c>
      <c r="C23" s="1" t="s">
        <v>64</v>
      </c>
      <c r="D23" s="13" t="n">
        <f aca="false">MEDIAN(A22:A33)</f>
        <v>120.34772725</v>
      </c>
      <c r="E23" s="1" t="s">
        <v>139</v>
      </c>
    </row>
    <row r="24" customFormat="false" ht="15" hidden="false" customHeight="false" outlineLevel="0" collapsed="false">
      <c r="A24" s="1" t="n">
        <v>120.3452569</v>
      </c>
      <c r="C24" s="1" t="s">
        <v>39</v>
      </c>
      <c r="D24" s="1" t="n">
        <f aca="false">AVERAGE(A22:A33)</f>
        <v>120.3559025</v>
      </c>
      <c r="E24" s="1" t="s">
        <v>140</v>
      </c>
    </row>
    <row r="25" customFormat="false" ht="15" hidden="false" customHeight="false" outlineLevel="0" collapsed="false">
      <c r="A25" s="1" t="n">
        <v>120.3319368</v>
      </c>
      <c r="C25" s="1" t="s">
        <v>73</v>
      </c>
      <c r="D25" s="1" t="e">
        <f aca="false">stdev.s(A22:A33)</f>
        <v>#NAME?</v>
      </c>
      <c r="E25" s="1" t="s">
        <v>141</v>
      </c>
    </row>
    <row r="26" customFormat="false" ht="15" hidden="false" customHeight="false" outlineLevel="0" collapsed="false">
      <c r="A26" s="1" t="n">
        <v>120.3276285</v>
      </c>
      <c r="C26" s="1" t="s">
        <v>142</v>
      </c>
      <c r="D26" s="1" t="e">
        <f aca="false">quartile.inc(A22:A33,1)</f>
        <v>#NAME?</v>
      </c>
    </row>
    <row r="27" customFormat="false" ht="15" hidden="false" customHeight="false" outlineLevel="0" collapsed="false">
      <c r="A27" s="1" t="n">
        <v>120.367747</v>
      </c>
      <c r="C27" s="1" t="s">
        <v>143</v>
      </c>
      <c r="D27" s="1" t="e">
        <f aca="false">quartile.inc(A22:A33,3)</f>
        <v>#NAME?</v>
      </c>
    </row>
    <row r="28" customFormat="false" ht="15" hidden="false" customHeight="false" outlineLevel="0" collapsed="false">
      <c r="A28" s="1" t="n">
        <v>120.3851383</v>
      </c>
      <c r="C28" s="1" t="s">
        <v>144</v>
      </c>
      <c r="D28" s="1" t="e">
        <f aca="false">D27-D26</f>
        <v>#NAME?</v>
      </c>
      <c r="E28" s="1" t="s">
        <v>145</v>
      </c>
    </row>
    <row r="29" customFormat="false" ht="15" hidden="false" customHeight="false" outlineLevel="0" collapsed="false">
      <c r="A29" s="1" t="n">
        <v>120.3326087</v>
      </c>
      <c r="C29" s="1" t="s">
        <v>146</v>
      </c>
      <c r="D29" s="13" t="e">
        <f aca="false">0.7413*D28</f>
        <v>#NAME?</v>
      </c>
      <c r="E29" s="1" t="s">
        <v>147</v>
      </c>
    </row>
    <row r="30" customFormat="false" ht="15" hidden="false" customHeight="false" outlineLevel="0" collapsed="false">
      <c r="A30" s="1" t="n">
        <v>120.3652964</v>
      </c>
      <c r="C30" s="1" t="s">
        <v>3</v>
      </c>
      <c r="D30" s="1" t="s">
        <v>148</v>
      </c>
      <c r="E30" s="1" t="s">
        <v>149</v>
      </c>
    </row>
    <row r="31" customFormat="false" ht="15" hidden="false" customHeight="false" outlineLevel="0" collapsed="false">
      <c r="A31" s="1" t="n">
        <v>120.3323715</v>
      </c>
    </row>
    <row r="32" customFormat="false" ht="15" hidden="false" customHeight="false" outlineLevel="0" collapsed="false">
      <c r="A32" s="1" t="n">
        <v>120.3866008</v>
      </c>
    </row>
    <row r="33" customFormat="false" ht="15" hidden="false" customHeight="false" outlineLevel="0" collapsed="false">
      <c r="A33" s="1" t="n">
        <v>120.3501976</v>
      </c>
    </row>
    <row r="36" customFormat="false" ht="15" hidden="false" customHeight="false" outlineLevel="0" collapsed="false">
      <c r="A36" s="19" t="s">
        <v>151</v>
      </c>
      <c r="B36" s="19"/>
      <c r="C36" s="19"/>
      <c r="D36" s="19"/>
      <c r="E36" s="19"/>
      <c r="F36" s="19"/>
    </row>
    <row r="37" customFormat="false" ht="15" hidden="false" customHeight="false" outlineLevel="0" collapsed="false">
      <c r="A37" s="9" t="s">
        <v>60</v>
      </c>
      <c r="C37" s="9" t="s">
        <v>135</v>
      </c>
      <c r="D37" s="9" t="s">
        <v>136</v>
      </c>
      <c r="E37" s="9" t="s">
        <v>137</v>
      </c>
    </row>
    <row r="38" customFormat="false" ht="15" hidden="false" customHeight="false" outlineLevel="0" collapsed="false">
      <c r="A38" s="1" t="n">
        <v>65.09426374</v>
      </c>
      <c r="C38" s="1" t="s">
        <v>138</v>
      </c>
      <c r="D38" s="1" t="n">
        <f aca="false">COUNT(A38:A49)</f>
        <v>12</v>
      </c>
    </row>
    <row r="39" customFormat="false" ht="15" hidden="false" customHeight="false" outlineLevel="0" collapsed="false">
      <c r="A39" s="1" t="n">
        <v>64.88535165</v>
      </c>
      <c r="C39" s="1" t="s">
        <v>64</v>
      </c>
      <c r="D39" s="13" t="n">
        <f aca="false">MEDIAN(A38:A49)</f>
        <v>64.93953297</v>
      </c>
      <c r="E39" s="1" t="s">
        <v>139</v>
      </c>
    </row>
    <row r="40" customFormat="false" ht="15" hidden="false" customHeight="false" outlineLevel="0" collapsed="false">
      <c r="A40" s="1" t="n">
        <v>64.84454945</v>
      </c>
      <c r="C40" s="1" t="s">
        <v>39</v>
      </c>
      <c r="D40" s="1" t="n">
        <f aca="false">AVERAGE(A38:A49)</f>
        <v>64.9606978041667</v>
      </c>
      <c r="E40" s="1" t="s">
        <v>140</v>
      </c>
    </row>
    <row r="41" customFormat="false" ht="15" hidden="false" customHeight="false" outlineLevel="0" collapsed="false">
      <c r="A41" s="1" t="n">
        <v>64.9377033</v>
      </c>
      <c r="C41" s="1" t="s">
        <v>73</v>
      </c>
      <c r="D41" s="1" t="e">
        <f aca="false">stdev.s(A38:A49)</f>
        <v>#NAME?</v>
      </c>
      <c r="E41" s="1" t="s">
        <v>141</v>
      </c>
    </row>
    <row r="42" customFormat="false" ht="15" hidden="false" customHeight="false" outlineLevel="0" collapsed="false">
      <c r="A42" s="1" t="n">
        <v>65.02823077</v>
      </c>
      <c r="C42" s="1" t="s">
        <v>142</v>
      </c>
      <c r="D42" s="1" t="e">
        <f aca="false">quartile.inc(A38:A49,1)</f>
        <v>#NAME?</v>
      </c>
    </row>
    <row r="43" customFormat="false" ht="15" hidden="false" customHeight="false" outlineLevel="0" collapsed="false">
      <c r="A43" s="1" t="n">
        <v>65.05642857</v>
      </c>
      <c r="C43" s="1" t="s">
        <v>143</v>
      </c>
      <c r="D43" s="1" t="e">
        <f aca="false">quartile.inc(A38:A49,3)</f>
        <v>#NAME?</v>
      </c>
    </row>
    <row r="44" customFormat="false" ht="15" hidden="false" customHeight="false" outlineLevel="0" collapsed="false">
      <c r="A44" s="1" t="n">
        <v>64.99881319</v>
      </c>
      <c r="C44" s="1" t="s">
        <v>144</v>
      </c>
      <c r="D44" s="1" t="e">
        <f aca="false">D43-D42</f>
        <v>#NAME?</v>
      </c>
      <c r="E44" s="1" t="s">
        <v>145</v>
      </c>
    </row>
    <row r="45" customFormat="false" ht="15" hidden="false" customHeight="false" outlineLevel="0" collapsed="false">
      <c r="A45" s="1" t="n">
        <v>64.93223077</v>
      </c>
      <c r="C45" s="1" t="s">
        <v>146</v>
      </c>
      <c r="D45" s="13" t="e">
        <f aca="false">0.7413*D44</f>
        <v>#NAME?</v>
      </c>
      <c r="E45" s="1" t="s">
        <v>147</v>
      </c>
    </row>
    <row r="46" customFormat="false" ht="15" hidden="false" customHeight="false" outlineLevel="0" collapsed="false">
      <c r="A46" s="1" t="n">
        <v>64.90646154</v>
      </c>
      <c r="C46" s="1" t="s">
        <v>3</v>
      </c>
      <c r="D46" s="1" t="s">
        <v>148</v>
      </c>
      <c r="E46" s="1" t="s">
        <v>149</v>
      </c>
    </row>
    <row r="47" customFormat="false" ht="15" hidden="false" customHeight="false" outlineLevel="0" collapsed="false">
      <c r="A47" s="1" t="n">
        <v>64.94136264</v>
      </c>
    </row>
    <row r="48" customFormat="false" ht="15" hidden="false" customHeight="false" outlineLevel="0" collapsed="false">
      <c r="A48" s="1" t="n">
        <v>65.01793407</v>
      </c>
    </row>
    <row r="49" customFormat="false" ht="15" hidden="false" customHeight="false" outlineLevel="0" collapsed="false">
      <c r="A49" s="1" t="n">
        <v>64.88504396</v>
      </c>
    </row>
    <row r="52" customFormat="false" ht="15" hidden="false" customHeight="false" outlineLevel="0" collapsed="false">
      <c r="A52" s="19" t="s">
        <v>152</v>
      </c>
      <c r="B52" s="19"/>
      <c r="C52" s="19"/>
      <c r="D52" s="19"/>
      <c r="E52" s="19"/>
      <c r="F52" s="19"/>
    </row>
    <row r="53" customFormat="false" ht="15" hidden="false" customHeight="false" outlineLevel="0" collapsed="false">
      <c r="A53" s="9" t="s">
        <v>60</v>
      </c>
      <c r="C53" s="9" t="s">
        <v>135</v>
      </c>
      <c r="D53" s="9" t="s">
        <v>136</v>
      </c>
      <c r="E53" s="9" t="s">
        <v>137</v>
      </c>
    </row>
    <row r="54" customFormat="false" ht="15" hidden="false" customHeight="false" outlineLevel="0" collapsed="false">
      <c r="A54" s="1" t="n">
        <v>80.00558399</v>
      </c>
      <c r="C54" s="1" t="s">
        <v>138</v>
      </c>
      <c r="D54" s="1" t="n">
        <f aca="false">COUNT(A54:A65)</f>
        <v>12</v>
      </c>
    </row>
    <row r="55" customFormat="false" ht="15" hidden="false" customHeight="false" outlineLevel="0" collapsed="false">
      <c r="A55" s="1" t="n">
        <v>79.99473044</v>
      </c>
      <c r="C55" s="1" t="s">
        <v>64</v>
      </c>
      <c r="D55" s="13" t="n">
        <f aca="false">MEDIAN(A54:A65)</f>
        <v>80.101362685</v>
      </c>
      <c r="E55" s="1" t="s">
        <v>139</v>
      </c>
    </row>
    <row r="56" customFormat="false" ht="15" hidden="false" customHeight="false" outlineLevel="0" collapsed="false">
      <c r="A56" s="1" t="n">
        <v>80.18835654</v>
      </c>
      <c r="C56" s="1" t="s">
        <v>39</v>
      </c>
      <c r="D56" s="1" t="n">
        <f aca="false">AVERAGE(A54:A65)</f>
        <v>80.1330451616667</v>
      </c>
      <c r="E56" s="1" t="s">
        <v>140</v>
      </c>
    </row>
    <row r="57" customFormat="false" ht="15" hidden="false" customHeight="false" outlineLevel="0" collapsed="false">
      <c r="A57" s="1" t="n">
        <v>80.19802471</v>
      </c>
      <c r="C57" s="1" t="s">
        <v>73</v>
      </c>
      <c r="D57" s="1" t="e">
        <f aca="false">stdev.s(A54:A65)</f>
        <v>#NAME?</v>
      </c>
      <c r="E57" s="1" t="s">
        <v>141</v>
      </c>
    </row>
    <row r="58" customFormat="false" ht="15" hidden="false" customHeight="false" outlineLevel="0" collapsed="false">
      <c r="A58" s="1" t="n">
        <v>80.09170218</v>
      </c>
      <c r="C58" s="1" t="s">
        <v>142</v>
      </c>
      <c r="D58" s="1" t="e">
        <f aca="false">quartile.inc(A54:A65,1)</f>
        <v>#NAME?</v>
      </c>
    </row>
    <row r="59" customFormat="false" ht="15" hidden="false" customHeight="false" outlineLevel="0" collapsed="false">
      <c r="A59" s="1" t="n">
        <v>80.32563662</v>
      </c>
      <c r="C59" s="1" t="s">
        <v>143</v>
      </c>
      <c r="D59" s="1" t="e">
        <f aca="false">quartile.inc(A54:A65,3)</f>
        <v>#NAME?</v>
      </c>
    </row>
    <row r="60" customFormat="false" ht="15" hidden="false" customHeight="false" outlineLevel="0" collapsed="false">
      <c r="A60" s="1" t="n">
        <v>79.75691729</v>
      </c>
      <c r="C60" s="1" t="s">
        <v>144</v>
      </c>
      <c r="D60" s="1" t="e">
        <f aca="false">D59-D58</f>
        <v>#NAME?</v>
      </c>
      <c r="E60" s="1" t="s">
        <v>145</v>
      </c>
    </row>
    <row r="61" customFormat="false" ht="15" hidden="false" customHeight="false" outlineLevel="0" collapsed="false">
      <c r="A61" s="1" t="n">
        <v>80.33274862</v>
      </c>
      <c r="C61" s="1" t="s">
        <v>146</v>
      </c>
      <c r="D61" s="13" t="e">
        <f aca="false">0.7413*D60</f>
        <v>#NAME?</v>
      </c>
      <c r="E61" s="1" t="s">
        <v>147</v>
      </c>
    </row>
    <row r="62" customFormat="false" ht="15" hidden="false" customHeight="false" outlineLevel="0" collapsed="false">
      <c r="A62" s="1" t="n">
        <v>80.42394944</v>
      </c>
      <c r="C62" s="1" t="s">
        <v>3</v>
      </c>
      <c r="D62" s="1" t="s">
        <v>148</v>
      </c>
      <c r="E62" s="1" t="s">
        <v>149</v>
      </c>
    </row>
    <row r="63" customFormat="false" ht="15" hidden="false" customHeight="false" outlineLevel="0" collapsed="false">
      <c r="A63" s="1" t="n">
        <v>80.07616674</v>
      </c>
    </row>
    <row r="64" customFormat="false" ht="15" hidden="false" customHeight="false" outlineLevel="0" collapsed="false">
      <c r="A64" s="1" t="n">
        <v>80.10091823</v>
      </c>
    </row>
    <row r="65" customFormat="false" ht="15" hidden="false" customHeight="false" outlineLevel="0" collapsed="false">
      <c r="A65" s="1" t="n">
        <v>80.10180714</v>
      </c>
    </row>
    <row r="68" customFormat="false" ht="15" hidden="false" customHeight="false" outlineLevel="0" collapsed="false">
      <c r="A68" s="19" t="s">
        <v>153</v>
      </c>
      <c r="B68" s="19"/>
      <c r="C68" s="19"/>
      <c r="D68" s="19"/>
      <c r="E68" s="19"/>
      <c r="F68" s="19"/>
    </row>
    <row r="69" customFormat="false" ht="15" hidden="false" customHeight="false" outlineLevel="0" collapsed="false">
      <c r="A69" s="9" t="s">
        <v>60</v>
      </c>
      <c r="C69" s="9" t="s">
        <v>135</v>
      </c>
      <c r="D69" s="9" t="s">
        <v>136</v>
      </c>
      <c r="E69" s="9" t="s">
        <v>137</v>
      </c>
    </row>
    <row r="70" customFormat="false" ht="15" hidden="false" customHeight="false" outlineLevel="0" collapsed="false">
      <c r="A70" s="1" t="n">
        <v>59.90268817</v>
      </c>
      <c r="C70" s="1" t="s">
        <v>138</v>
      </c>
      <c r="D70" s="1" t="n">
        <f aca="false">COUNT(A70:A81)</f>
        <v>12</v>
      </c>
    </row>
    <row r="71" customFormat="false" ht="15" hidden="false" customHeight="false" outlineLevel="0" collapsed="false">
      <c r="A71" s="1" t="n">
        <v>59.88311828</v>
      </c>
      <c r="C71" s="1" t="s">
        <v>64</v>
      </c>
      <c r="D71" s="13" t="n">
        <f aca="false">MEDIAN(A70:A81)</f>
        <v>59.89043011</v>
      </c>
      <c r="E71" s="1" t="s">
        <v>139</v>
      </c>
    </row>
    <row r="72" customFormat="false" ht="15" hidden="false" customHeight="false" outlineLevel="0" collapsed="false">
      <c r="A72" s="1" t="n">
        <v>59.90290323</v>
      </c>
      <c r="C72" s="1" t="s">
        <v>39</v>
      </c>
      <c r="D72" s="1" t="n">
        <f aca="false">AVERAGE(A70:A81)</f>
        <v>59.8942741941667</v>
      </c>
      <c r="E72" s="1" t="s">
        <v>140</v>
      </c>
    </row>
    <row r="73" customFormat="false" ht="15" hidden="false" customHeight="false" outlineLevel="0" collapsed="false">
      <c r="A73" s="1" t="n">
        <v>59.88021505</v>
      </c>
      <c r="C73" s="1" t="s">
        <v>73</v>
      </c>
      <c r="D73" s="1" t="e">
        <f aca="false">stdev.s(A70:A81)</f>
        <v>#NAME?</v>
      </c>
      <c r="E73" s="1" t="s">
        <v>141</v>
      </c>
    </row>
    <row r="74" customFormat="false" ht="15" hidden="false" customHeight="false" outlineLevel="0" collapsed="false">
      <c r="A74" s="1" t="n">
        <v>59.88774194</v>
      </c>
      <c r="C74" s="1" t="s">
        <v>142</v>
      </c>
      <c r="D74" s="1" t="e">
        <f aca="false">quartile.inc(A70:A81,1)</f>
        <v>#NAME?</v>
      </c>
    </row>
    <row r="75" customFormat="false" ht="15" hidden="false" customHeight="false" outlineLevel="0" collapsed="false">
      <c r="A75" s="1" t="n">
        <v>59.89311828</v>
      </c>
      <c r="C75" s="1" t="s">
        <v>143</v>
      </c>
      <c r="D75" s="1" t="e">
        <f aca="false">quartile.inc(A70:A81,3)</f>
        <v>#NAME?</v>
      </c>
    </row>
    <row r="76" customFormat="false" ht="15" hidden="false" customHeight="false" outlineLevel="0" collapsed="false">
      <c r="A76" s="1" t="n">
        <v>59.90419355</v>
      </c>
      <c r="C76" s="1" t="s">
        <v>144</v>
      </c>
      <c r="D76" s="1" t="e">
        <f aca="false">D75-D74</f>
        <v>#NAME?</v>
      </c>
      <c r="E76" s="1" t="s">
        <v>145</v>
      </c>
    </row>
    <row r="77" customFormat="false" ht="15" hidden="false" customHeight="false" outlineLevel="0" collapsed="false">
      <c r="A77" s="1" t="n">
        <v>59.88505376</v>
      </c>
      <c r="C77" s="1" t="s">
        <v>146</v>
      </c>
      <c r="D77" s="13" t="e">
        <f aca="false">0.7413*D76</f>
        <v>#NAME?</v>
      </c>
      <c r="E77" s="1" t="s">
        <v>147</v>
      </c>
    </row>
    <row r="78" customFormat="false" ht="15" hidden="false" customHeight="false" outlineLevel="0" collapsed="false">
      <c r="A78" s="1" t="n">
        <v>59.91225806</v>
      </c>
      <c r="C78" s="1" t="s">
        <v>3</v>
      </c>
      <c r="D78" s="1" t="s">
        <v>148</v>
      </c>
      <c r="E78" s="1" t="s">
        <v>149</v>
      </c>
    </row>
    <row r="79" customFormat="false" ht="15" hidden="false" customHeight="false" outlineLevel="0" collapsed="false">
      <c r="A79" s="1" t="n">
        <v>59.87698925</v>
      </c>
    </row>
    <row r="80" customFormat="false" ht="15" hidden="false" customHeight="false" outlineLevel="0" collapsed="false">
      <c r="A80" s="1" t="n">
        <v>59.92010753</v>
      </c>
    </row>
    <row r="81" customFormat="false" ht="15" hidden="false" customHeight="false" outlineLevel="0" collapsed="false">
      <c r="A81" s="1" t="n">
        <v>59.88290323</v>
      </c>
    </row>
    <row r="84" customFormat="false" ht="15" hidden="false" customHeight="false" outlineLevel="0" collapsed="false">
      <c r="A84" s="4" t="s">
        <v>154</v>
      </c>
    </row>
    <row r="85" customFormat="false" ht="15" hidden="false" customHeight="false" outlineLevel="0" collapsed="false">
      <c r="A85" s="9" t="s">
        <v>155</v>
      </c>
      <c r="B85" s="9" t="s">
        <v>156</v>
      </c>
      <c r="C85" s="9" t="s">
        <v>138</v>
      </c>
      <c r="D85" s="9" t="s">
        <v>64</v>
      </c>
      <c r="E85" s="9" t="s">
        <v>39</v>
      </c>
      <c r="F85" s="9" t="s">
        <v>73</v>
      </c>
      <c r="G85" s="9" t="s">
        <v>146</v>
      </c>
    </row>
    <row r="86" customFormat="false" ht="15" hidden="false" customHeight="false" outlineLevel="0" collapsed="false">
      <c r="A86" s="1" t="s">
        <v>157</v>
      </c>
      <c r="B86" s="1" t="s">
        <v>158</v>
      </c>
      <c r="C86" s="1" t="n">
        <v>12</v>
      </c>
      <c r="D86" s="1" t="n">
        <v>4.0255</v>
      </c>
      <c r="E86" s="1" t="n">
        <v>4.0245</v>
      </c>
      <c r="F86" s="1" t="n">
        <v>0.0032</v>
      </c>
      <c r="G86" s="1" t="n">
        <v>0.0039</v>
      </c>
    </row>
    <row r="87" customFormat="false" ht="15" hidden="false" customHeight="false" outlineLevel="0" collapsed="false">
      <c r="A87" s="1" t="s">
        <v>159</v>
      </c>
      <c r="B87" s="1" t="s">
        <v>160</v>
      </c>
      <c r="C87" s="1" t="n">
        <v>12</v>
      </c>
      <c r="D87" s="1" t="n">
        <v>120.3477</v>
      </c>
      <c r="E87" s="1" t="n">
        <v>120.3559</v>
      </c>
      <c r="F87" s="1" t="n">
        <v>0.0272</v>
      </c>
      <c r="G87" s="1" t="n">
        <v>0.0293</v>
      </c>
    </row>
    <row r="88" customFormat="false" ht="15" hidden="false" customHeight="false" outlineLevel="0" collapsed="false">
      <c r="A88" s="1" t="s">
        <v>161</v>
      </c>
      <c r="B88" s="1" t="s">
        <v>162</v>
      </c>
      <c r="C88" s="1" t="n">
        <v>12</v>
      </c>
      <c r="D88" s="1" t="n">
        <v>64.9395</v>
      </c>
      <c r="E88" s="1" t="n">
        <v>64.9607</v>
      </c>
      <c r="F88" s="1" t="n">
        <v>0.0774</v>
      </c>
      <c r="G88" s="1" t="n">
        <v>0.0885</v>
      </c>
    </row>
    <row r="89" customFormat="false" ht="15" hidden="false" customHeight="false" outlineLevel="0" collapsed="false">
      <c r="A89" s="1" t="s">
        <v>163</v>
      </c>
      <c r="B89" s="1" t="s">
        <v>164</v>
      </c>
      <c r="C89" s="1" t="n">
        <v>12</v>
      </c>
      <c r="D89" s="1" t="n">
        <v>80.1014</v>
      </c>
      <c r="E89" s="1" t="n">
        <v>80.133</v>
      </c>
      <c r="F89" s="1" t="n">
        <v>0.1791</v>
      </c>
      <c r="G89" s="1" t="n">
        <v>0.1271</v>
      </c>
    </row>
    <row r="90" customFormat="false" ht="15" hidden="false" customHeight="false" outlineLevel="0" collapsed="false">
      <c r="A90" s="1" t="s">
        <v>165</v>
      </c>
      <c r="B90" s="1" t="s">
        <v>162</v>
      </c>
      <c r="C90" s="1" t="n">
        <v>12</v>
      </c>
      <c r="D90" s="1" t="n">
        <v>59.8904</v>
      </c>
      <c r="E90" s="1" t="n">
        <v>59.8943</v>
      </c>
      <c r="F90" s="1" t="n">
        <v>0.0139</v>
      </c>
      <c r="G90" s="1" t="n">
        <v>0.0149</v>
      </c>
    </row>
  </sheetData>
  <mergeCells count="7">
    <mergeCell ref="A1:J1"/>
    <mergeCell ref="A2:J2"/>
    <mergeCell ref="A4:F4"/>
    <mergeCell ref="A20:F20"/>
    <mergeCell ref="A36:F36"/>
    <mergeCell ref="A52:F52"/>
    <mergeCell ref="A68:F6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62" zoomScaleNormal="62" zoomScalePageLayoutView="100" workbookViewId="0">
      <selection pane="topLeft" activeCell="A1" activeCellId="0" sqref="A1"/>
    </sheetView>
  </sheetViews>
  <sheetFormatPr defaultColWidth="10.6171875" defaultRowHeight="15" customHeight="false" zeroHeight="false" outlineLevelRow="0" outlineLevelCol="0"/>
  <cols>
    <col collapsed="false" customWidth="true" hidden="false" outlineLevel="0" max="1" min="1" style="1" width="58.71"/>
    <col collapsed="false" customWidth="true" hidden="false" outlineLevel="0" max="2" min="2" style="1" width="86.71"/>
    <col collapsed="false" customWidth="true" hidden="false" outlineLevel="0" max="3" min="3" style="1" width="37.71"/>
    <col collapsed="false" customWidth="true" hidden="false" outlineLevel="0" max="4" min="4" style="1" width="13.71"/>
    <col collapsed="false" customWidth="true" hidden="false" outlineLevel="0" max="5" min="5" style="1" width="7.71"/>
    <col collapsed="false" customWidth="true" hidden="false" outlineLevel="0" max="6" min="6" style="1" width="13.71"/>
    <col collapsed="false" customWidth="true" hidden="false" outlineLevel="0" max="8" min="7" style="1" width="8.71"/>
    <col collapsed="false" customWidth="true" hidden="false" outlineLevel="0" max="9" min="9" style="1" width="6.71"/>
    <col collapsed="false" customWidth="true" hidden="false" outlineLevel="0" max="10" min="10" style="1" width="7.71"/>
  </cols>
  <sheetData>
    <row r="1" customFormat="false" ht="17.35" hidden="false" customHeight="false" outlineLevel="0" collapsed="false">
      <c r="A1" s="2" t="s">
        <v>166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167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5" hidden="false" customHeight="false" outlineLevel="0" collapsed="false">
      <c r="A4" s="4" t="s">
        <v>168</v>
      </c>
    </row>
    <row r="5" customFormat="false" ht="15" hidden="false" customHeight="false" outlineLevel="0" collapsed="false">
      <c r="A5" s="1" t="s">
        <v>169</v>
      </c>
      <c r="B5" s="18" t="n">
        <v>59.9</v>
      </c>
    </row>
    <row r="6" customFormat="false" ht="15" hidden="false" customHeight="false" outlineLevel="0" collapsed="false">
      <c r="A6" s="1" t="s">
        <v>170</v>
      </c>
      <c r="B6" s="18" t="n">
        <v>0.6</v>
      </c>
    </row>
    <row r="7" customFormat="false" ht="15" hidden="false" customHeight="false" outlineLevel="0" collapsed="false">
      <c r="A7" s="1" t="s">
        <v>171</v>
      </c>
      <c r="B7" s="18" t="n">
        <v>0.1</v>
      </c>
    </row>
    <row r="8" customFormat="false" ht="15" hidden="false" customHeight="false" outlineLevel="0" collapsed="false">
      <c r="A8" s="1" t="s">
        <v>172</v>
      </c>
      <c r="B8" s="18" t="n">
        <v>0.05</v>
      </c>
    </row>
    <row r="9" customFormat="false" ht="15" hidden="false" customHeight="false" outlineLevel="0" collapsed="false">
      <c r="A9" s="1" t="s">
        <v>173</v>
      </c>
      <c r="B9" s="18" t="n">
        <v>0.03</v>
      </c>
    </row>
    <row r="10" customFormat="false" ht="15" hidden="false" customHeight="false" outlineLevel="0" collapsed="false">
      <c r="A10" s="1" t="s">
        <v>174</v>
      </c>
      <c r="B10" s="13" t="n">
        <f aca="false">SQRT(B7^2+B8^2+B9^2)</f>
        <v>0.115758369027902</v>
      </c>
      <c r="C10" s="1" t="s">
        <v>175</v>
      </c>
    </row>
    <row r="11" customFormat="false" ht="15" hidden="false" customHeight="false" outlineLevel="0" collapsed="false">
      <c r="A11" s="1" t="s">
        <v>176</v>
      </c>
      <c r="B11" s="13" t="n">
        <f aca="false">2*B10</f>
        <v>0.231516738055805</v>
      </c>
    </row>
    <row r="13" customFormat="false" ht="15" hidden="false" customHeight="false" outlineLevel="0" collapsed="false">
      <c r="A13" s="4" t="s">
        <v>177</v>
      </c>
    </row>
    <row r="14" customFormat="false" ht="15" hidden="false" customHeight="false" outlineLevel="0" collapsed="false">
      <c r="A14" s="9" t="s">
        <v>178</v>
      </c>
      <c r="B14" s="9" t="s">
        <v>179</v>
      </c>
      <c r="C14" s="9" t="s">
        <v>180</v>
      </c>
      <c r="D14" s="9" t="s">
        <v>181</v>
      </c>
      <c r="E14" s="9" t="s">
        <v>182</v>
      </c>
      <c r="F14" s="9" t="s">
        <v>183</v>
      </c>
      <c r="G14" s="9" t="s">
        <v>184</v>
      </c>
      <c r="H14" s="9" t="s">
        <v>185</v>
      </c>
      <c r="I14" s="9" t="s">
        <v>186</v>
      </c>
      <c r="J14" s="9" t="s">
        <v>187</v>
      </c>
    </row>
    <row r="15" customFormat="false" ht="15" hidden="false" customHeight="false" outlineLevel="0" collapsed="false">
      <c r="A15" s="1" t="s">
        <v>188</v>
      </c>
      <c r="B15" s="18" t="n">
        <v>59.95</v>
      </c>
      <c r="C15" s="18" t="n">
        <v>0.15</v>
      </c>
      <c r="D15" s="18" t="n">
        <v>0.3</v>
      </c>
      <c r="E15" s="17" t="n">
        <f aca="false">(B15-$B$5)/$B$6</f>
        <v>0.0833333333333405</v>
      </c>
      <c r="F15" s="17" t="n">
        <f aca="false">(B15-$B$5)/SQRT($B$6^2+$B$10^2)</f>
        <v>0.0818244034143197</v>
      </c>
      <c r="G15" s="17" t="n">
        <f aca="false">(B15-$B$5)/SQRT(C15^2+$B$10^2)</f>
        <v>0.263889906984652</v>
      </c>
      <c r="H15" s="17" t="n">
        <f aca="false">(B15-$B$5)/SQRT(D15^2+$B$11^2)</f>
        <v>0.131944953492326</v>
      </c>
      <c r="I15" s="17" t="str">
        <f aca="false">IF(ABS(E15)&lt;=2,"Satisfactorio",IF(ABS(E15)&lt;3,"Cuestionable","No satisfactorio"))</f>
        <v>Satisfactorio</v>
      </c>
      <c r="J15" s="17" t="str">
        <f aca="false">IF(ABS(H15)&lt;=1,"Satisfactorio","No satisfactorio")</f>
        <v>Satisfactorio</v>
      </c>
    </row>
    <row r="16" customFormat="false" ht="15" hidden="false" customHeight="false" outlineLevel="0" collapsed="false">
      <c r="A16" s="1" t="s">
        <v>189</v>
      </c>
      <c r="B16" s="18" t="n">
        <v>59.8</v>
      </c>
      <c r="C16" s="18" t="n">
        <v>0.2</v>
      </c>
      <c r="D16" s="18" t="n">
        <v>0.4</v>
      </c>
      <c r="E16" s="17" t="n">
        <f aca="false">(B16-$B$5)/$B$6</f>
        <v>-0.166666666666669</v>
      </c>
      <c r="F16" s="17" t="n">
        <f aca="false">(B16-$B$5)/SQRT($B$6^2+$B$10^2)</f>
        <v>-0.163648806828628</v>
      </c>
      <c r="G16" s="17" t="n">
        <f aca="false">(B16-$B$5)/SQRT(C16^2+$B$10^2)</f>
        <v>-0.432742322407922</v>
      </c>
      <c r="H16" s="17" t="n">
        <f aca="false">(B16-$B$5)/SQRT(D16^2+$B$11^2)</f>
        <v>-0.216371161203961</v>
      </c>
      <c r="I16" s="17" t="str">
        <f aca="false">IF(ABS(E16)&lt;=2,"Satisfactorio",IF(ABS(E16)&lt;3,"Cuestionable","No satisfactorio"))</f>
        <v>Satisfactorio</v>
      </c>
      <c r="J16" s="17" t="str">
        <f aca="false">IF(ABS(H16)&lt;=1,"Satisfactorio","No satisfactorio")</f>
        <v>Satisfactorio</v>
      </c>
    </row>
    <row r="17" customFormat="false" ht="15" hidden="false" customHeight="false" outlineLevel="0" collapsed="false">
      <c r="A17" s="1" t="s">
        <v>190</v>
      </c>
      <c r="B17" s="18" t="n">
        <v>60.5</v>
      </c>
      <c r="C17" s="18" t="n">
        <v>0.1</v>
      </c>
      <c r="D17" s="18" t="n">
        <v>0.2</v>
      </c>
      <c r="E17" s="17" t="n">
        <f aca="false">(B17-$B$5)/$B$6</f>
        <v>1</v>
      </c>
      <c r="F17" s="17" t="n">
        <f aca="false">(B17-$B$5)/SQRT($B$6^2+$B$10^2)</f>
        <v>0.981892840971755</v>
      </c>
      <c r="G17" s="17" t="n">
        <f aca="false">(B17-$B$5)/SQRT(C17^2+$B$10^2)</f>
        <v>3.92232270276369</v>
      </c>
      <c r="H17" s="17" t="n">
        <f aca="false">(B17-$B$5)/SQRT(D17^2+$B$11^2)</f>
        <v>1.96116135138184</v>
      </c>
      <c r="I17" s="17" t="str">
        <f aca="false">IF(ABS(E17)&lt;=2,"Satisfactorio",IF(ABS(E17)&lt;3,"Cuestionable","No satisfactorio"))</f>
        <v>Satisfactorio</v>
      </c>
      <c r="J17" s="17" t="str">
        <f aca="false">IF(ABS(H17)&lt;=1,"Satisfactorio","No satisfactorio")</f>
        <v>No satisfactorio</v>
      </c>
    </row>
    <row r="18" customFormat="false" ht="15" hidden="false" customHeight="false" outlineLevel="0" collapsed="false">
      <c r="A18" s="1" t="s">
        <v>191</v>
      </c>
      <c r="B18" s="18" t="n">
        <v>59.9</v>
      </c>
      <c r="C18" s="18" t="n">
        <v>0.25</v>
      </c>
      <c r="D18" s="18" t="n">
        <v>0.5</v>
      </c>
      <c r="E18" s="17" t="n">
        <f aca="false">(B18-$B$5)/$B$6</f>
        <v>0</v>
      </c>
      <c r="F18" s="17" t="n">
        <f aca="false">(B18-$B$5)/SQRT($B$6^2+$B$10^2)</f>
        <v>0</v>
      </c>
      <c r="G18" s="17" t="n">
        <f aca="false">(B18-$B$5)/SQRT(C18^2+$B$10^2)</f>
        <v>0</v>
      </c>
      <c r="H18" s="17" t="n">
        <f aca="false">(B18-$B$5)/SQRT(D18^2+$B$11^2)</f>
        <v>0</v>
      </c>
      <c r="I18" s="17" t="str">
        <f aca="false">IF(ABS(E18)&lt;=2,"Satisfactorio",IF(ABS(E18)&lt;3,"Cuestionable","No satisfactorio"))</f>
        <v>Satisfactorio</v>
      </c>
      <c r="J18" s="17" t="str">
        <f aca="false">IF(ABS(H18)&lt;=1,"Satisfactorio","No satisfactorio")</f>
        <v>Satisfactorio</v>
      </c>
    </row>
    <row r="19" customFormat="false" ht="15" hidden="false" customHeight="false" outlineLevel="0" collapsed="false">
      <c r="A19" s="1" t="s">
        <v>192</v>
      </c>
      <c r="B19" s="18" t="n">
        <v>58.5</v>
      </c>
      <c r="C19" s="18" t="n">
        <v>0.3</v>
      </c>
      <c r="D19" s="18" t="n">
        <v>0.6</v>
      </c>
      <c r="E19" s="17" t="n">
        <f aca="false">(B19-$B$5)/$B$6</f>
        <v>-2.33333333333333</v>
      </c>
      <c r="F19" s="17" t="n">
        <f aca="false">(B19-$B$5)/SQRT($B$6^2+$B$10^2)</f>
        <v>-2.29108329560075</v>
      </c>
      <c r="G19" s="17" t="n">
        <f aca="false">(B19-$B$5)/SQRT(C19^2+$B$10^2)</f>
        <v>-4.35379289499786</v>
      </c>
      <c r="H19" s="17" t="n">
        <f aca="false">(B19-$B$5)/SQRT(D19^2+$B$11^2)</f>
        <v>-2.17689644749893</v>
      </c>
      <c r="I19" s="17" t="str">
        <f aca="false">IF(ABS(E19)&lt;=2,"Satisfactorio",IF(ABS(E19)&lt;3,"Cuestionable","No satisfactorio"))</f>
        <v>Cuestionable</v>
      </c>
      <c r="J19" s="17" t="str">
        <f aca="false">IF(ABS(H19)&lt;=1,"Satisfactorio","No satisfactorio")</f>
        <v>No satisfactorio</v>
      </c>
    </row>
    <row r="21" customFormat="false" ht="15" hidden="false" customHeight="false" outlineLevel="0" collapsed="false">
      <c r="A21" s="4" t="s">
        <v>193</v>
      </c>
    </row>
    <row r="22" customFormat="false" ht="15" hidden="false" customHeight="false" outlineLevel="0" collapsed="false">
      <c r="A22" s="1" t="s">
        <v>182</v>
      </c>
      <c r="B22" s="1" t="s">
        <v>194</v>
      </c>
    </row>
    <row r="23" customFormat="false" ht="15" hidden="false" customHeight="false" outlineLevel="0" collapsed="false">
      <c r="A23" s="1" t="s">
        <v>183</v>
      </c>
      <c r="B23" s="1" t="s">
        <v>195</v>
      </c>
    </row>
    <row r="24" customFormat="false" ht="15" hidden="false" customHeight="false" outlineLevel="0" collapsed="false">
      <c r="A24" s="1" t="s">
        <v>196</v>
      </c>
      <c r="B24" s="1" t="s">
        <v>197</v>
      </c>
    </row>
    <row r="25" customFormat="false" ht="15" hidden="false" customHeight="false" outlineLevel="0" collapsed="false">
      <c r="A25" s="1" t="s">
        <v>185</v>
      </c>
      <c r="B25" s="1" t="s">
        <v>198</v>
      </c>
    </row>
    <row r="26" customFormat="false" ht="15" hidden="false" customHeight="false" outlineLevel="0" collapsed="false">
      <c r="A26" s="1" t="s">
        <v>199</v>
      </c>
      <c r="B26" s="1" t="s">
        <v>200</v>
      </c>
    </row>
    <row r="28" customFormat="false" ht="15" hidden="false" customHeight="false" outlineLevel="0" collapsed="false">
      <c r="A28" s="4" t="s">
        <v>201</v>
      </c>
    </row>
    <row r="29" customFormat="false" ht="15" hidden="false" customHeight="false" outlineLevel="0" collapsed="false">
      <c r="A29" s="1" t="s">
        <v>182</v>
      </c>
      <c r="B29" s="1" t="s">
        <v>202</v>
      </c>
    </row>
    <row r="30" customFormat="false" ht="15" hidden="false" customHeight="false" outlineLevel="0" collapsed="false">
      <c r="A30" s="1" t="s">
        <v>185</v>
      </c>
      <c r="B30" s="1" t="s">
        <v>203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181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2026-01-24T21:43:45Z</dcterms:created>
  <dc:creator>w182</dc:creator>
  <dc:description/>
  <dc:language>en-US</dc:language>
  <cp:lastModifiedBy/>
  <dcterms:modified xsi:type="dcterms:W3CDTF">2026-02-05T16:17:42Z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