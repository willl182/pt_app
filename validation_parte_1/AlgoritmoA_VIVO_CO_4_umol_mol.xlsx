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goritmoA" sheetId="1" state="visible" r:id="rId1"/>
  </sheets>
</workbook>
</file>

<file path=xl/sharedStrings.xml><?xml version="1.0" encoding="utf-8"?>
<sst xmlns="http://schemas.openxmlformats.org/spreadsheetml/2006/main" count="54" uniqueCount="54">
  <si>
    <t xml:space="preserve">Algoritmo A (ISO 13528 Anexo C) - CO / 4-μmol/mol</t>
  </si>
  <si>
    <t xml:space="preserve">Participante</t>
  </si>
  <si>
    <t xml:space="preserve">part_1</t>
  </si>
  <si>
    <t xml:space="preserve">part_10</t>
  </si>
  <si>
    <t xml:space="preserve">part_11</t>
  </si>
  <si>
    <t xml:space="preserve">part_12</t>
  </si>
  <si>
    <t xml:space="preserve">part_2</t>
  </si>
  <si>
    <t xml:space="preserve">part_3</t>
  </si>
  <si>
    <t xml:space="preserve">part_4</t>
  </si>
  <si>
    <t xml:space="preserve">part_5</t>
  </si>
  <si>
    <t xml:space="preserve">part_6</t>
  </si>
  <si>
    <t xml:space="preserve">part_7</t>
  </si>
  <si>
    <t xml:space="preserve">part_8</t>
  </si>
  <si>
    <t xml:space="preserve">part_9</t>
  </si>
  <si>
    <t xml:space="preserve">Valor xi</t>
  </si>
  <si>
    <t xml:space="preserve">n</t>
  </si>
  <si>
    <t xml:space="preserve">Tolerancia</t>
  </si>
  <si>
    <t xml:space="preserve">VALORES INICIALES (iteracion 0)</t>
  </si>
  <si>
    <t xml:space="preserve">x*_0 (mediana)</t>
  </si>
  <si>
    <t xml:space="preserve">= MEDIANA(valores)</t>
  </si>
  <si>
    <t xml:space="preserve">|xi - mediana|</t>
  </si>
  <si>
    <t xml:space="preserve">s*_0 (MADe)</t>
  </si>
  <si>
    <t xml:space="preserve">= 1.483 * MEDIANA(|xi - mediana|)</t>
  </si>
  <si>
    <t xml:space="preserve">ITERACIONES (winsorizacion ISO 13528 Anexo C)</t>
  </si>
  <si>
    <t xml:space="preserve">Iter</t>
  </si>
  <si>
    <t xml:space="preserve">x*_prev</t>
  </si>
  <si>
    <t xml:space="preserve">s*_prev</t>
  </si>
  <si>
    <t xml:space="preserve">delta</t>
  </si>
  <si>
    <t xml:space="preserve">lim_inf</t>
  </si>
  <si>
    <t xml:space="preserve">lim_sup</t>
  </si>
  <si>
    <t xml:space="preserve">w_part_1</t>
  </si>
  <si>
    <t xml:space="preserve">w_part_10</t>
  </si>
  <si>
    <t xml:space="preserve">w_part_11</t>
  </si>
  <si>
    <t xml:space="preserve">w_part_12</t>
  </si>
  <si>
    <t xml:space="preserve">w_part_2</t>
  </si>
  <si>
    <t xml:space="preserve">w_part_3</t>
  </si>
  <si>
    <t xml:space="preserve">w_part_4</t>
  </si>
  <si>
    <t xml:space="preserve">w_part_5</t>
  </si>
  <si>
    <t xml:space="preserve">w_part_6</t>
  </si>
  <si>
    <t xml:space="preserve">w_part_7</t>
  </si>
  <si>
    <t xml:space="preserve">w_part_8</t>
  </si>
  <si>
    <t xml:space="preserve">w_part_9</t>
  </si>
  <si>
    <t xml:space="preserve">x*_new</t>
  </si>
  <si>
    <t xml:space="preserve">s*_new</t>
  </si>
  <si>
    <t xml:space="preserve">delta_x</t>
  </si>
  <si>
    <t xml:space="preserve">delta_s</t>
  </si>
  <si>
    <t xml:space="preserve">delta_max</t>
  </si>
  <si>
    <t xml:space="preserve">Converge?</t>
  </si>
  <si>
    <t xml:space="preserve">RESULTADO FINAL</t>
  </si>
  <si>
    <t xml:space="preserve">x* (valor asignado)</t>
  </si>
  <si>
    <t xml:space="preserve">s* (desviacion robusta)</t>
  </si>
  <si>
    <t xml:space="preserve">u(x_pt) = 1.25*s*/sqrt(n)</t>
  </si>
  <si>
    <t xml:space="preserve">Convergencia</t>
  </si>
  <si>
    <t xml:space="preserve">INSTRUCCIONES: Las celdas AMARILLAS (fila 4) son editables. Cambie cualquier valor y todas las formulas se recalculan. Para otro analito/nivel: duplique esta hoja y pegue nuevos datos en fila 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</si>
</sst>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6" formatCode="0.000000000"/>
    <numFmt numFmtId="167" formatCode="0"/>
    <numFmt numFmtId="168" formatCode="0.000000"/>
    <numFmt numFmtId="169" formatCode="0.000000000"/>
    <numFmt numFmtId="170" formatCode="0.000000000"/>
  </numFmts>
  <fonts count="8">
    <font>
      <sz val="11"/>
      <color rgb="FF000000"/>
      <name val="Calibri"/>
      <family val="2"/>
      <scheme val="minor"/>
    </font>
    <font>
      <sz val="12"/>
      <color rgb="FFFFFFFF"/>
      <name val="Calibri"/>
      <b/>
    </font>
    <font>
      <sz val="10"/>
      <color rgb="FF000000"/>
      <name val="Calibri"/>
      <b/>
    </font>
    <font>
      <sz val="10"/>
      <color rgb="FFFFFFFF"/>
      <name val="Calibri"/>
      <b/>
    </font>
    <font>
      <sz val="10"/>
      <color rgb="FF000000"/>
      <name val="Calibri"/>
    </font>
    <font>
      <sz val="11"/>
      <color rgb="FF000000"/>
      <name val="Calibri"/>
    </font>
    <font>
      <sz val="11"/>
      <color rgb="FF000000"/>
      <name val="Calibri"/>
      <b/>
    </font>
    <font>
      <sz val="9"/>
      <color rgb="FF666666"/>
      <name val="Calibri"/>
    </font>
  </fonts>
  <fills count="8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E8EAF6"/>
      </patternFill>
    </fill>
    <fill>
      <patternFill patternType="solid">
        <fgColor rgb="FF5D6D7E"/>
      </patternFill>
    </fill>
    <fill>
      <patternFill patternType="solid">
        <fgColor rgb="FFFFF9C4"/>
      </patternFill>
    </fill>
    <fill>
      <patternFill patternType="solid">
        <fgColor rgb="FFD5F5E3"/>
      </patternFill>
    </fill>
    <fill>
      <patternFill patternType="solid">
        <fgColor rgb="FFE3F2FD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center" wrapText="1"/>
    </xf>
    <xf numFmtId="166" fontId="4" fillId="5" borderId="1" xfId="0" applyFont="1" applyNumberFormat="1" applyFill="1" applyBorder="1" applyAlignment="1">
      <alignment horizontal="right"/>
    </xf>
    <xf numFmtId="167" fontId="4" fillId="0" borderId="1" xfId="0" applyFont="1" applyNumberFormat="1" applyBorder="1" applyAlignment="1">
      <alignment horizontal="center"/>
    </xf>
    <xf numFmtId="168" fontId="5" fillId="5" borderId="1" xfId="0" applyFont="1" applyNumberFormat="1" applyFill="1" applyBorder="1" applyAlignment="1">
      <alignment horizontal="right"/>
    </xf>
    <xf numFmtId="0" fontId="6" fillId="6" borderId="1" xfId="0" applyFont="1" applyFill="1" applyBorder="1"/>
    <xf numFmtId="169" fontId="4" fillId="0" borderId="1" xfId="0" applyFont="1" applyNumberFormat="1" applyBorder="1" applyAlignment="1">
      <alignment horizontal="right"/>
    </xf>
    <xf numFmtId="0" fontId="7" fillId="0" borderId="0" xfId="0" applyFont="1" applyAlignment="1">
      <alignment horizontal="left" wrapText="1"/>
    </xf>
    <xf numFmtId="170" fontId="4" fillId="7" borderId="1" xfId="0" applyFont="1" applyNumberFormat="1" applyFill="1" applyBorder="1" applyAlignment="1">
      <alignment horizontal="right"/>
    </xf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4.71" hidden="0" customWidth="1"/>
    <col min="2" max="2" width="16.71" hidden="0" customWidth="1"/>
    <col min="3" max="3" width="16.71" hidden="0" customWidth="1"/>
    <col min="4" max="4" width="16.71" hidden="0" customWidth="1"/>
    <col min="5" max="5" width="16.71" hidden="0" customWidth="1"/>
    <col min="6" max="6" width="16.71" hidden="0" customWidth="1"/>
    <col min="7" max="7" width="16.71" hidden="0" customWidth="1"/>
    <col min="8" max="8" width="16.71" hidden="0" customWidth="1"/>
    <col min="9" max="9" width="16.71" hidden="0" customWidth="1"/>
    <col min="10" max="10" width="16.71" hidden="0" customWidth="1"/>
    <col min="11" max="11" width="16.71" hidden="0" customWidth="1"/>
    <col min="12" max="12" width="16.71" hidden="0" customWidth="1"/>
    <col min="13" max="13" width="16.71" hidden="0" customWidth="1"/>
    <col min="14" max="14" width="16.71" hidden="0" customWidth="1"/>
    <col min="15" max="15" width="16.71" hidden="0" customWidth="1"/>
    <col min="16" max="16" width="16.71" hidden="0" customWidth="1"/>
    <col min="17" max="17" width="16.71" hidden="0" customWidth="1"/>
    <col min="18" max="18" width="16.71" hidden="0" customWidth="1"/>
    <col min="19" max="19" width="16.71" hidden="0" customWidth="1"/>
    <col min="20" max="20" width="16.71" hidden="0" customWidth="1"/>
    <col min="21" max="21" width="16.71" hidden="0" customWidth="1"/>
    <col min="22" max="22" width="16.71" hidden="0" customWidth="1"/>
    <col min="23" max="23" width="16.71" hidden="0" customWidth="1"/>
    <col min="24" max="24" width="16.71" hidden="0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3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</row>
    <row r="4">
      <c r="A4" s="2" t="s">
        <v>14</v>
      </c>
      <c r="B4" s="4" t="n">
        <v>4.02562226566667</v>
      </c>
      <c r="C4" s="4" t="n">
        <v>4.024411039</v>
      </c>
      <c r="D4" s="4" t="n">
        <v>4.01889629166667</v>
      </c>
      <c r="E4" s="4" t="n">
        <v>4.02204219333333</v>
      </c>
      <c r="F4" s="4" t="n">
        <v>4.02130829</v>
      </c>
      <c r="G4" s="4" t="n">
        <v>4.023128853</v>
      </c>
      <c r="H4" s="4" t="n">
        <v>4.01847800866667</v>
      </c>
      <c r="I4" s="4" t="n">
        <v>4.026503319</v>
      </c>
      <c r="J4" s="4" t="n">
        <v>4.024743564</v>
      </c>
      <c r="K4" s="4" t="n">
        <v>4.02488930033333</v>
      </c>
      <c r="L4" s="4" t="n">
        <v>4.023339401</v>
      </c>
      <c r="M4" s="4" t="n">
        <v>4.02322684666667</v>
      </c>
    </row>
    <row r="6">
      <c r="A6" s="2" t="s">
        <v>15</v>
      </c>
      <c r="B6" s="5" t="str">
        <f>COUNTA(B4:M4)</f>
      </c>
    </row>
    <row r="7">
      <c r="A7" s="2" t="s">
        <v>16</v>
      </c>
      <c r="B7" s="6" t="n">
        <v>0.000001</v>
      </c>
    </row>
    <row r="9">
      <c r="A9" s="7" t="s">
        <v>17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>
      <c r="A10" s="2" t="s">
        <v>18</v>
      </c>
      <c r="B10" s="8" t="str">
        <f>MEDIAN(B4:M4)</f>
      </c>
      <c r="O10" s="9" t="s">
        <v>19</v>
      </c>
    </row>
    <row r="11">
      <c r="A11" s="2" t="s">
        <v>20</v>
      </c>
      <c r="B11" s="8" t="str">
        <f>ABS(B4-B10)</f>
      </c>
      <c r="C11" s="8" t="str">
        <f>ABS(C4-B10)</f>
      </c>
      <c r="D11" s="8" t="str">
        <f>ABS(D4-B10)</f>
      </c>
      <c r="E11" s="8" t="str">
        <f>ABS(E4-B10)</f>
      </c>
      <c r="F11" s="8" t="str">
        <f>ABS(F4-B10)</f>
      </c>
      <c r="G11" s="8" t="str">
        <f>ABS(G4-B10)</f>
      </c>
      <c r="H11" s="8" t="str">
        <f>ABS(H4-B10)</f>
      </c>
      <c r="I11" s="8" t="str">
        <f>ABS(I4-B10)</f>
      </c>
      <c r="J11" s="8" t="str">
        <f>ABS(J4-B10)</f>
      </c>
      <c r="K11" s="8" t="str">
        <f>ABS(K4-B10)</f>
      </c>
      <c r="L11" s="8" t="str">
        <f>ABS(L4-B10)</f>
      </c>
      <c r="M11" s="8" t="str">
        <f>ABS(M4-B10)</f>
      </c>
    </row>
    <row r="12">
      <c r="A12" s="2" t="s">
        <v>21</v>
      </c>
      <c r="B12" s="8" t="str">
        <f>1.483*MEDIAN(B11:M11)</f>
      </c>
      <c r="O12" s="9" t="s">
        <v>22</v>
      </c>
    </row>
    <row r="14">
      <c r="A14" s="7" t="s">
        <v>23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>
      <c r="A15" s="3" t="s">
        <v>24</v>
      </c>
      <c r="B15" s="3" t="s">
        <v>25</v>
      </c>
      <c r="C15" s="3" t="s">
        <v>26</v>
      </c>
      <c r="D15" s="3" t="s">
        <v>27</v>
      </c>
      <c r="E15" s="3" t="s">
        <v>28</v>
      </c>
      <c r="F15" s="3" t="s">
        <v>29</v>
      </c>
      <c r="G15" s="3" t="s">
        <v>30</v>
      </c>
      <c r="H15" s="3" t="s">
        <v>31</v>
      </c>
      <c r="I15" s="3" t="s">
        <v>32</v>
      </c>
      <c r="J15" s="3" t="s">
        <v>33</v>
      </c>
      <c r="K15" s="3" t="s">
        <v>34</v>
      </c>
      <c r="L15" s="3" t="s">
        <v>35</v>
      </c>
      <c r="M15" s="3" t="s">
        <v>36</v>
      </c>
      <c r="N15" s="3" t="s">
        <v>37</v>
      </c>
      <c r="O15" s="3" t="s">
        <v>38</v>
      </c>
      <c r="P15" s="3" t="s">
        <v>39</v>
      </c>
      <c r="Q15" s="3" t="s">
        <v>40</v>
      </c>
      <c r="R15" s="3" t="s">
        <v>41</v>
      </c>
      <c r="S15" s="3" t="s">
        <v>42</v>
      </c>
      <c r="T15" s="3" t="s">
        <v>43</v>
      </c>
      <c r="U15" s="3" t="s">
        <v>44</v>
      </c>
      <c r="V15" s="3" t="s">
        <v>45</v>
      </c>
      <c r="W15" s="3" t="s">
        <v>46</v>
      </c>
      <c r="X15" s="3" t="s">
        <v>47</v>
      </c>
    </row>
    <row r="16">
      <c r="A16" s="5" t="n">
        <v>1</v>
      </c>
      <c r="B16" s="8" t="str">
        <f>B10</f>
      </c>
      <c r="C16" s="8" t="str">
        <f>B12</f>
      </c>
      <c r="D16" s="8" t="str">
        <f>1.5*C16</f>
      </c>
      <c r="E16" s="8" t="str">
        <f>B16-D16</f>
      </c>
      <c r="F16" s="8" t="str">
        <f>B16+D16</f>
      </c>
      <c r="G16" s="10" t="str">
        <f>MAX(MIN(B$4,$F$16),$E$16)</f>
      </c>
      <c r="H16" s="10" t="str">
        <f>MAX(MIN(C$4,$F$16),$E$16)</f>
      </c>
      <c r="I16" s="10" t="str">
        <f>MAX(MIN(D$4,$F$16),$E$16)</f>
      </c>
      <c r="J16" s="10" t="str">
        <f>MAX(MIN(E$4,$F$16),$E$16)</f>
      </c>
      <c r="K16" s="10" t="str">
        <f>MAX(MIN(F$4,$F$16),$E$16)</f>
      </c>
      <c r="L16" s="10" t="str">
        <f>MAX(MIN(G$4,$F$16),$E$16)</f>
      </c>
      <c r="M16" s="10" t="str">
        <f>MAX(MIN(H$4,$F$16),$E$16)</f>
      </c>
      <c r="N16" s="10" t="str">
        <f>MAX(MIN(I$4,$F$16),$E$16)</f>
      </c>
      <c r="O16" s="10" t="str">
        <f>MAX(MIN(J$4,$F$16),$E$16)</f>
      </c>
      <c r="P16" s="10" t="str">
        <f>MAX(MIN(K$4,$F$16),$E$16)</f>
      </c>
      <c r="Q16" s="10" t="str">
        <f>MAX(MIN(L$4,$F$16),$E$16)</f>
      </c>
      <c r="R16" s="10" t="str">
        <f>MAX(MIN(M$4,$F$16),$E$16)</f>
      </c>
      <c r="S16" s="8" t="str">
        <f>AVERAGE(G16:R16)</f>
      </c>
      <c r="T16" s="8" t="str">
        <f>1.134*STDEV(G16:R16)</f>
      </c>
      <c r="U16" s="8" t="str">
        <f>ABS(S16-B16)</f>
      </c>
      <c r="V16" s="8" t="str">
        <f>ABS(T16-C16)</f>
      </c>
      <c r="W16" s="8" t="str">
        <f>MAX(U16,V16)</f>
      </c>
      <c r="X16" s="11" t="str">
        <f>IF(W16&lt;B7,"SI","NO")</f>
      </c>
    </row>
    <row r="17">
      <c r="A17" s="5" t="n">
        <v>2</v>
      </c>
      <c r="B17" s="8" t="str">
        <f>S16</f>
      </c>
      <c r="C17" s="8" t="str">
        <f>T16</f>
      </c>
      <c r="D17" s="8" t="str">
        <f>1.5*C17</f>
      </c>
      <c r="E17" s="8" t="str">
        <f>B17-D17</f>
      </c>
      <c r="F17" s="8" t="str">
        <f>B17+D17</f>
      </c>
      <c r="G17" s="10" t="str">
        <f>MAX(MIN(B$4,$F$17),$E$17)</f>
      </c>
      <c r="H17" s="10" t="str">
        <f>MAX(MIN(C$4,$F$17),$E$17)</f>
      </c>
      <c r="I17" s="10" t="str">
        <f>MAX(MIN(D$4,$F$17),$E$17)</f>
      </c>
      <c r="J17" s="10" t="str">
        <f>MAX(MIN(E$4,$F$17),$E$17)</f>
      </c>
      <c r="K17" s="10" t="str">
        <f>MAX(MIN(F$4,$F$17),$E$17)</f>
      </c>
      <c r="L17" s="10" t="str">
        <f>MAX(MIN(G$4,$F$17),$E$17)</f>
      </c>
      <c r="M17" s="10" t="str">
        <f>MAX(MIN(H$4,$F$17),$E$17)</f>
      </c>
      <c r="N17" s="10" t="str">
        <f>MAX(MIN(I$4,$F$17),$E$17)</f>
      </c>
      <c r="O17" s="10" t="str">
        <f>MAX(MIN(J$4,$F$17),$E$17)</f>
      </c>
      <c r="P17" s="10" t="str">
        <f>MAX(MIN(K$4,$F$17),$E$17)</f>
      </c>
      <c r="Q17" s="10" t="str">
        <f>MAX(MIN(L$4,$F$17),$E$17)</f>
      </c>
      <c r="R17" s="10" t="str">
        <f>MAX(MIN(M$4,$F$17),$E$17)</f>
      </c>
      <c r="S17" s="8" t="str">
        <f>AVERAGE(G17:R17)</f>
      </c>
      <c r="T17" s="8" t="str">
        <f>1.134*STDEV(G17:R17)</f>
      </c>
      <c r="U17" s="8" t="str">
        <f>ABS(S17-B17)</f>
      </c>
      <c r="V17" s="8" t="str">
        <f>ABS(T17-C17)</f>
      </c>
      <c r="W17" s="8" t="str">
        <f>MAX(U17,V17)</f>
      </c>
      <c r="X17" s="11" t="str">
        <f>IF(W17&lt;B7,"SI","NO")</f>
      </c>
    </row>
    <row r="18">
      <c r="A18" s="5" t="n">
        <v>3</v>
      </c>
      <c r="B18" s="8" t="str">
        <f>S17</f>
      </c>
      <c r="C18" s="8" t="str">
        <f>T17</f>
      </c>
      <c r="D18" s="8" t="str">
        <f>1.5*C18</f>
      </c>
      <c r="E18" s="8" t="str">
        <f>B18-D18</f>
      </c>
      <c r="F18" s="8" t="str">
        <f>B18+D18</f>
      </c>
      <c r="G18" s="10" t="str">
        <f>MAX(MIN(B$4,$F$18),$E$18)</f>
      </c>
      <c r="H18" s="10" t="str">
        <f>MAX(MIN(C$4,$F$18),$E$18)</f>
      </c>
      <c r="I18" s="10" t="str">
        <f>MAX(MIN(D$4,$F$18),$E$18)</f>
      </c>
      <c r="J18" s="10" t="str">
        <f>MAX(MIN(E$4,$F$18),$E$18)</f>
      </c>
      <c r="K18" s="10" t="str">
        <f>MAX(MIN(F$4,$F$18),$E$18)</f>
      </c>
      <c r="L18" s="10" t="str">
        <f>MAX(MIN(G$4,$F$18),$E$18)</f>
      </c>
      <c r="M18" s="10" t="str">
        <f>MAX(MIN(H$4,$F$18),$E$18)</f>
      </c>
      <c r="N18" s="10" t="str">
        <f>MAX(MIN(I$4,$F$18),$E$18)</f>
      </c>
      <c r="O18" s="10" t="str">
        <f>MAX(MIN(J$4,$F$18),$E$18)</f>
      </c>
      <c r="P18" s="10" t="str">
        <f>MAX(MIN(K$4,$F$18),$E$18)</f>
      </c>
      <c r="Q18" s="10" t="str">
        <f>MAX(MIN(L$4,$F$18),$E$18)</f>
      </c>
      <c r="R18" s="10" t="str">
        <f>MAX(MIN(M$4,$F$18),$E$18)</f>
      </c>
      <c r="S18" s="8" t="str">
        <f>AVERAGE(G18:R18)</f>
      </c>
      <c r="T18" s="8" t="str">
        <f>1.134*STDEV(G18:R18)</f>
      </c>
      <c r="U18" s="8" t="str">
        <f>ABS(S18-B18)</f>
      </c>
      <c r="V18" s="8" t="str">
        <f>ABS(T18-C18)</f>
      </c>
      <c r="W18" s="8" t="str">
        <f>MAX(U18,V18)</f>
      </c>
      <c r="X18" s="11" t="str">
        <f>IF(W18&lt;B7,"SI","NO")</f>
      </c>
    </row>
    <row r="19">
      <c r="A19" s="5" t="n">
        <v>4</v>
      </c>
      <c r="B19" s="8" t="str">
        <f>S18</f>
      </c>
      <c r="C19" s="8" t="str">
        <f>T18</f>
      </c>
      <c r="D19" s="8" t="str">
        <f>1.5*C19</f>
      </c>
      <c r="E19" s="8" t="str">
        <f>B19-D19</f>
      </c>
      <c r="F19" s="8" t="str">
        <f>B19+D19</f>
      </c>
      <c r="G19" s="10" t="str">
        <f>MAX(MIN(B$4,$F$19),$E$19)</f>
      </c>
      <c r="H19" s="10" t="str">
        <f>MAX(MIN(C$4,$F$19),$E$19)</f>
      </c>
      <c r="I19" s="10" t="str">
        <f>MAX(MIN(D$4,$F$19),$E$19)</f>
      </c>
      <c r="J19" s="10" t="str">
        <f>MAX(MIN(E$4,$F$19),$E$19)</f>
      </c>
      <c r="K19" s="10" t="str">
        <f>MAX(MIN(F$4,$F$19),$E$19)</f>
      </c>
      <c r="L19" s="10" t="str">
        <f>MAX(MIN(G$4,$F$19),$E$19)</f>
      </c>
      <c r="M19" s="10" t="str">
        <f>MAX(MIN(H$4,$F$19),$E$19)</f>
      </c>
      <c r="N19" s="10" t="str">
        <f>MAX(MIN(I$4,$F$19),$E$19)</f>
      </c>
      <c r="O19" s="10" t="str">
        <f>MAX(MIN(J$4,$F$19),$E$19)</f>
      </c>
      <c r="P19" s="10" t="str">
        <f>MAX(MIN(K$4,$F$19),$E$19)</f>
      </c>
      <c r="Q19" s="10" t="str">
        <f>MAX(MIN(L$4,$F$19),$E$19)</f>
      </c>
      <c r="R19" s="10" t="str">
        <f>MAX(MIN(M$4,$F$19),$E$19)</f>
      </c>
      <c r="S19" s="8" t="str">
        <f>AVERAGE(G19:R19)</f>
      </c>
      <c r="T19" s="8" t="str">
        <f>1.134*STDEV(G19:R19)</f>
      </c>
      <c r="U19" s="8" t="str">
        <f>ABS(S19-B19)</f>
      </c>
      <c r="V19" s="8" t="str">
        <f>ABS(T19-C19)</f>
      </c>
      <c r="W19" s="8" t="str">
        <f>MAX(U19,V19)</f>
      </c>
      <c r="X19" s="11" t="str">
        <f>IF(W19&lt;B7,"SI","NO")</f>
      </c>
    </row>
    <row r="20">
      <c r="A20" s="5" t="n">
        <v>5</v>
      </c>
      <c r="B20" s="8" t="str">
        <f>S19</f>
      </c>
      <c r="C20" s="8" t="str">
        <f>T19</f>
      </c>
      <c r="D20" s="8" t="str">
        <f>1.5*C20</f>
      </c>
      <c r="E20" s="8" t="str">
        <f>B20-D20</f>
      </c>
      <c r="F20" s="8" t="str">
        <f>B20+D20</f>
      </c>
      <c r="G20" s="10" t="str">
        <f>MAX(MIN(B$4,$F$20),$E$20)</f>
      </c>
      <c r="H20" s="10" t="str">
        <f>MAX(MIN(C$4,$F$20),$E$20)</f>
      </c>
      <c r="I20" s="10" t="str">
        <f>MAX(MIN(D$4,$F$20),$E$20)</f>
      </c>
      <c r="J20" s="10" t="str">
        <f>MAX(MIN(E$4,$F$20),$E$20)</f>
      </c>
      <c r="K20" s="10" t="str">
        <f>MAX(MIN(F$4,$F$20),$E$20)</f>
      </c>
      <c r="L20" s="10" t="str">
        <f>MAX(MIN(G$4,$F$20),$E$20)</f>
      </c>
      <c r="M20" s="10" t="str">
        <f>MAX(MIN(H$4,$F$20),$E$20)</f>
      </c>
      <c r="N20" s="10" t="str">
        <f>MAX(MIN(I$4,$F$20),$E$20)</f>
      </c>
      <c r="O20" s="10" t="str">
        <f>MAX(MIN(J$4,$F$20),$E$20)</f>
      </c>
      <c r="P20" s="10" t="str">
        <f>MAX(MIN(K$4,$F$20),$E$20)</f>
      </c>
      <c r="Q20" s="10" t="str">
        <f>MAX(MIN(L$4,$F$20),$E$20)</f>
      </c>
      <c r="R20" s="10" t="str">
        <f>MAX(MIN(M$4,$F$20),$E$20)</f>
      </c>
      <c r="S20" s="8" t="str">
        <f>AVERAGE(G20:R20)</f>
      </c>
      <c r="T20" s="8" t="str">
        <f>1.134*STDEV(G20:R20)</f>
      </c>
      <c r="U20" s="8" t="str">
        <f>ABS(S20-B20)</f>
      </c>
      <c r="V20" s="8" t="str">
        <f>ABS(T20-C20)</f>
      </c>
      <c r="W20" s="8" t="str">
        <f>MAX(U20,V20)</f>
      </c>
      <c r="X20" s="11" t="str">
        <f>IF(W20&lt;B7,"SI","NO")</f>
      </c>
    </row>
    <row r="21">
      <c r="A21" s="5" t="n">
        <v>6</v>
      </c>
      <c r="B21" s="8" t="str">
        <f>S20</f>
      </c>
      <c r="C21" s="8" t="str">
        <f>T20</f>
      </c>
      <c r="D21" s="8" t="str">
        <f>1.5*C21</f>
      </c>
      <c r="E21" s="8" t="str">
        <f>B21-D21</f>
      </c>
      <c r="F21" s="8" t="str">
        <f>B21+D21</f>
      </c>
      <c r="G21" s="10" t="str">
        <f>MAX(MIN(B$4,$F$21),$E$21)</f>
      </c>
      <c r="H21" s="10" t="str">
        <f>MAX(MIN(C$4,$F$21),$E$21)</f>
      </c>
      <c r="I21" s="10" t="str">
        <f>MAX(MIN(D$4,$F$21),$E$21)</f>
      </c>
      <c r="J21" s="10" t="str">
        <f>MAX(MIN(E$4,$F$21),$E$21)</f>
      </c>
      <c r="K21" s="10" t="str">
        <f>MAX(MIN(F$4,$F$21),$E$21)</f>
      </c>
      <c r="L21" s="10" t="str">
        <f>MAX(MIN(G$4,$F$21),$E$21)</f>
      </c>
      <c r="M21" s="10" t="str">
        <f>MAX(MIN(H$4,$F$21),$E$21)</f>
      </c>
      <c r="N21" s="10" t="str">
        <f>MAX(MIN(I$4,$F$21),$E$21)</f>
      </c>
      <c r="O21" s="10" t="str">
        <f>MAX(MIN(J$4,$F$21),$E$21)</f>
      </c>
      <c r="P21" s="10" t="str">
        <f>MAX(MIN(K$4,$F$21),$E$21)</f>
      </c>
      <c r="Q21" s="10" t="str">
        <f>MAX(MIN(L$4,$F$21),$E$21)</f>
      </c>
      <c r="R21" s="10" t="str">
        <f>MAX(MIN(M$4,$F$21),$E$21)</f>
      </c>
      <c r="S21" s="8" t="str">
        <f>AVERAGE(G21:R21)</f>
      </c>
      <c r="T21" s="8" t="str">
        <f>1.134*STDEV(G21:R21)</f>
      </c>
      <c r="U21" s="8" t="str">
        <f>ABS(S21-B21)</f>
      </c>
      <c r="V21" s="8" t="str">
        <f>ABS(T21-C21)</f>
      </c>
      <c r="W21" s="8" t="str">
        <f>MAX(U21,V21)</f>
      </c>
      <c r="X21" s="11" t="str">
        <f>IF(W21&lt;B7,"SI","NO")</f>
      </c>
    </row>
    <row r="22">
      <c r="A22" s="5" t="n">
        <v>7</v>
      </c>
      <c r="B22" s="8" t="str">
        <f>S21</f>
      </c>
      <c r="C22" s="8" t="str">
        <f>T21</f>
      </c>
      <c r="D22" s="8" t="str">
        <f>1.5*C22</f>
      </c>
      <c r="E22" s="8" t="str">
        <f>B22-D22</f>
      </c>
      <c r="F22" s="8" t="str">
        <f>B22+D22</f>
      </c>
      <c r="G22" s="10" t="str">
        <f>MAX(MIN(B$4,$F$22),$E$22)</f>
      </c>
      <c r="H22" s="10" t="str">
        <f>MAX(MIN(C$4,$F$22),$E$22)</f>
      </c>
      <c r="I22" s="10" t="str">
        <f>MAX(MIN(D$4,$F$22),$E$22)</f>
      </c>
      <c r="J22" s="10" t="str">
        <f>MAX(MIN(E$4,$F$22),$E$22)</f>
      </c>
      <c r="K22" s="10" t="str">
        <f>MAX(MIN(F$4,$F$22),$E$22)</f>
      </c>
      <c r="L22" s="10" t="str">
        <f>MAX(MIN(G$4,$F$22),$E$22)</f>
      </c>
      <c r="M22" s="10" t="str">
        <f>MAX(MIN(H$4,$F$22),$E$22)</f>
      </c>
      <c r="N22" s="10" t="str">
        <f>MAX(MIN(I$4,$F$22),$E$22)</f>
      </c>
      <c r="O22" s="10" t="str">
        <f>MAX(MIN(J$4,$F$22),$E$22)</f>
      </c>
      <c r="P22" s="10" t="str">
        <f>MAX(MIN(K$4,$F$22),$E$22)</f>
      </c>
      <c r="Q22" s="10" t="str">
        <f>MAX(MIN(L$4,$F$22),$E$22)</f>
      </c>
      <c r="R22" s="10" t="str">
        <f>MAX(MIN(M$4,$F$22),$E$22)</f>
      </c>
      <c r="S22" s="8" t="str">
        <f>AVERAGE(G22:R22)</f>
      </c>
      <c r="T22" s="8" t="str">
        <f>1.134*STDEV(G22:R22)</f>
      </c>
      <c r="U22" s="8" t="str">
        <f>ABS(S22-B22)</f>
      </c>
      <c r="V22" s="8" t="str">
        <f>ABS(T22-C22)</f>
      </c>
      <c r="W22" s="8" t="str">
        <f>MAX(U22,V22)</f>
      </c>
      <c r="X22" s="11" t="str">
        <f>IF(W22&lt;B7,"SI","NO")</f>
      </c>
    </row>
    <row r="23">
      <c r="A23" s="5" t="n">
        <v>8</v>
      </c>
      <c r="B23" s="8" t="str">
        <f>S22</f>
      </c>
      <c r="C23" s="8" t="str">
        <f>T22</f>
      </c>
      <c r="D23" s="8" t="str">
        <f>1.5*C23</f>
      </c>
      <c r="E23" s="8" t="str">
        <f>B23-D23</f>
      </c>
      <c r="F23" s="8" t="str">
        <f>B23+D23</f>
      </c>
      <c r="G23" s="10" t="str">
        <f>MAX(MIN(B$4,$F$23),$E$23)</f>
      </c>
      <c r="H23" s="10" t="str">
        <f>MAX(MIN(C$4,$F$23),$E$23)</f>
      </c>
      <c r="I23" s="10" t="str">
        <f>MAX(MIN(D$4,$F$23),$E$23)</f>
      </c>
      <c r="J23" s="10" t="str">
        <f>MAX(MIN(E$4,$F$23),$E$23)</f>
      </c>
      <c r="K23" s="10" t="str">
        <f>MAX(MIN(F$4,$F$23),$E$23)</f>
      </c>
      <c r="L23" s="10" t="str">
        <f>MAX(MIN(G$4,$F$23),$E$23)</f>
      </c>
      <c r="M23" s="10" t="str">
        <f>MAX(MIN(H$4,$F$23),$E$23)</f>
      </c>
      <c r="N23" s="10" t="str">
        <f>MAX(MIN(I$4,$F$23),$E$23)</f>
      </c>
      <c r="O23" s="10" t="str">
        <f>MAX(MIN(J$4,$F$23),$E$23)</f>
      </c>
      <c r="P23" s="10" t="str">
        <f>MAX(MIN(K$4,$F$23),$E$23)</f>
      </c>
      <c r="Q23" s="10" t="str">
        <f>MAX(MIN(L$4,$F$23),$E$23)</f>
      </c>
      <c r="R23" s="10" t="str">
        <f>MAX(MIN(M$4,$F$23),$E$23)</f>
      </c>
      <c r="S23" s="8" t="str">
        <f>AVERAGE(G23:R23)</f>
      </c>
      <c r="T23" s="8" t="str">
        <f>1.134*STDEV(G23:R23)</f>
      </c>
      <c r="U23" s="8" t="str">
        <f>ABS(S23-B23)</f>
      </c>
      <c r="V23" s="8" t="str">
        <f>ABS(T23-C23)</f>
      </c>
      <c r="W23" s="8" t="str">
        <f>MAX(U23,V23)</f>
      </c>
      <c r="X23" s="11" t="str">
        <f>IF(W23&lt;B7,"SI","NO")</f>
      </c>
    </row>
    <row r="24">
      <c r="A24" s="5" t="n">
        <v>9</v>
      </c>
      <c r="B24" s="8" t="str">
        <f>S23</f>
      </c>
      <c r="C24" s="8" t="str">
        <f>T23</f>
      </c>
      <c r="D24" s="8" t="str">
        <f>1.5*C24</f>
      </c>
      <c r="E24" s="8" t="str">
        <f>B24-D24</f>
      </c>
      <c r="F24" s="8" t="str">
        <f>B24+D24</f>
      </c>
      <c r="G24" s="10" t="str">
        <f>MAX(MIN(B$4,$F$24),$E$24)</f>
      </c>
      <c r="H24" s="10" t="str">
        <f>MAX(MIN(C$4,$F$24),$E$24)</f>
      </c>
      <c r="I24" s="10" t="str">
        <f>MAX(MIN(D$4,$F$24),$E$24)</f>
      </c>
      <c r="J24" s="10" t="str">
        <f>MAX(MIN(E$4,$F$24),$E$24)</f>
      </c>
      <c r="K24" s="10" t="str">
        <f>MAX(MIN(F$4,$F$24),$E$24)</f>
      </c>
      <c r="L24" s="10" t="str">
        <f>MAX(MIN(G$4,$F$24),$E$24)</f>
      </c>
      <c r="M24" s="10" t="str">
        <f>MAX(MIN(H$4,$F$24),$E$24)</f>
      </c>
      <c r="N24" s="10" t="str">
        <f>MAX(MIN(I$4,$F$24),$E$24)</f>
      </c>
      <c r="O24" s="10" t="str">
        <f>MAX(MIN(J$4,$F$24),$E$24)</f>
      </c>
      <c r="P24" s="10" t="str">
        <f>MAX(MIN(K$4,$F$24),$E$24)</f>
      </c>
      <c r="Q24" s="10" t="str">
        <f>MAX(MIN(L$4,$F$24),$E$24)</f>
      </c>
      <c r="R24" s="10" t="str">
        <f>MAX(MIN(M$4,$F$24),$E$24)</f>
      </c>
      <c r="S24" s="8" t="str">
        <f>AVERAGE(G24:R24)</f>
      </c>
      <c r="T24" s="8" t="str">
        <f>1.134*STDEV(G24:R24)</f>
      </c>
      <c r="U24" s="8" t="str">
        <f>ABS(S24-B24)</f>
      </c>
      <c r="V24" s="8" t="str">
        <f>ABS(T24-C24)</f>
      </c>
      <c r="W24" s="8" t="str">
        <f>MAX(U24,V24)</f>
      </c>
      <c r="X24" s="11" t="str">
        <f>IF(W24&lt;B7,"SI","NO")</f>
      </c>
    </row>
    <row r="25">
      <c r="A25" s="5" t="n">
        <v>10</v>
      </c>
      <c r="B25" s="8" t="str">
        <f>S24</f>
      </c>
      <c r="C25" s="8" t="str">
        <f>T24</f>
      </c>
      <c r="D25" s="8" t="str">
        <f>1.5*C25</f>
      </c>
      <c r="E25" s="8" t="str">
        <f>B25-D25</f>
      </c>
      <c r="F25" s="8" t="str">
        <f>B25+D25</f>
      </c>
      <c r="G25" s="10" t="str">
        <f>MAX(MIN(B$4,$F$25),$E$25)</f>
      </c>
      <c r="H25" s="10" t="str">
        <f>MAX(MIN(C$4,$F$25),$E$25)</f>
      </c>
      <c r="I25" s="10" t="str">
        <f>MAX(MIN(D$4,$F$25),$E$25)</f>
      </c>
      <c r="J25" s="10" t="str">
        <f>MAX(MIN(E$4,$F$25),$E$25)</f>
      </c>
      <c r="K25" s="10" t="str">
        <f>MAX(MIN(F$4,$F$25),$E$25)</f>
      </c>
      <c r="L25" s="10" t="str">
        <f>MAX(MIN(G$4,$F$25),$E$25)</f>
      </c>
      <c r="M25" s="10" t="str">
        <f>MAX(MIN(H$4,$F$25),$E$25)</f>
      </c>
      <c r="N25" s="10" t="str">
        <f>MAX(MIN(I$4,$F$25),$E$25)</f>
      </c>
      <c r="O25" s="10" t="str">
        <f>MAX(MIN(J$4,$F$25),$E$25)</f>
      </c>
      <c r="P25" s="10" t="str">
        <f>MAX(MIN(K$4,$F$25),$E$25)</f>
      </c>
      <c r="Q25" s="10" t="str">
        <f>MAX(MIN(L$4,$F$25),$E$25)</f>
      </c>
      <c r="R25" s="10" t="str">
        <f>MAX(MIN(M$4,$F$25),$E$25)</f>
      </c>
      <c r="S25" s="8" t="str">
        <f>AVERAGE(G25:R25)</f>
      </c>
      <c r="T25" s="8" t="str">
        <f>1.134*STDEV(G25:R25)</f>
      </c>
      <c r="U25" s="8" t="str">
        <f>ABS(S25-B25)</f>
      </c>
      <c r="V25" s="8" t="str">
        <f>ABS(T25-C25)</f>
      </c>
      <c r="W25" s="8" t="str">
        <f>MAX(U25,V25)</f>
      </c>
      <c r="X25" s="11" t="str">
        <f>IF(W25&lt;B7,"SI","NO")</f>
      </c>
    </row>
    <row r="27">
      <c r="A27" s="7" t="s">
        <v>48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</row>
    <row r="28">
      <c r="A28" s="2" t="s">
        <v>49</v>
      </c>
      <c r="B28" s="8" t="str">
        <f>S25</f>
      </c>
    </row>
    <row r="29">
      <c r="A29" s="2" t="s">
        <v>50</v>
      </c>
      <c r="B29" s="8" t="str">
        <f>T25</f>
      </c>
    </row>
    <row r="30">
      <c r="A30" s="2" t="s">
        <v>51</v>
      </c>
      <c r="B30" s="8" t="str">
        <f>1.25*B29/SQRT(B6)</f>
      </c>
    </row>
    <row r="31">
      <c r="A31" s="2" t="s">
        <v>52</v>
      </c>
      <c r="B31" s="11" t="str">
        <f>X25</f>
      </c>
    </row>
    <row r="33">
      <c r="A33" s="9" t="s">
        <v>53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</row>
  </sheetData>
  <mergeCells count="5">
    <mergeCell ref="A1:O1"/>
    <mergeCell ref="A9:O9"/>
    <mergeCell ref="A14:X14"/>
    <mergeCell ref="A27:X27"/>
    <mergeCell ref="A33:X33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w182</dc:creator>
  <cp:lastModifiedBy>w182</cp:lastModifiedBy>
  <dcterms:created xsi:type="dcterms:W3CDTF">2026-03-10T22:10:12Z</dcterms:created>
</coreProperties>
</file>