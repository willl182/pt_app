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CIONES" sheetId="1" state="visible" r:id="rId1"/>
    <sheet name="AlgoA_1" sheetId="2" state="visible" r:id="rId2"/>
    <sheet name="AlgoA_2" sheetId="3" state="visible" r:id="rId3"/>
    <sheet name="AlgoA_3" sheetId="4" state="visible" r:id="rId4"/>
    <sheet name="AlgoA_4" sheetId="5" state="visible" r:id="rId5"/>
    <sheet name="AlgoA_5" sheetId="6" state="visible" r:id="rId6"/>
    <sheet name="AlgoA_6" sheetId="7" state="visible" r:id="rId7"/>
    <sheet name="AlgoA_7" sheetId="8" state="visible" r:id="rId8"/>
    <sheet name="AlgoA_8" sheetId="9" state="visible" r:id="rId9"/>
    <sheet name="AlgoA_9" sheetId="10" state="visible" r:id="rId10"/>
    <sheet name="AlgoA_10" sheetId="11" state="visible" r:id="rId11"/>
    <sheet name="AlgoA_11" sheetId="12" state="visible" r:id="rId12"/>
    <sheet name="AlgoA_12" sheetId="13" state="visible" r:id="rId13"/>
    <sheet name="AlgoA_13" sheetId="14" state="visible" r:id="rId14"/>
    <sheet name="AlgoA_14" sheetId="15" state="visible" r:id="rId15"/>
    <sheet name="AlgoA_15" sheetId="16" state="visible" r:id="rId16"/>
    <sheet name="AlgoA_16" sheetId="17" state="visible" r:id="rId17"/>
    <sheet name="AlgoA_17" sheetId="18" state="visible" r:id="rId18"/>
    <sheet name="AlgoA_18" sheetId="19" state="visible" r:id="rId19"/>
    <sheet name="AlgoA_19" sheetId="20" state="visible" r:id="rId20"/>
    <sheet name="AlgoA_20" sheetId="21" state="visible" r:id="rId21"/>
    <sheet name="AlgoA_21" sheetId="22" state="visible" r:id="rId22"/>
    <sheet name="AlgoA_22" sheetId="23" state="visible" r:id="rId23"/>
    <sheet name="AlgoA_23" sheetId="24" state="visible" r:id="rId24"/>
    <sheet name="AlgoA_24" sheetId="25" state="visible" r:id="rId25"/>
    <sheet name="AlgoA_25" sheetId="26" state="visible" r:id="rId26"/>
    <sheet name="AlgoA_26" sheetId="27" state="visible" r:id="rId27"/>
    <sheet name="AlgoA_27" sheetId="28" state="visible" r:id="rId28"/>
    <sheet name="AlgoA_28" sheetId="29" state="visible" r:id="rId29"/>
    <sheet name="AlgoA_29" sheetId="30" state="visible" r:id="rId30"/>
    <sheet name="AlgoA_30" sheetId="31" state="visible" r:id="rId31"/>
    <sheet name="AlgoA_31" sheetId="32" state="visible" r:id="rId32"/>
  </sheets>
</workbook>
</file>

<file path=xl/sharedStrings.xml><?xml version="1.0" encoding="utf-8"?>
<sst xmlns="http://schemas.openxmlformats.org/spreadsheetml/2006/main" count="104" uniqueCount="104">
  <si>
    <t xml:space="preserve">HOJA DE CALCULO VIVA - ALGORITMO A (ISO 13528:2022, Anexo C)</t>
  </si>
  <si>
    <t xml:space="preserve"/>
  </si>
  <si>
    <t xml:space="preserve">COMO USAR:</t>
  </si>
  <si>
    <t xml:space="preserve">1. Cada hoja (AlgoA_1, AlgoA_2, ...) contiene una combinacion analito/nivel</t>
  </si>
  <si>
    <t xml:space="preserve">2. Las celdas AMARILLAS son los datos de entrada (valores de participantes)</t>
  </si>
  <si>
    <t xml:space="preserve">3. Si cambias un valor amarillo, TODAS las formulas se recalculan automaticamente</t>
  </si>
  <si>
    <t xml:space="preserve">4. Las celdas AZULES son los valores winzorizados (calculados por formula)</t>
  </si>
  <si>
    <t xml:space="preserve">5. La columna 'Converge?' muestra SI cuando delta_max &lt; tolerancia</t>
  </si>
  <si>
    <t xml:space="preserve">FORMULAS DEL ALGORITMO A:</t>
  </si>
  <si>
    <t xml:space="preserve">  Paso 1: x*_0 = MEDIANA(xi),  s*_0 = 1.483 * MEDIANA(|xi - MEDIANA(xi)|)</t>
  </si>
  <si>
    <t xml:space="preserve">  Paso 2: delta = 1.5 * s*</t>
  </si>
  <si>
    <t xml:space="preserve">  Paso 3: Winsorizar: x*_i = MAX(MIN(xi, x*+delta), x*-delta)</t>
  </si>
  <si>
    <t xml:space="preserve">  Paso 4: x*_nuevo = PROMEDIO(winzorizados)</t>
  </si>
  <si>
    <t xml:space="preserve">          s*_nuevo = 1.134 * DESVEST(winzorizados)</t>
  </si>
  <si>
    <t xml:space="preserve">  Paso 5: Repetir hasta convergencia (max 10 iteraciones)</t>
  </si>
  <si>
    <t xml:space="preserve">FACTOR 1.134: Corrige sesgo de winsorizacion (ISO 13528, Anexo C)</t>
  </si>
  <si>
    <t xml:space="preserve">DESVEST: Usa denominador (p-1), NO DESVEST.P que usa (p)</t>
  </si>
  <si>
    <t xml:space="preserve">Fuente de datos: data/summary_n13.csv</t>
  </si>
  <si>
    <t xml:space="preserve">Generado: 2026-03-10 16:06:43.388069</t>
  </si>
  <si>
    <t xml:space="preserve">Tolerancia: 1e-06</t>
  </si>
  <si>
    <t xml:space="preserve">Max iteraciones: 10</t>
  </si>
  <si>
    <t xml:space="preserve">CO - 0-μmol/mol (corrida_1)</t>
  </si>
  <si>
    <t xml:space="preserve">Participante</t>
  </si>
  <si>
    <t xml:space="preserve">part_1</t>
  </si>
  <si>
    <t xml:space="preserve">part_10</t>
  </si>
  <si>
    <t xml:space="preserve">part_11</t>
  </si>
  <si>
    <t xml:space="preserve">part_12</t>
  </si>
  <si>
    <t xml:space="preserve">part_2</t>
  </si>
  <si>
    <t xml:space="preserve">part_3</t>
  </si>
  <si>
    <t xml:space="preserve">part_4</t>
  </si>
  <si>
    <t xml:space="preserve">part_5</t>
  </si>
  <si>
    <t xml:space="preserve">part_6</t>
  </si>
  <si>
    <t xml:space="preserve">part_7</t>
  </si>
  <si>
    <t xml:space="preserve">part_8</t>
  </si>
  <si>
    <t xml:space="preserve">part_9</t>
  </si>
  <si>
    <t xml:space="preserve">Valor xi</t>
  </si>
  <si>
    <t xml:space="preserve">n participantes</t>
  </si>
  <si>
    <t xml:space="preserve">Tolerancia</t>
  </si>
  <si>
    <t xml:space="preserve">VALORES INICIALES (iteracion 0)</t>
  </si>
  <si>
    <t xml:space="preserve">x*_0 (mediana)</t>
  </si>
  <si>
    <t xml:space="preserve">= MEDIANA(valores)</t>
  </si>
  <si>
    <t xml:space="preserve">|xi - mediana|</t>
  </si>
  <si>
    <t xml:space="preserve">s*_0 (MADe)</t>
  </si>
  <si>
    <t xml:space="preserve">= 1.483 * MEDIANA(|xi - mediana|)</t>
  </si>
  <si>
    <t xml:space="preserve">ITERACIONES (winsorizacion ISO 13528 Anexo C)</t>
  </si>
  <si>
    <t xml:space="preserve">Iter</t>
  </si>
  <si>
    <t xml:space="preserve">x*_prev</t>
  </si>
  <si>
    <t xml:space="preserve">s*_prev</t>
  </si>
  <si>
    <t xml:space="preserve">delta</t>
  </si>
  <si>
    <t xml:space="preserve">lim_inf</t>
  </si>
  <si>
    <t xml:space="preserve">lim_sup</t>
  </si>
  <si>
    <t xml:space="preserve">w_part_1</t>
  </si>
  <si>
    <t xml:space="preserve">w_part_10</t>
  </si>
  <si>
    <t xml:space="preserve">w_part_11</t>
  </si>
  <si>
    <t xml:space="preserve">w_part_12</t>
  </si>
  <si>
    <t xml:space="preserve">w_part_2</t>
  </si>
  <si>
    <t xml:space="preserve">w_part_3</t>
  </si>
  <si>
    <t xml:space="preserve">w_part_4</t>
  </si>
  <si>
    <t xml:space="preserve">w_part_5</t>
  </si>
  <si>
    <t xml:space="preserve">w_part_6</t>
  </si>
  <si>
    <t xml:space="preserve">w_part_7</t>
  </si>
  <si>
    <t xml:space="preserve">w_part_8</t>
  </si>
  <si>
    <t xml:space="preserve">w_part_9</t>
  </si>
  <si>
    <t xml:space="preserve">x*_new</t>
  </si>
  <si>
    <t xml:space="preserve">s*_new</t>
  </si>
  <si>
    <t xml:space="preserve">delta_x</t>
  </si>
  <si>
    <t xml:space="preserve">delta_s</t>
  </si>
  <si>
    <t xml:space="preserve">delta_max</t>
  </si>
  <si>
    <t xml:space="preserve">Converge?</t>
  </si>
  <si>
    <t xml:space="preserve">RESULTADO FINAL</t>
  </si>
  <si>
    <t xml:space="preserve">x* (valor asignado)</t>
  </si>
  <si>
    <t xml:space="preserve">s* (desviacion robusta)</t>
  </si>
  <si>
    <t xml:space="preserve">u(x_pt) = 1.25*s*/sqrt(n)</t>
  </si>
  <si>
    <t xml:space="preserve">Convergencia (iter 10)</t>
  </si>
  <si>
    <t xml:space="preserve">CO - 2-μmol/mol (corrida_2)</t>
  </si>
  <si>
    <t xml:space="preserve">CO - 4-μmol/mol (corrida_3)</t>
  </si>
  <si>
    <t xml:space="preserve">CO - 6-μmol/mol (corrida_4)</t>
  </si>
  <si>
    <t xml:space="preserve">CO - 8-μmol/mol (corrida_5)</t>
  </si>
  <si>
    <t xml:space="preserve">NO - 0-nmol/mol (corrida_1)</t>
  </si>
  <si>
    <t xml:space="preserve">NO - 121-nmol/mol (corrida_2)</t>
  </si>
  <si>
    <t xml:space="preserve">NO - 122-nmol/mol (corrida_3)</t>
  </si>
  <si>
    <t xml:space="preserve">NO - 180-nmol/mol (corrida_4)</t>
  </si>
  <si>
    <t xml:space="preserve">NO - 181-nmol/mol (corrida_5)</t>
  </si>
  <si>
    <t xml:space="preserve">NO - 182-nmol/mol (corrida_6)</t>
  </si>
  <si>
    <t xml:space="preserve">NO - 42-nmol/mol (corrida_7)</t>
  </si>
  <si>
    <t xml:space="preserve">NO - 81-nmol/mol (corrida_8)</t>
  </si>
  <si>
    <t xml:space="preserve">NO - 82-nmol/mol (corrida_9)</t>
  </si>
  <si>
    <t xml:space="preserve">NO2 - 0-nmol/mol (corrida_1)</t>
  </si>
  <si>
    <t xml:space="preserve">NO2 - 120-nmol/mol (corrida_2)</t>
  </si>
  <si>
    <t xml:space="preserve">NO2 - 30-nmol/mol (corrida_3)</t>
  </si>
  <si>
    <t xml:space="preserve">NO2 - 60-nmol/mol (corrida_4)</t>
  </si>
  <si>
    <t xml:space="preserve">NO2 - 90-nmol/mol (corrida_5)</t>
  </si>
  <si>
    <t xml:space="preserve">O3 - 0-nmol/mol (corrida_1)</t>
  </si>
  <si>
    <t xml:space="preserve">O3 - 120-nmol/mol (corrida_2)</t>
  </si>
  <si>
    <t xml:space="preserve">O3 - 180-nmol/mol (corrida_3)</t>
  </si>
  <si>
    <t xml:space="preserve">O3 - 40-nmol/mol (corrida_4)</t>
  </si>
  <si>
    <t xml:space="preserve">O3 - 80-nmol/mol (corrida_5)</t>
  </si>
  <si>
    <t xml:space="preserve">SO2 - 0-nmol/mol (corrida_1)</t>
  </si>
  <si>
    <t xml:space="preserve">SO2 - 100-nmol/mol (corrida_2)</t>
  </si>
  <si>
    <t xml:space="preserve">SO2 - 140-nmol/mol (corrida_3)</t>
  </si>
  <si>
    <t xml:space="preserve">SO2 - 180-nmol/mol (corrida_4)</t>
  </si>
  <si>
    <t xml:space="preserve">SO2 - 20-nmol/mol (corrida_5)</t>
  </si>
  <si>
    <t xml:space="preserve">SO2 - 60-nmol/mol (corrida_6)</t>
  </si>
  <si>
    <t xml:space="preserve">SO2 - 61-nmol/mol (corrida_7)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</si>
</sst>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6" formatCode="0.000000000"/>
    <numFmt numFmtId="167" formatCode="0"/>
    <numFmt numFmtId="168" formatCode="0.000000"/>
    <numFmt numFmtId="169" formatCode="0.000000000"/>
    <numFmt numFmtId="170" formatCode="0.000000000"/>
    <numFmt numFmtId="171" formatCode="0.000000"/>
    <numFmt numFmtId="172" formatCode="0.000000"/>
    <numFmt numFmtId="173" formatCode="0.000000"/>
    <numFmt numFmtId="174" formatCode="0.000000"/>
    <numFmt numFmtId="175" formatCode="0.000000"/>
    <numFmt numFmtId="176" formatCode="0.000000"/>
    <numFmt numFmtId="177" formatCode="0.000000"/>
    <numFmt numFmtId="178" formatCode="0.000000"/>
    <numFmt numFmtId="179" formatCode="0.000000"/>
    <numFmt numFmtId="180" formatCode="0.000000"/>
    <numFmt numFmtId="181" formatCode="0.000000"/>
    <numFmt numFmtId="182" formatCode="0.000000"/>
    <numFmt numFmtId="183" formatCode="0.000000"/>
    <numFmt numFmtId="184" formatCode="0.000000"/>
    <numFmt numFmtId="185" formatCode="0.000000"/>
    <numFmt numFmtId="186" formatCode="0.000000"/>
    <numFmt numFmtId="187" formatCode="0.000000"/>
    <numFmt numFmtId="188" formatCode="0.000000"/>
    <numFmt numFmtId="189" formatCode="0.000000"/>
    <numFmt numFmtId="190" formatCode="0.000000"/>
    <numFmt numFmtId="191" formatCode="0.000000"/>
    <numFmt numFmtId="192" formatCode="0.000000"/>
    <numFmt numFmtId="193" formatCode="0.000000"/>
    <numFmt numFmtId="194" formatCode="0.000000"/>
    <numFmt numFmtId="195" formatCode="0.000000"/>
    <numFmt numFmtId="196" formatCode="0.000000"/>
    <numFmt numFmtId="197" formatCode="0.000000"/>
    <numFmt numFmtId="198" formatCode="0.000000"/>
    <numFmt numFmtId="199" formatCode="0.000000"/>
    <numFmt numFmtId="200" formatCode="0.000000"/>
  </numFmts>
  <fonts count="8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0"/>
      <color rgb="FF000000"/>
      <name val="Calibri"/>
      <b/>
    </font>
    <font>
      <sz val="10"/>
      <color rgb="FFFFFFFF"/>
      <name val="Calibri"/>
      <b/>
    </font>
    <font>
      <sz val="10"/>
      <color rgb="FF000000"/>
      <name val="Calibri"/>
    </font>
    <font>
      <sz val="11"/>
      <color rgb="FF000000"/>
      <name val="Calibri"/>
    </font>
    <font>
      <sz val="11"/>
      <color rgb="FF000000"/>
      <name val="Calibri"/>
      <b/>
    </font>
    <font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8EAF6"/>
      </patternFill>
    </fill>
    <fill>
      <patternFill patternType="solid">
        <fgColor rgb="FF5D6D7E"/>
      </patternFill>
    </fill>
    <fill>
      <patternFill patternType="solid">
        <fgColor rgb="FFFFF9C4"/>
      </patternFill>
    </fill>
    <fill>
      <patternFill patternType="solid">
        <fgColor rgb="FFD5F5E3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wrapText="1"/>
    </xf>
    <xf numFmtId="166" fontId="4" fillId="5" borderId="1" xfId="0" applyFont="1" applyNumberFormat="1" applyFill="1" applyBorder="1" applyAlignment="1">
      <alignment horizontal="right"/>
    </xf>
    <xf numFmtId="167" fontId="4" fillId="0" borderId="1" xfId="0" applyFont="1" applyNumberFormat="1" applyBorder="1" applyAlignment="1">
      <alignment horizontal="center"/>
    </xf>
    <xf numFmtId="168" fontId="5" fillId="5" borderId="1" xfId="0" applyFont="1" applyNumberFormat="1" applyFill="1" applyBorder="1" applyAlignment="1">
      <alignment horizontal="right"/>
    </xf>
    <xf numFmtId="0" fontId="6" fillId="6" borderId="1" xfId="0" applyFont="1" applyFill="1" applyBorder="1"/>
    <xf numFmtId="169" fontId="4" fillId="0" borderId="1" xfId="0" applyFont="1" applyNumberFormat="1" applyBorder="1" applyAlignment="1">
      <alignment horizontal="right"/>
    </xf>
    <xf numFmtId="0" fontId="7" fillId="0" borderId="0" xfId="0" applyFont="1" applyAlignment="1">
      <alignment horizontal="left" wrapText="1"/>
    </xf>
    <xf numFmtId="170" fontId="4" fillId="7" borderId="1" xfId="0" applyFont="1" applyNumberFormat="1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171" fontId="5" fillId="5" borderId="1" xfId="0" applyFont="1" applyNumberFormat="1" applyFill="1" applyBorder="1" applyAlignment="1">
      <alignment horizontal="right"/>
    </xf>
    <xf numFmtId="172" fontId="5" fillId="5" borderId="1" xfId="0" applyFont="1" applyNumberFormat="1" applyFill="1" applyBorder="1" applyAlignment="1">
      <alignment horizontal="right"/>
    </xf>
    <xf numFmtId="173" fontId="5" fillId="5" borderId="1" xfId="0" applyFont="1" applyNumberFormat="1" applyFill="1" applyBorder="1" applyAlignment="1">
      <alignment horizontal="right"/>
    </xf>
    <xf numFmtId="174" fontId="5" fillId="5" borderId="1" xfId="0" applyFont="1" applyNumberFormat="1" applyFill="1" applyBorder="1" applyAlignment="1">
      <alignment horizontal="right"/>
    </xf>
    <xf numFmtId="175" fontId="5" fillId="5" borderId="1" xfId="0" applyFont="1" applyNumberFormat="1" applyFill="1" applyBorder="1" applyAlignment="1">
      <alignment horizontal="right"/>
    </xf>
    <xf numFmtId="176" fontId="5" fillId="5" borderId="1" xfId="0" applyFont="1" applyNumberFormat="1" applyFill="1" applyBorder="1" applyAlignment="1">
      <alignment horizontal="right"/>
    </xf>
    <xf numFmtId="177" fontId="5" fillId="5" borderId="1" xfId="0" applyFont="1" applyNumberFormat="1" applyFill="1" applyBorder="1" applyAlignment="1">
      <alignment horizontal="right"/>
    </xf>
    <xf numFmtId="178" fontId="5" fillId="5" borderId="1" xfId="0" applyFont="1" applyNumberFormat="1" applyFill="1" applyBorder="1" applyAlignment="1">
      <alignment horizontal="right"/>
    </xf>
    <xf numFmtId="179" fontId="5" fillId="5" borderId="1" xfId="0" applyFont="1" applyNumberFormat="1" applyFill="1" applyBorder="1" applyAlignment="1">
      <alignment horizontal="right"/>
    </xf>
    <xf numFmtId="180" fontId="5" fillId="5" borderId="1" xfId="0" applyFont="1" applyNumberFormat="1" applyFill="1" applyBorder="1" applyAlignment="1">
      <alignment horizontal="right"/>
    </xf>
    <xf numFmtId="181" fontId="5" fillId="5" borderId="1" xfId="0" applyFont="1" applyNumberFormat="1" applyFill="1" applyBorder="1" applyAlignment="1">
      <alignment horizontal="right"/>
    </xf>
    <xf numFmtId="182" fontId="5" fillId="5" borderId="1" xfId="0" applyFont="1" applyNumberFormat="1" applyFill="1" applyBorder="1" applyAlignment="1">
      <alignment horizontal="right"/>
    </xf>
    <xf numFmtId="183" fontId="5" fillId="5" borderId="1" xfId="0" applyFont="1" applyNumberFormat="1" applyFill="1" applyBorder="1" applyAlignment="1">
      <alignment horizontal="right"/>
    </xf>
    <xf numFmtId="184" fontId="5" fillId="5" borderId="1" xfId="0" applyFont="1" applyNumberFormat="1" applyFill="1" applyBorder="1" applyAlignment="1">
      <alignment horizontal="right"/>
    </xf>
    <xf numFmtId="185" fontId="5" fillId="5" borderId="1" xfId="0" applyFont="1" applyNumberFormat="1" applyFill="1" applyBorder="1" applyAlignment="1">
      <alignment horizontal="right"/>
    </xf>
    <xf numFmtId="186" fontId="5" fillId="5" borderId="1" xfId="0" applyFont="1" applyNumberFormat="1" applyFill="1" applyBorder="1" applyAlignment="1">
      <alignment horizontal="right"/>
    </xf>
    <xf numFmtId="187" fontId="5" fillId="5" borderId="1" xfId="0" applyFont="1" applyNumberFormat="1" applyFill="1" applyBorder="1" applyAlignment="1">
      <alignment horizontal="right"/>
    </xf>
    <xf numFmtId="188" fontId="5" fillId="5" borderId="1" xfId="0" applyFont="1" applyNumberFormat="1" applyFill="1" applyBorder="1" applyAlignment="1">
      <alignment horizontal="right"/>
    </xf>
    <xf numFmtId="189" fontId="5" fillId="5" borderId="1" xfId="0" applyFont="1" applyNumberFormat="1" applyFill="1" applyBorder="1" applyAlignment="1">
      <alignment horizontal="right"/>
    </xf>
    <xf numFmtId="190" fontId="5" fillId="5" borderId="1" xfId="0" applyFont="1" applyNumberFormat="1" applyFill="1" applyBorder="1" applyAlignment="1">
      <alignment horizontal="right"/>
    </xf>
    <xf numFmtId="191" fontId="5" fillId="5" borderId="1" xfId="0" applyFont="1" applyNumberFormat="1" applyFill="1" applyBorder="1" applyAlignment="1">
      <alignment horizontal="right"/>
    </xf>
    <xf numFmtId="192" fontId="5" fillId="5" borderId="1" xfId="0" applyFont="1" applyNumberFormat="1" applyFill="1" applyBorder="1" applyAlignment="1">
      <alignment horizontal="right"/>
    </xf>
    <xf numFmtId="193" fontId="5" fillId="5" borderId="1" xfId="0" applyFont="1" applyNumberFormat="1" applyFill="1" applyBorder="1" applyAlignment="1">
      <alignment horizontal="right"/>
    </xf>
    <xf numFmtId="194" fontId="5" fillId="5" borderId="1" xfId="0" applyFont="1" applyNumberFormat="1" applyFill="1" applyBorder="1" applyAlignment="1">
      <alignment horizontal="right"/>
    </xf>
    <xf numFmtId="195" fontId="5" fillId="5" borderId="1" xfId="0" applyFont="1" applyNumberFormat="1" applyFill="1" applyBorder="1" applyAlignment="1">
      <alignment horizontal="right"/>
    </xf>
    <xf numFmtId="196" fontId="5" fillId="5" borderId="1" xfId="0" applyFont="1" applyNumberFormat="1" applyFill="1" applyBorder="1" applyAlignment="1">
      <alignment horizontal="right"/>
    </xf>
    <xf numFmtId="197" fontId="5" fillId="5" borderId="1" xfId="0" applyFont="1" applyNumberFormat="1" applyFill="1" applyBorder="1" applyAlignment="1">
      <alignment horizontal="right"/>
    </xf>
    <xf numFmtId="198" fontId="5" fillId="5" borderId="1" xfId="0" applyFont="1" applyNumberFormat="1" applyFill="1" applyBorder="1" applyAlignment="1">
      <alignment horizontal="right"/>
    </xf>
    <xf numFmtId="199" fontId="5" fillId="5" borderId="1" xfId="0" applyFont="1" applyNumberFormat="1" applyFill="1" applyBorder="1" applyAlignment="1">
      <alignment horizontal="right"/>
    </xf>
    <xf numFmtId="200" fontId="5" fillId="5" borderId="1" xfId="0" applyFont="1" applyNumberFormat="1" applyFill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1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</v>
      </c>
    </row>
    <row r="18">
      <c r="A18" t="s">
        <v>15</v>
      </c>
    </row>
    <row r="19">
      <c r="A19" t="s">
        <v>16</v>
      </c>
    </row>
    <row r="20">
      <c r="A20" t="s">
        <v>1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-0.0292311655266667</v>
      </c>
      <c r="C4" s="4" t="n">
        <v>-0.00986100628866667</v>
      </c>
      <c r="D4" s="4" t="n">
        <v>-0.01688788974</v>
      </c>
      <c r="E4" s="4" t="n">
        <v>-0.0241497122966667</v>
      </c>
      <c r="F4" s="4" t="n">
        <v>-0.0170111066496667</v>
      </c>
      <c r="G4" s="4" t="n">
        <v>-0.0156806503396667</v>
      </c>
      <c r="H4" s="4" t="n">
        <v>-0.0118778000806667</v>
      </c>
      <c r="I4" s="4" t="n">
        <v>-0.0258186136733333</v>
      </c>
      <c r="J4" s="4" t="n">
        <v>-0.0187318613666667</v>
      </c>
      <c r="K4" s="4" t="n">
        <v>-0.02100666399</v>
      </c>
      <c r="L4" s="4" t="n">
        <v>-0.0224583968966667</v>
      </c>
      <c r="M4" s="4" t="n">
        <v>-0.00802848709866667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6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2.01403008833333</v>
      </c>
      <c r="C4" s="4" t="n">
        <v>2.01443775333333</v>
      </c>
      <c r="D4" s="4" t="n">
        <v>2.01315572033333</v>
      </c>
      <c r="E4" s="4" t="n">
        <v>2.01413634233333</v>
      </c>
      <c r="F4" s="4" t="n">
        <v>2.01305863566667</v>
      </c>
      <c r="G4" s="4" t="n">
        <v>2.01425070533333</v>
      </c>
      <c r="H4" s="4" t="n">
        <v>2.014225274</v>
      </c>
      <c r="I4" s="4" t="n">
        <v>2.01228774233333</v>
      </c>
      <c r="J4" s="4" t="n">
        <v>2.01319833066667</v>
      </c>
      <c r="K4" s="4" t="n">
        <v>2.01421079566667</v>
      </c>
      <c r="L4" s="4" t="n">
        <v>2.01349735633333</v>
      </c>
      <c r="M4" s="4" t="n">
        <v>2.013383817</v>
      </c>
    </row>
    <row r="6">
      <c r="A6" s="2" t="s">
        <v>36</v>
      </c>
      <c r="B6" s="5" t="str">
        <f>COUNTA(B4:M4)</f>
      </c>
    </row>
    <row r="7">
      <c r="A7" s="2" t="s">
        <v>37</v>
      </c>
      <c r="B7" s="12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4.02562226566667</v>
      </c>
      <c r="C4" s="4" t="n">
        <v>4.024411039</v>
      </c>
      <c r="D4" s="4" t="n">
        <v>4.01889629166667</v>
      </c>
      <c r="E4" s="4" t="n">
        <v>4.02204219333333</v>
      </c>
      <c r="F4" s="4" t="n">
        <v>4.02130829</v>
      </c>
      <c r="G4" s="4" t="n">
        <v>4.023128853</v>
      </c>
      <c r="H4" s="4" t="n">
        <v>4.01847800866667</v>
      </c>
      <c r="I4" s="4" t="n">
        <v>4.026503319</v>
      </c>
      <c r="J4" s="4" t="n">
        <v>4.024743564</v>
      </c>
      <c r="K4" s="4" t="n">
        <v>4.02488930033333</v>
      </c>
      <c r="L4" s="4" t="n">
        <v>4.023339401</v>
      </c>
      <c r="M4" s="4" t="n">
        <v>4.02322684666667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13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6.070974658</v>
      </c>
      <c r="C4" s="4" t="n">
        <v>6.07286020766667</v>
      </c>
      <c r="D4" s="4" t="n">
        <v>6.07218175966667</v>
      </c>
      <c r="E4" s="4" t="n">
        <v>6.07494771466667</v>
      </c>
      <c r="F4" s="4" t="n">
        <v>6.071507567</v>
      </c>
      <c r="G4" s="4" t="n">
        <v>6.07376104233333</v>
      </c>
      <c r="H4" s="4" t="n">
        <v>6.07356722766667</v>
      </c>
      <c r="I4" s="4" t="n">
        <v>6.072778024</v>
      </c>
      <c r="J4" s="4" t="n">
        <v>6.075859127</v>
      </c>
      <c r="K4" s="4" t="n">
        <v>6.07092159266667</v>
      </c>
      <c r="L4" s="4" t="n">
        <v>6.073094677</v>
      </c>
      <c r="M4" s="4" t="n">
        <v>6.06958024066667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14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8.020712731</v>
      </c>
      <c r="C4" s="4" t="n">
        <v>8.041648984</v>
      </c>
      <c r="D4" s="4" t="n">
        <v>8.02904637666667</v>
      </c>
      <c r="E4" s="4" t="n">
        <v>8.06855120066667</v>
      </c>
      <c r="F4" s="4" t="n">
        <v>8.05336307166667</v>
      </c>
      <c r="G4" s="4" t="n">
        <v>8.04818357466667</v>
      </c>
      <c r="H4" s="4" t="n">
        <v>8.05208061966667</v>
      </c>
      <c r="I4" s="4" t="n">
        <v>8.028204639</v>
      </c>
      <c r="J4" s="4" t="n">
        <v>8.06643655133333</v>
      </c>
      <c r="K4" s="4" t="n">
        <v>8.03165029133333</v>
      </c>
      <c r="L4" s="4" t="n">
        <v>8.034189997</v>
      </c>
      <c r="M4" s="4" t="n">
        <v>8.03745466733333</v>
      </c>
    </row>
    <row r="6">
      <c r="A6" s="2" t="s">
        <v>36</v>
      </c>
      <c r="B6" s="5" t="str">
        <f>COUNTA(B4:M4)</f>
      </c>
    </row>
    <row r="7">
      <c r="A7" s="2" t="s">
        <v>37</v>
      </c>
      <c r="B7" s="15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0.574671717166667</v>
      </c>
      <c r="C4" s="4" t="n">
        <v>0.586906481466667</v>
      </c>
      <c r="D4" s="4" t="n">
        <v>0.533048821533333</v>
      </c>
      <c r="E4" s="4" t="n">
        <v>0.547588131333333</v>
      </c>
      <c r="F4" s="4" t="n">
        <v>0.568596633</v>
      </c>
      <c r="G4" s="4" t="n">
        <v>0.554874074066667</v>
      </c>
      <c r="H4" s="4" t="n">
        <v>0.6031449495</v>
      </c>
      <c r="I4" s="4" t="n">
        <v>0.568939814833333</v>
      </c>
      <c r="J4" s="4" t="n">
        <v>0.573847643066667</v>
      </c>
      <c r="K4" s="4" t="n">
        <v>0.569652777766667</v>
      </c>
      <c r="L4" s="4" t="n">
        <v>0.597823232333333</v>
      </c>
      <c r="M4" s="4" t="n">
        <v>0.577045202</v>
      </c>
    </row>
    <row r="6">
      <c r="A6" s="2" t="s">
        <v>36</v>
      </c>
      <c r="B6" s="5" t="str">
        <f>COUNTA(B4:M4)</f>
      </c>
    </row>
    <row r="7">
      <c r="A7" s="2" t="s">
        <v>37</v>
      </c>
      <c r="B7" s="16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120.332569166667</v>
      </c>
      <c r="C4" s="4" t="n">
        <v>120.3507378</v>
      </c>
      <c r="D4" s="4" t="n">
        <v>120.354347833333</v>
      </c>
      <c r="E4" s="4" t="n">
        <v>120.3334519</v>
      </c>
      <c r="F4" s="4" t="n">
        <v>120.3350066</v>
      </c>
      <c r="G4" s="4" t="n">
        <v>120.3446245</v>
      </c>
      <c r="H4" s="4" t="n">
        <v>120.334374133333</v>
      </c>
      <c r="I4" s="4" t="n">
        <v>120.3487747</v>
      </c>
      <c r="J4" s="4" t="n">
        <v>120.356982866667</v>
      </c>
      <c r="K4" s="4" t="n">
        <v>120.3460211</v>
      </c>
      <c r="L4" s="4" t="n">
        <v>120.355006566667</v>
      </c>
      <c r="M4" s="4" t="n">
        <v>120.3457049</v>
      </c>
    </row>
    <row r="6">
      <c r="A6" s="2" t="s">
        <v>36</v>
      </c>
      <c r="B6" s="5" t="str">
        <f>COUNTA(B4:M4)</f>
      </c>
    </row>
    <row r="7">
      <c r="A7" s="2" t="s">
        <v>37</v>
      </c>
      <c r="B7" s="17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40.7302093</v>
      </c>
      <c r="C4" s="4" t="n">
        <v>40.7259379833333</v>
      </c>
      <c r="D4" s="4" t="n">
        <v>40.73594961</v>
      </c>
      <c r="E4" s="4" t="n">
        <v>40.7166976766667</v>
      </c>
      <c r="F4" s="4" t="n">
        <v>40.7230891433333</v>
      </c>
      <c r="G4" s="4" t="n">
        <v>40.73635659</v>
      </c>
      <c r="H4" s="4" t="n">
        <v>40.7490891466667</v>
      </c>
      <c r="I4" s="4" t="n">
        <v>40.7282906966667</v>
      </c>
      <c r="J4" s="4" t="n">
        <v>40.7275077533333</v>
      </c>
      <c r="K4" s="4" t="n">
        <v>40.7411395366667</v>
      </c>
      <c r="L4" s="4" t="n">
        <v>40.7266782966667</v>
      </c>
      <c r="M4" s="4" t="n">
        <v>40.7234224766667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18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182.1980011</v>
      </c>
      <c r="C4" s="4" t="n">
        <v>182.243733066667</v>
      </c>
      <c r="D4" s="4" t="n">
        <v>182.308044766667</v>
      </c>
      <c r="E4" s="4" t="n">
        <v>182.333349833333</v>
      </c>
      <c r="F4" s="4" t="n">
        <v>182.2320957</v>
      </c>
      <c r="G4" s="4" t="n">
        <v>182.1873964</v>
      </c>
      <c r="H4" s="4" t="n">
        <v>182.2910627</v>
      </c>
      <c r="I4" s="4" t="n">
        <v>182.253121366667</v>
      </c>
      <c r="J4" s="4" t="n">
        <v>182.198400433333</v>
      </c>
      <c r="K4" s="4" t="n">
        <v>182.179171966667</v>
      </c>
      <c r="L4" s="4" t="n">
        <v>182.268180766667</v>
      </c>
      <c r="M4" s="4" t="n">
        <v>182.2531958</v>
      </c>
    </row>
    <row r="6">
      <c r="A6" s="2" t="s">
        <v>36</v>
      </c>
      <c r="B6" s="5" t="str">
        <f>COUNTA(B4:M4)</f>
      </c>
    </row>
    <row r="7">
      <c r="A7" s="2" t="s">
        <v>37</v>
      </c>
      <c r="B7" s="19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180.195362333333</v>
      </c>
      <c r="C4" s="4" t="n">
        <v>180.178985466667</v>
      </c>
      <c r="D4" s="4" t="n">
        <v>180.210072466667</v>
      </c>
      <c r="E4" s="4" t="n">
        <v>180.204673933333</v>
      </c>
      <c r="F4" s="4" t="n">
        <v>180.207826066667</v>
      </c>
      <c r="G4" s="4" t="n">
        <v>180.186956533333</v>
      </c>
      <c r="H4" s="4" t="n">
        <v>180.197246366667</v>
      </c>
      <c r="I4" s="4" t="n">
        <v>180.179057966667</v>
      </c>
      <c r="J4" s="4" t="n">
        <v>180.163007266667</v>
      </c>
      <c r="K4" s="4" t="n">
        <v>180.2027174</v>
      </c>
      <c r="L4" s="4" t="n">
        <v>180.1930435</v>
      </c>
      <c r="M4" s="4" t="n">
        <v>180.207934766667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20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76.1397468333333</v>
      </c>
      <c r="C4" s="4" t="n">
        <v>75.95314346</v>
      </c>
      <c r="D4" s="4" t="n">
        <v>76.2548354433333</v>
      </c>
      <c r="E4" s="4" t="n">
        <v>76.04007173</v>
      </c>
      <c r="F4" s="4" t="n">
        <v>76.1724683533333</v>
      </c>
      <c r="G4" s="4" t="n">
        <v>76.0768312233333</v>
      </c>
      <c r="H4" s="4" t="n">
        <v>76.1297341766667</v>
      </c>
      <c r="I4" s="4" t="n">
        <v>76.0691603366667</v>
      </c>
      <c r="J4" s="4" t="n">
        <v>76.0990379766667</v>
      </c>
      <c r="K4" s="4" t="n">
        <v>76.05451477</v>
      </c>
      <c r="L4" s="4" t="n">
        <v>76.1535443033333</v>
      </c>
      <c r="M4" s="4" t="n">
        <v>76.0646286933333</v>
      </c>
    </row>
    <row r="6">
      <c r="A6" s="2" t="s">
        <v>36</v>
      </c>
      <c r="B6" s="5" t="str">
        <f>COUNTA(B4:M4)</f>
      </c>
    </row>
    <row r="7">
      <c r="A7" s="2" t="s">
        <v>37</v>
      </c>
      <c r="B7" s="21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24.7521411766667</v>
      </c>
      <c r="C4" s="4" t="n">
        <v>24.7557509766667</v>
      </c>
      <c r="D4" s="4" t="n">
        <v>24.7588686266667</v>
      </c>
      <c r="E4" s="4" t="n">
        <v>24.5037333333333</v>
      </c>
      <c r="F4" s="4" t="n">
        <v>24.6683666666667</v>
      </c>
      <c r="G4" s="4" t="n">
        <v>25.1215686266667</v>
      </c>
      <c r="H4" s="4" t="n">
        <v>24.8090058833333</v>
      </c>
      <c r="I4" s="4" t="n">
        <v>25.1377058866667</v>
      </c>
      <c r="J4" s="4" t="n">
        <v>24.7747117633333</v>
      </c>
      <c r="K4" s="4" t="n">
        <v>24.84118039</v>
      </c>
      <c r="L4" s="4" t="n">
        <v>24.96311961</v>
      </c>
      <c r="M4" s="4" t="n">
        <v>24.8629549033333</v>
      </c>
    </row>
    <row r="6">
      <c r="A6" s="2" t="s">
        <v>36</v>
      </c>
      <c r="B6" s="5" t="str">
        <f>COUNTA(B4:M4)</f>
      </c>
    </row>
    <row r="7">
      <c r="A7" s="2" t="s">
        <v>37</v>
      </c>
      <c r="B7" s="22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80.6809166666667</v>
      </c>
      <c r="C4" s="4" t="n">
        <v>80.6843525633333</v>
      </c>
      <c r="D4" s="4" t="n">
        <v>80.6866987166667</v>
      </c>
      <c r="E4" s="4" t="n">
        <v>80.6991217933333</v>
      </c>
      <c r="F4" s="4" t="n">
        <v>80.6739166666667</v>
      </c>
      <c r="G4" s="4" t="n">
        <v>80.68775641</v>
      </c>
      <c r="H4" s="4" t="n">
        <v>80.67885256</v>
      </c>
      <c r="I4" s="4" t="n">
        <v>80.6779038466667</v>
      </c>
      <c r="J4" s="4" t="n">
        <v>80.6856666666667</v>
      </c>
      <c r="K4" s="4" t="n">
        <v>80.6765705133333</v>
      </c>
      <c r="L4" s="4" t="n">
        <v>80.6936538466667</v>
      </c>
      <c r="M4" s="4" t="n">
        <v>80.6888910266667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23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25.69841392</v>
      </c>
      <c r="C4" s="4" t="n">
        <v>25.6877326</v>
      </c>
      <c r="D4" s="4" t="n">
        <v>25.6862857133333</v>
      </c>
      <c r="E4" s="4" t="n">
        <v>25.7009816866667</v>
      </c>
      <c r="F4" s="4" t="n">
        <v>25.6958205133333</v>
      </c>
      <c r="G4" s="4" t="n">
        <v>25.7119011</v>
      </c>
      <c r="H4" s="4" t="n">
        <v>25.7025567766667</v>
      </c>
      <c r="I4" s="4" t="n">
        <v>25.7165164833333</v>
      </c>
      <c r="J4" s="4" t="n">
        <v>25.65902564</v>
      </c>
      <c r="K4" s="4" t="n">
        <v>25.6826886433333</v>
      </c>
      <c r="L4" s="4" t="n">
        <v>25.70518315</v>
      </c>
      <c r="M4" s="4" t="n">
        <v>25.7228608066667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24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0.158432228733333</v>
      </c>
      <c r="C4" s="4" t="n">
        <v>0.117936614503333</v>
      </c>
      <c r="D4" s="4" t="n">
        <v>0.152974459766667</v>
      </c>
      <c r="E4" s="4" t="n">
        <v>0.173997150833333</v>
      </c>
      <c r="F4" s="4" t="n">
        <v>0.13027198366</v>
      </c>
      <c r="G4" s="4" t="n">
        <v>0.1394774112</v>
      </c>
      <c r="H4" s="4" t="n">
        <v>0.059490152109</v>
      </c>
      <c r="I4" s="4" t="n">
        <v>0.226139896666667</v>
      </c>
      <c r="J4" s="4" t="n">
        <v>0.11771844605</v>
      </c>
      <c r="K4" s="4" t="n">
        <v>0.159903875866667</v>
      </c>
      <c r="L4" s="4" t="n">
        <v>0.0933574173366667</v>
      </c>
      <c r="M4" s="4" t="n">
        <v>0.06330030245</v>
      </c>
    </row>
    <row r="6">
      <c r="A6" s="2" t="s">
        <v>36</v>
      </c>
      <c r="B6" s="5" t="str">
        <f>COUNTA(B4:M4)</f>
      </c>
    </row>
    <row r="7">
      <c r="A7" s="2" t="s">
        <v>37</v>
      </c>
      <c r="B7" s="25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122.992827</v>
      </c>
      <c r="C4" s="4" t="n">
        <v>122.947088633333</v>
      </c>
      <c r="D4" s="4" t="n">
        <v>123.023206766667</v>
      </c>
      <c r="E4" s="4" t="n">
        <v>122.964135</v>
      </c>
      <c r="F4" s="4" t="n">
        <v>122.975400833333</v>
      </c>
      <c r="G4" s="4" t="n">
        <v>123.003080166667</v>
      </c>
      <c r="H4" s="4" t="n">
        <v>122.879831233333</v>
      </c>
      <c r="I4" s="4" t="n">
        <v>122.908270033333</v>
      </c>
      <c r="J4" s="4" t="n">
        <v>122.891940933333</v>
      </c>
      <c r="K4" s="4" t="n">
        <v>123.110084366667</v>
      </c>
      <c r="L4" s="4" t="n">
        <v>122.854641333333</v>
      </c>
      <c r="M4" s="4" t="n">
        <v>123.029831233333</v>
      </c>
    </row>
    <row r="6">
      <c r="A6" s="2" t="s">
        <v>36</v>
      </c>
      <c r="B6" s="5" t="str">
        <f>COUNTA(B4:M4)</f>
      </c>
    </row>
    <row r="7">
      <c r="A7" s="2" t="s">
        <v>37</v>
      </c>
      <c r="B7" s="26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32.91295238</v>
      </c>
      <c r="C4" s="4" t="n">
        <v>32.9204682566667</v>
      </c>
      <c r="D4" s="4" t="n">
        <v>32.91263889</v>
      </c>
      <c r="E4" s="4" t="n">
        <v>32.9127261933333</v>
      </c>
      <c r="F4" s="4" t="n">
        <v>32.92235714</v>
      </c>
      <c r="G4" s="4" t="n">
        <v>32.90872222</v>
      </c>
      <c r="H4" s="4" t="n">
        <v>32.9212579366667</v>
      </c>
      <c r="I4" s="4" t="n">
        <v>32.92111111</v>
      </c>
      <c r="J4" s="4" t="n">
        <v>32.91868651</v>
      </c>
      <c r="K4" s="4" t="n">
        <v>32.9182420633333</v>
      </c>
      <c r="L4" s="4" t="n">
        <v>32.91065873</v>
      </c>
      <c r="M4" s="4" t="n">
        <v>32.9169682533333</v>
      </c>
    </row>
    <row r="6">
      <c r="A6" s="2" t="s">
        <v>36</v>
      </c>
      <c r="B6" s="5" t="str">
        <f>COUNTA(B4:M4)</f>
      </c>
    </row>
    <row r="7">
      <c r="A7" s="2" t="s">
        <v>37</v>
      </c>
      <c r="B7" s="27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65.01680586</v>
      </c>
      <c r="C4" s="4" t="n">
        <v>65.0276300366667</v>
      </c>
      <c r="D4" s="4" t="n">
        <v>64.89206227</v>
      </c>
      <c r="E4" s="4" t="n">
        <v>64.9818827833333</v>
      </c>
      <c r="F4" s="4" t="n">
        <v>64.9147838833333</v>
      </c>
      <c r="G4" s="4" t="n">
        <v>65.03660073</v>
      </c>
      <c r="H4" s="4" t="n">
        <v>64.9512087933333</v>
      </c>
      <c r="I4" s="4" t="n">
        <v>64.9205677666667</v>
      </c>
      <c r="J4" s="4" t="n">
        <v>64.9561282066667</v>
      </c>
      <c r="K4" s="4" t="n">
        <v>64.9812967033333</v>
      </c>
      <c r="L4" s="4" t="n">
        <v>64.9734908433333</v>
      </c>
      <c r="M4" s="4" t="n">
        <v>65.06137729</v>
      </c>
    </row>
    <row r="6">
      <c r="A6" s="2" t="s">
        <v>36</v>
      </c>
      <c r="B6" s="5" t="str">
        <f>COUNTA(B4:M4)</f>
      </c>
    </row>
    <row r="7">
      <c r="A7" s="2" t="s">
        <v>37</v>
      </c>
      <c r="B7" s="28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96.84451938</v>
      </c>
      <c r="C4" s="4" t="n">
        <v>96.85501938</v>
      </c>
      <c r="D4" s="4" t="n">
        <v>96.83853876</v>
      </c>
      <c r="E4" s="4" t="n">
        <v>96.8327558166667</v>
      </c>
      <c r="F4" s="4" t="n">
        <v>96.8520116266667</v>
      </c>
      <c r="G4" s="4" t="n">
        <v>96.8488759666667</v>
      </c>
      <c r="H4" s="4" t="n">
        <v>96.8457558133333</v>
      </c>
      <c r="I4" s="4" t="n">
        <v>96.8405038766667</v>
      </c>
      <c r="J4" s="4" t="n">
        <v>96.8351472866667</v>
      </c>
      <c r="K4" s="4" t="n">
        <v>96.8437790733333</v>
      </c>
      <c r="L4" s="4" t="n">
        <v>96.83667054</v>
      </c>
      <c r="M4" s="4" t="n">
        <v>96.8343875966667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29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0.0000462333333333333</v>
      </c>
      <c r="C4" s="4" t="n">
        <v>0.0000355</v>
      </c>
      <c r="D4" s="4" t="n">
        <v>0.0000269</v>
      </c>
      <c r="E4" s="4" t="n">
        <v>0.0000419333333333333</v>
      </c>
      <c r="F4" s="4" t="n">
        <v>0.0000408666666666667</v>
      </c>
      <c r="G4" s="4" t="n">
        <v>0.0000236666666666667</v>
      </c>
      <c r="H4" s="4" t="n">
        <v>0.0000344</v>
      </c>
      <c r="I4" s="4" t="n">
        <v>0.0000419</v>
      </c>
      <c r="J4" s="4" t="n">
        <v>0.0000333333333333333</v>
      </c>
      <c r="K4" s="4" t="n">
        <v>0.0000301</v>
      </c>
      <c r="L4" s="4" t="n">
        <v>0.0000398</v>
      </c>
      <c r="M4" s="4" t="n">
        <v>0.0000387333333333333</v>
      </c>
    </row>
    <row r="6">
      <c r="A6" s="2" t="s">
        <v>36</v>
      </c>
      <c r="B6" s="5" t="str">
        <f>COUNTA(B4:M4)</f>
      </c>
    </row>
    <row r="7">
      <c r="A7" s="2" t="s">
        <v>37</v>
      </c>
      <c r="B7" s="30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120.0516637</v>
      </c>
      <c r="C4" s="4" t="n">
        <v>119.9088003</v>
      </c>
      <c r="D4" s="4" t="n">
        <v>119.7967961</v>
      </c>
      <c r="E4" s="4" t="n">
        <v>119.728588766667</v>
      </c>
      <c r="F4" s="4" t="n">
        <v>120.114314766667</v>
      </c>
      <c r="G4" s="4" t="n">
        <v>120.065471033333</v>
      </c>
      <c r="H4" s="4" t="n">
        <v>120.005159666667</v>
      </c>
      <c r="I4" s="4" t="n">
        <v>119.831082566667</v>
      </c>
      <c r="J4" s="4" t="n">
        <v>119.5908553</v>
      </c>
      <c r="K4" s="4" t="n">
        <v>120.0101409</v>
      </c>
      <c r="L4" s="4" t="n">
        <v>119.971694</v>
      </c>
      <c r="M4" s="4" t="n">
        <v>119.7324978</v>
      </c>
    </row>
    <row r="6">
      <c r="A6" s="2" t="s">
        <v>36</v>
      </c>
      <c r="B6" s="5" t="str">
        <f>COUNTA(B4:M4)</f>
      </c>
    </row>
    <row r="7">
      <c r="A7" s="2" t="s">
        <v>37</v>
      </c>
      <c r="B7" s="31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178.722456666667</v>
      </c>
      <c r="C4" s="4" t="n">
        <v>177.981488833333</v>
      </c>
      <c r="D4" s="4" t="n">
        <v>179.610140633333</v>
      </c>
      <c r="E4" s="4" t="n">
        <v>178.6693961</v>
      </c>
      <c r="F4" s="4" t="n">
        <v>177.849077433333</v>
      </c>
      <c r="G4" s="4" t="n">
        <v>178.039373566667</v>
      </c>
      <c r="H4" s="4" t="n">
        <v>179.197689466667</v>
      </c>
      <c r="I4" s="4" t="n">
        <v>178.034917233333</v>
      </c>
      <c r="J4" s="4" t="n">
        <v>178.1525935</v>
      </c>
      <c r="K4" s="4" t="n">
        <v>178.290644266667</v>
      </c>
      <c r="L4" s="4" t="n">
        <v>177.9984983</v>
      </c>
      <c r="M4" s="4" t="n">
        <v>178.265334266667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32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40.57621345</v>
      </c>
      <c r="C4" s="4" t="n">
        <v>40.5881093466667</v>
      </c>
      <c r="D4" s="4" t="n">
        <v>40.4010764333333</v>
      </c>
      <c r="E4" s="4" t="n">
        <v>40.5035834666667</v>
      </c>
      <c r="F4" s="4" t="n">
        <v>40.50725433</v>
      </c>
      <c r="G4" s="4" t="n">
        <v>40.4832707666667</v>
      </c>
      <c r="H4" s="4" t="n">
        <v>40.5673817733333</v>
      </c>
      <c r="I4" s="4" t="n">
        <v>40.5942530833333</v>
      </c>
      <c r="J4" s="4" t="n">
        <v>40.46529783</v>
      </c>
      <c r="K4" s="4" t="n">
        <v>40.52900064</v>
      </c>
      <c r="L4" s="4" t="n">
        <v>40.5179677466667</v>
      </c>
      <c r="M4" s="4" t="n">
        <v>40.44565371</v>
      </c>
    </row>
    <row r="6">
      <c r="A6" s="2" t="s">
        <v>36</v>
      </c>
      <c r="B6" s="5" t="str">
        <f>COUNTA(B4:M4)</f>
      </c>
    </row>
    <row r="7">
      <c r="A7" s="2" t="s">
        <v>37</v>
      </c>
      <c r="B7" s="33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80.22912826</v>
      </c>
      <c r="C4" s="4" t="n">
        <v>80.08584451</v>
      </c>
      <c r="D4" s="4" t="n">
        <v>80.0560442733333</v>
      </c>
      <c r="E4" s="4" t="n">
        <v>80.0311139633333</v>
      </c>
      <c r="F4" s="4" t="n">
        <v>80.0572427466667</v>
      </c>
      <c r="G4" s="4" t="n">
        <v>79.98377546</v>
      </c>
      <c r="H4" s="4" t="n">
        <v>80.0909296</v>
      </c>
      <c r="I4" s="4" t="n">
        <v>80.15800649</v>
      </c>
      <c r="J4" s="4" t="n">
        <v>80.2606435733333</v>
      </c>
      <c r="K4" s="4" t="n">
        <v>79.99150522</v>
      </c>
      <c r="L4" s="4" t="n">
        <v>80.0472201966667</v>
      </c>
      <c r="M4" s="4" t="n">
        <v>80.2475985633333</v>
      </c>
    </row>
    <row r="6">
      <c r="A6" s="2" t="s">
        <v>36</v>
      </c>
      <c r="B6" s="5" t="str">
        <f>COUNTA(B4:M4)</f>
      </c>
    </row>
    <row r="7">
      <c r="A7" s="2" t="s">
        <v>37</v>
      </c>
      <c r="B7" s="34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0.0484276729566667</v>
      </c>
      <c r="C4" s="4" t="n">
        <v>0.0559119496833333</v>
      </c>
      <c r="D4" s="4" t="n">
        <v>0.0518238993733333</v>
      </c>
      <c r="E4" s="4" t="n">
        <v>0.0420754716966667</v>
      </c>
      <c r="F4" s="4" t="n">
        <v>0.0579874213833333</v>
      </c>
      <c r="G4" s="4" t="n">
        <v>0.04603773585</v>
      </c>
      <c r="H4" s="4" t="n">
        <v>0.0684276729533333</v>
      </c>
      <c r="I4" s="4" t="n">
        <v>0.0539622641466667</v>
      </c>
      <c r="J4" s="4" t="n">
        <v>0.0366037735833333</v>
      </c>
      <c r="K4" s="4" t="n">
        <v>0.0496855345933333</v>
      </c>
      <c r="L4" s="4" t="n">
        <v>0.05849056604</v>
      </c>
      <c r="M4" s="4" t="n">
        <v>0.04893081761</v>
      </c>
    </row>
    <row r="6">
      <c r="A6" s="2" t="s">
        <v>36</v>
      </c>
      <c r="B6" s="5" t="str">
        <f>COUNTA(B4:M4)</f>
      </c>
    </row>
    <row r="7">
      <c r="A7" s="2" t="s">
        <v>37</v>
      </c>
      <c r="B7" s="35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99.6998163</v>
      </c>
      <c r="C4" s="4" t="n">
        <v>99.4263875533333</v>
      </c>
      <c r="D4" s="4" t="n">
        <v>99.5459532733333</v>
      </c>
      <c r="E4" s="4" t="n">
        <v>99.40811798</v>
      </c>
      <c r="F4" s="4" t="n">
        <v>99.5793525966667</v>
      </c>
      <c r="G4" s="4" t="n">
        <v>99.2902545933333</v>
      </c>
      <c r="H4" s="4" t="n">
        <v>99.49419342</v>
      </c>
      <c r="I4" s="4" t="n">
        <v>99.54372971</v>
      </c>
      <c r="J4" s="4" t="n">
        <v>99.3537890133333</v>
      </c>
      <c r="K4" s="4" t="n">
        <v>99.7062707333333</v>
      </c>
      <c r="L4" s="4" t="n">
        <v>99.4392036733333</v>
      </c>
      <c r="M4" s="4" t="n">
        <v>99.5672075066667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36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139.118407166667</v>
      </c>
      <c r="C4" s="4" t="n">
        <v>139.141260066667</v>
      </c>
      <c r="D4" s="4" t="n">
        <v>139.0199518</v>
      </c>
      <c r="E4" s="4" t="n">
        <v>139.290356866667</v>
      </c>
      <c r="F4" s="4" t="n">
        <v>139.071412866667</v>
      </c>
      <c r="G4" s="4" t="n">
        <v>139.122731033333</v>
      </c>
      <c r="H4" s="4" t="n">
        <v>139.095919733333</v>
      </c>
      <c r="I4" s="4" t="n">
        <v>139.2070231</v>
      </c>
      <c r="J4" s="4" t="n">
        <v>139.1005235</v>
      </c>
      <c r="K4" s="4" t="n">
        <v>138.975068233333</v>
      </c>
      <c r="L4" s="4" t="n">
        <v>139.0510844</v>
      </c>
      <c r="M4" s="4" t="n">
        <v>139.0437759</v>
      </c>
    </row>
    <row r="6">
      <c r="A6" s="2" t="s">
        <v>36</v>
      </c>
      <c r="B6" s="5" t="str">
        <f>COUNTA(B4:M4)</f>
      </c>
    </row>
    <row r="7">
      <c r="A7" s="2" t="s">
        <v>37</v>
      </c>
      <c r="B7" s="37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180.4679692</v>
      </c>
      <c r="C4" s="4" t="n">
        <v>180.5220319</v>
      </c>
      <c r="D4" s="4" t="n">
        <v>180.5190747</v>
      </c>
      <c r="E4" s="4" t="n">
        <v>180.5442601</v>
      </c>
      <c r="F4" s="4" t="n">
        <v>180.6414159</v>
      </c>
      <c r="G4" s="4" t="n">
        <v>180.419778066667</v>
      </c>
      <c r="H4" s="4" t="n">
        <v>180.582321433333</v>
      </c>
      <c r="I4" s="4" t="n">
        <v>180.5934931</v>
      </c>
      <c r="J4" s="4" t="n">
        <v>180.595975366667</v>
      </c>
      <c r="K4" s="4" t="n">
        <v>180.5924625</v>
      </c>
      <c r="L4" s="4" t="n">
        <v>180.6302442</v>
      </c>
      <c r="M4" s="4" t="n">
        <v>180.549051333333</v>
      </c>
    </row>
    <row r="6">
      <c r="A6" s="2" t="s">
        <v>36</v>
      </c>
      <c r="B6" s="5" t="str">
        <f>COUNTA(B4:M4)</f>
      </c>
    </row>
    <row r="7">
      <c r="A7" s="2" t="s">
        <v>37</v>
      </c>
      <c r="B7" s="38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19.72807843</v>
      </c>
      <c r="C4" s="4" t="n">
        <v>19.7358431366667</v>
      </c>
      <c r="D4" s="4" t="n">
        <v>19.74160784</v>
      </c>
      <c r="E4" s="4" t="n">
        <v>19.72917647</v>
      </c>
      <c r="F4" s="4" t="n">
        <v>19.7310588233333</v>
      </c>
      <c r="G4" s="4" t="n">
        <v>19.73235294</v>
      </c>
      <c r="H4" s="4" t="n">
        <v>19.7301960766667</v>
      </c>
      <c r="I4" s="4" t="n">
        <v>19.72462745</v>
      </c>
      <c r="J4" s="4" t="n">
        <v>19.72835294</v>
      </c>
      <c r="K4" s="4" t="n">
        <v>19.72945098</v>
      </c>
      <c r="L4" s="4" t="n">
        <v>19.7211764733333</v>
      </c>
      <c r="M4" s="4" t="n">
        <v>19.72909804</v>
      </c>
    </row>
    <row r="6">
      <c r="A6" s="2" t="s">
        <v>36</v>
      </c>
      <c r="B6" s="5" t="str">
        <f>COUNTA(B4:M4)</f>
      </c>
    </row>
    <row r="7">
      <c r="A7" s="2" t="s">
        <v>37</v>
      </c>
      <c r="B7" s="39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59.9028673833333</v>
      </c>
      <c r="C4" s="4" t="n">
        <v>59.9010394266667</v>
      </c>
      <c r="D4" s="4" t="n">
        <v>59.89261649</v>
      </c>
      <c r="E4" s="4" t="n">
        <v>59.8977419366667</v>
      </c>
      <c r="F4" s="4" t="n">
        <v>59.89677419</v>
      </c>
      <c r="G4" s="4" t="n">
        <v>59.8925806466667</v>
      </c>
      <c r="H4" s="4" t="n">
        <v>59.89498208</v>
      </c>
      <c r="I4" s="4" t="n">
        <v>59.89591398</v>
      </c>
      <c r="J4" s="4" t="n">
        <v>59.89387097</v>
      </c>
      <c r="K4" s="4" t="n">
        <v>59.8886738366667</v>
      </c>
      <c r="L4" s="4" t="n">
        <v>59.8945878133333</v>
      </c>
      <c r="M4" s="4" t="n">
        <v>59.8873118266667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40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>
      <c r="A4" s="2" t="s">
        <v>35</v>
      </c>
      <c r="B4" s="4" t="n">
        <v>59.0525102866667</v>
      </c>
      <c r="C4" s="4" t="n">
        <v>59.04600823</v>
      </c>
      <c r="D4" s="4" t="n">
        <v>59.0558436233333</v>
      </c>
      <c r="E4" s="4" t="n">
        <v>59.05600823</v>
      </c>
      <c r="F4" s="4" t="n">
        <v>59.05403292</v>
      </c>
      <c r="G4" s="4" t="n">
        <v>59.0463786033333</v>
      </c>
      <c r="H4" s="4" t="n">
        <v>59.0470370366667</v>
      </c>
      <c r="I4" s="4" t="n">
        <v>59.06600823</v>
      </c>
      <c r="J4" s="4" t="n">
        <v>59.0571193433333</v>
      </c>
      <c r="K4" s="4" t="n">
        <v>59.0517283933333</v>
      </c>
      <c r="L4" s="4" t="n">
        <v>59.05016461</v>
      </c>
      <c r="M4" s="4" t="n">
        <v>59.0492181066667</v>
      </c>
    </row>
    <row r="6">
      <c r="A6" s="2" t="s">
        <v>36</v>
      </c>
      <c r="B6" s="5" t="str">
        <f>COUNTA(B4:M4)</f>
      </c>
    </row>
    <row r="7">
      <c r="A7" s="2" t="s">
        <v>37</v>
      </c>
      <c r="B7" s="41" t="n">
        <v>0.000001</v>
      </c>
    </row>
    <row r="9">
      <c r="A9" s="7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" t="s">
        <v>39</v>
      </c>
      <c r="B10" s="8" t="str">
        <f>MEDIAN(B4:M4)</f>
      </c>
      <c r="N10" s="9" t="s">
        <v>40</v>
      </c>
    </row>
    <row r="11">
      <c r="A11" s="2" t="s">
        <v>41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42</v>
      </c>
      <c r="B12" s="8" t="str">
        <f>1.483*MEDIAN(B11:M11)</f>
      </c>
      <c r="N12" s="9" t="s">
        <v>43</v>
      </c>
    </row>
    <row r="14">
      <c r="A14" s="7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  <c r="J15" s="3" t="s">
        <v>54</v>
      </c>
      <c r="K15" s="3" t="s">
        <v>55</v>
      </c>
      <c r="L15" s="3" t="s">
        <v>56</v>
      </c>
      <c r="M15" s="3" t="s">
        <v>57</v>
      </c>
      <c r="N15" s="3" t="s">
        <v>58</v>
      </c>
      <c r="O15" s="3" t="s">
        <v>59</v>
      </c>
      <c r="P15" s="3" t="s">
        <v>60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69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70</v>
      </c>
      <c r="B28" s="8" t="str">
        <f>S25</f>
      </c>
    </row>
    <row r="29">
      <c r="A29" s="2" t="s">
        <v>71</v>
      </c>
      <c r="B29" s="8" t="str">
        <f>T25</f>
      </c>
    </row>
    <row r="30">
      <c r="A30" s="2" t="s">
        <v>72</v>
      </c>
      <c r="B30" s="8" t="str">
        <f>1.25*B29/SQRT(12)</f>
      </c>
    </row>
    <row r="31">
      <c r="A31" s="2" t="s">
        <v>73</v>
      </c>
      <c r="B31" s="11" t="str">
        <f>X25</f>
      </c>
    </row>
  </sheetData>
  <mergeCells count="4">
    <mergeCell ref="A1:N1"/>
    <mergeCell ref="A9:N9"/>
    <mergeCell ref="A14:X14"/>
    <mergeCell ref="A27:X2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2026-03-10T21:06:43Z</dcterms:created>
</coreProperties>
</file>