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ME" sheetId="1" state="visible" r:id="rId1"/>
    <sheet name="datos_homogeneidad" sheetId="2" state="visible" r:id="rId2"/>
    <sheet name="calc_homogeneidad" sheetId="3" state="visible" r:id="rId3"/>
    <sheet name="resultado_homogeneidad" sheetId="4" state="visible" r:id="rId4"/>
    <sheet name="datos_estabilidad" sheetId="5" state="visible" r:id="rId5"/>
    <sheet name="calc_estabilidad" sheetId="6" state="visible" r:id="rId6"/>
    <sheet name="resultado_estabilidad" sheetId="7" state="visible" r:id="rId7"/>
    <sheet name="datos_participantes" sheetId="8" state="visible" r:id="rId8"/>
    <sheet name="datos_referencia" sheetId="9" state="visible" r:id="rId9"/>
    <sheet name="validacion_snapshot" sheetId="10" state="visible" r:id="rId10"/>
    <sheet name="validacion_final" sheetId="11" state="visible" r:id="rId11"/>
  </sheets>
  <definedNames>
    <definedName name="readme">'README'!$A$3:$B$11</definedName>
    <definedName name="readme_bloque">'README'!$A$4:$A$11</definedName>
    <definedName name="readme_contenido">'README'!$B$4:$B$11</definedName>
    <definedName name="datos_homogeneidad">'datos_homogeneidad'!$A$1:$F$11</definedName>
    <definedName name="datos_homogeneidad_sample_id">'datos_homogeneidad'!$A$2:$A$11</definedName>
    <definedName name="datos_homogeneidad_sample_1">'datos_homogeneidad'!$B$2:$B$11</definedName>
    <definedName name="datos_homogeneidad_sample_2">'datos_homogeneidad'!$C$2:$C$11</definedName>
    <definedName name="datos_homogeneidad_promedio_muestra">'datos_homogeneidad'!$D$2:$D$11</definedName>
    <definedName name="datos_homogeneidad_rango_absoluto">'datos_homogeneidad'!$E$2:$E$11</definedName>
    <definedName name="datos_homogeneidad_abs_diff_from_xpt">'datos_homogeneidad'!$F$2:$F$11</definedName>
    <definedName name="calc_homogeneidad">'calc_homogeneidad'!$A$1:$C$19</definedName>
    <definedName name="calc_homogeneidad_parametro">'calc_homogeneidad'!$A$2:$A$19</definedName>
    <definedName name="calc_homogeneidad_valor">'calc_homogeneidad'!$B$2:$B$19</definedName>
    <definedName name="calc_homogeneidad_notas">'calc_homogeneidad'!$C$2:$C$19</definedName>
    <definedName name="resultado_homogeneidad">'resultado_homogeneidad'!$A$1:$G$15</definedName>
    <definedName name="resultado_homogeneidad_tabla">'resultado_homogeneidad'!$A$2:$A$15</definedName>
    <definedName name="resultado_homogeneidad_parametro">'resultado_homogeneidad'!$B$2:$B$15</definedName>
    <definedName name="resultado_homogeneidad_app_value">'resultado_homogeneidad'!$C$2:$C$15</definedName>
    <definedName name="resultado_homogeneidad_calculado">'resultado_homogeneidad'!$D$2:$D$15</definedName>
    <definedName name="resultado_homogeneidad_delta_abs">'resultado_homogeneidad'!$E$2:$E$15</definedName>
    <definedName name="resultado_homogeneidad_tolerancia">'resultado_homogeneidad'!$F$2:$F$15</definedName>
    <definedName name="resultado_homogeneidad_estado">'resultado_homogeneidad'!$G$2:$G$15</definedName>
    <definedName name="datos_estabilidad">'datos_estabilidad'!$A$1:$F$3</definedName>
    <definedName name="datos_estabilidad_sample_id">'datos_estabilidad'!$A$2:$A$3</definedName>
    <definedName name="datos_estabilidad_sample_1">'datos_estabilidad'!$B$2:$B$3</definedName>
    <definedName name="datos_estabilidad_sample_2">'datos_estabilidad'!$C$2:$C$3</definedName>
    <definedName name="datos_estabilidad_promedio_muestra">'datos_estabilidad'!$D$2:$D$3</definedName>
    <definedName name="datos_estabilidad_rango_absoluto">'datos_estabilidad'!$E$2:$E$3</definedName>
    <definedName name="datos_estabilidad_abs_diff_from_xpt">'datos_estabilidad'!$F$2:$F$3</definedName>
    <definedName name="calc_estabilidad">'calc_estabilidad'!$A$1:$C$16</definedName>
    <definedName name="calc_estabilidad_parametro">'calc_estabilidad'!$A$2:$A$16</definedName>
    <definedName name="calc_estabilidad_valor">'calc_estabilidad'!$B$2:$B$16</definedName>
    <definedName name="calc_estabilidad_notas">'calc_estabilidad'!$C$2:$C$16</definedName>
    <definedName name="resultado_estabilidad">'resultado_estabilidad'!$A$1:$G$15</definedName>
    <definedName name="resultado_estabilidad_tabla">'resultado_estabilidad'!$A$2:$A$15</definedName>
    <definedName name="resultado_estabilidad_parametro">'resultado_estabilidad'!$B$2:$B$15</definedName>
    <definedName name="resultado_estabilidad_app_value">'resultado_estabilidad'!$C$2:$C$15</definedName>
    <definedName name="resultado_estabilidad_calculado">'resultado_estabilidad'!$D$2:$D$15</definedName>
    <definedName name="resultado_estabilidad_delta_abs">'resultado_estabilidad'!$E$2:$E$15</definedName>
    <definedName name="resultado_estabilidad_tolerancia">'resultado_estabilidad'!$F$2:$F$15</definedName>
    <definedName name="resultado_estabilidad_estado">'resultado_estabilidad'!$G$2:$G$15</definedName>
    <definedName name="datos_participantes">'datos_participantes'!$A$1:$G$13</definedName>
    <definedName name="datos_participantes_participant_id">'datos_participantes'!$A$2:$A$13</definedName>
    <definedName name="datos_participantes_pollutant">'datos_participantes'!$B$2:$B$13</definedName>
    <definedName name="datos_participantes_level">'datos_participantes'!$C$2:$C$13</definedName>
    <definedName name="datos_participantes_mean_value">'datos_participantes'!$D$2:$D$13</definedName>
    <definedName name="datos_participantes_sd_value">'datos_participantes'!$E$2:$E$13</definedName>
    <definedName name="datos_participantes_u_i">'datos_participantes'!$F$2:$F$13</definedName>
    <definedName name="datos_participantes_u_i_check">'datos_participantes'!$G$2:$G$13</definedName>
    <definedName name="datos_referencia">'datos_referencia'!$A$1:$G$2</definedName>
    <definedName name="datos_referencia_pollutant">'datos_referencia'!$A$2:$A$2</definedName>
    <definedName name="datos_referencia_level">'datos_referencia'!$B$2:$B$2</definedName>
    <definedName name="datos_referencia_participant_id">'datos_referencia'!$C$2:$C$2</definedName>
    <definedName name="datos_referencia_mean_value">'datos_referencia'!$D$2:$D$2</definedName>
    <definedName name="datos_referencia_sd_value">'datos_referencia'!$E$2:$E$2</definedName>
    <definedName name="datos_referencia_x_pt_ref">'datos_referencia'!$F$2:$F$2</definedName>
    <definedName name="datos_referencia_u_ref_check">'datos_referencia'!$G$2:$G$2</definedName>
    <definedName name="snapshot">'validacion_snapshot'!$A$1:$AI$133</definedName>
    <definedName name="snapshot_combo_id">'validacion_snapshot'!$A$2:$A$133</definedName>
    <definedName name="snapshot_pollutant">'validacion_snapshot'!$B$2:$B$133</definedName>
    <definedName name="snapshot_n_lab">'validacion_snapshot'!$C$2:$C$133</definedName>
    <definedName name="snapshot_level">'validacion_snapshot'!$D$2:$D$133</definedName>
    <definedName name="snapshot_section">'validacion_snapshot'!$E$2:$E$133</definedName>
    <definedName name="snapshot_tabla">'validacion_snapshot'!$F$2:$F$133</definedName>
    <definedName name="snapshot_parametro">'validacion_snapshot'!$G$2:$G$133</definedName>
    <definedName name="snapshot_app_value">'validacion_snapshot'!$H$2:$H$133</definedName>
    <definedName name="snapshot_method_key">'validacion_snapshot'!$I$2:$I$133</definedName>
    <definedName name="snapshot_method">'validacion_snapshot'!$J$2:$J$133</definedName>
    <definedName name="snapshot_x_pt">'validacion_snapshot'!$K$2:$K$133</definedName>
    <definedName name="snapshot_sigma_pt">'validacion_snapshot'!$L$2:$L$133</definedName>
    <definedName name="snapshot_u_hom">'validacion_snapshot'!$N$2:$N$133</definedName>
    <definedName name="snapshot_u_stab">'validacion_snapshot'!$O$2:$O$133</definedName>
    <definedName name="snapshot_u_xpt_def">'validacion_snapshot'!$P$2:$P$133</definedName>
    <definedName name="snapshot_U_xpt">'validacion_snapshot'!$Q$2:$Q$133</definedName>
    <definedName name="snapshot_n_participants">'validacion_snapshot'!$R$2:$R$133</definedName>
    <definedName name="snapshot_bloque">'validacion_snapshot'!$S$2:$S$133</definedName>
    <definedName name="snapshot_participant_id">'validacion_snapshot'!$T$2:$T$133</definedName>
    <definedName name="snapshot_result">'validacion_snapshot'!$U$2:$U$133</definedName>
    <definedName name="snapshot_u_xi">'validacion_snapshot'!$V$2:$V$133</definedName>
    <definedName name="snapshot_z_score">'validacion_snapshot'!$W$2:$W$133</definedName>
    <definedName name="snapshot_z_score_eval">'validacion_snapshot'!$X$2:$X$133</definedName>
    <definedName name="snapshot_z_prime_score">'validacion_snapshot'!$Y$2:$Y$133</definedName>
    <definedName name="snapshot_z_prime_score_eval">'validacion_snapshot'!$Z$2:$Z$133</definedName>
    <definedName name="snapshot_zeta_score">'validacion_snapshot'!$AA$2:$AA$133</definedName>
    <definedName name="snapshot_zeta_score_eval">'validacion_snapshot'!$AB$2:$AB$133</definedName>
    <definedName name="snapshot_En_score">'validacion_snapshot'!$AC$2:$AC$133</definedName>
    <definedName name="snapshot_En_score_eval">'validacion_snapshot'!$AD$2:$AD$133</definedName>
    <definedName name="snapshot_score">'validacion_snapshot'!$AE$2:$AE$133</definedName>
    <definedName name="snapshot_N_A">'validacion_snapshot'!$AF$2:$AF$133</definedName>
    <definedName name="snapshot_Satisfactorio">'validacion_snapshot'!$AG$2:$AG$133</definedName>
    <definedName name="snapshot_Cuestionable">'validacion_snapshot'!$AH$2:$AH$133</definedName>
    <definedName name="snapshot_No_satisfactorio">'validacion_snapshot'!$AI$2:$AI$133</definedName>
    <definedName name="validacion_final_resumen">'validacion_final'!$A$1:$C$11</definedName>
    <definedName name="validacion_final_resumen_hoja">'validacion_final'!$A$2:$A$11</definedName>
    <definedName name="validacion_final_resumen_estado">'validacion_final'!$B$2:$B$11</definedName>
    <definedName name="validacion_final_resumen_notas">'validacion_final'!$C$2:$C$11</definedName>
  </definedNames>
</workbook>
</file>

<file path=xl/sharedStrings.xml><?xml version="1.0" encoding="utf-8"?>
<sst xmlns="http://schemas.openxmlformats.org/spreadsheetml/2006/main" count="478" uniqueCount="478">
  <si>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</si>
  <si>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</si>
  <si>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</si>
  <si>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</si>
  <si>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O3_180</t>
  </si>
  <si>
    <t xml:space="preserve">Nivel</t>
  </si>
  <si>
    <t xml:space="preserve">180-nmol/mol</t>
  </si>
  <si>
    <t xml:space="preserve">Analito</t>
  </si>
  <si>
    <t xml:space="preserve">o3</t>
  </si>
  <si>
    <t xml:space="preserve">Fecha de generacion</t>
  </si>
  <si>
    <t xml:space="preserve">2026-05-13 17:28:11 -0500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</si>
  <si>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</si>
  <si>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</si>
  <si>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</si>
  <si>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</si>
  <si>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</si>
  <si>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</si>
  <si>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</si>
  <si>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</si>
  <si>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</si>
  <si>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</si>
  <si>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</si>
  <si>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</si>
  <si>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</si>
  <si>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</si>
  <si>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/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</si>
  <si>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</si>
  <si>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</si>
  <si>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</si>
  <si>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</si>
  <si>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</si>
  <si>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</si>
  <si>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</si>
  <si>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</si>
  <si>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</si>
  <si>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</si>
  <si>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</si>
  <si>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</si>
  <si>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</si>
  <si>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</si>
  <si>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</si>
  <si>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</si>
  <si>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</si>
  <si>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</si>
  <si>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</si>
  <si>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</si>
  <si>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</si>
  <si>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</si>
  <si>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</si>
  <si>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</si>
  <si>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</si>
  <si>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</si>
  <si>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</si>
  <si>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</si>
  <si>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</si>
  <si>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</si>
  <si>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</si>
  <si>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</si>
  <si>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</si>
  <si>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</si>
  <si>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</si>
  <si>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</si>
  <si>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</si>
  <si>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</si>
  <si>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</si>
  <si>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</si>
  <si>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</si>
  <si>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</si>
  <si>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</si>
  <si>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</si>
  <si>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</si>
  <si>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</si>
  <si>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</si>
  <si>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</si>
  <si>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</si>
  <si>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</si>
  <si>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</si>
  <si>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176.5380</t>
  </si>
  <si>
    <t xml:space="preserve">Median |sample_2 - x_pt|</t>
  </si>
  <si>
    <t xml:space="preserve">2.8659</t>
  </si>
  <si>
    <t xml:space="preserve">MADe (1.483 × median)</t>
  </si>
  <si>
    <t xml:space="preserve">1.1328</t>
  </si>
  <si>
    <t xml:space="preserve">Resumen del Estudio (Método nIQR)</t>
  </si>
  <si>
    <t xml:space="preserve">Q1 (25%)</t>
  </si>
  <si>
    <t xml:space="preserve">176.4295</t>
  </si>
  <si>
    <t xml:space="preserve">Q3 (75%)</t>
  </si>
  <si>
    <t xml:space="preserve">180.4040</t>
  </si>
  <si>
    <t xml:space="preserve">IQR (Q3 - Q1)</t>
  </si>
  <si>
    <t xml:space="preserve">3.9745</t>
  </si>
  <si>
    <t xml:space="preserve">nIQR (0.7413 × IQR)</t>
  </si>
  <si>
    <t xml:space="preserve">2.9463</t>
  </si>
  <si>
    <t xml:space="preserve">u_sigma_pt (nIQR)</t>
  </si>
  <si>
    <t xml:space="preserve">1.1646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</si>
  <si>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</si>
  <si>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</si>
  <si>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</si>
  <si>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</si>
  <si>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</si>
  <si>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</si>
  <si>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</si>
  <si>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</si>
  <si>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</si>
  <si>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</si>
  <si>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</si>
  <si>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</si>
  <si>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</si>
  <si>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</si>
  <si>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</si>
  <si>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</si>
  <si>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</si>
  <si>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</si>
  <si>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</si>
  <si>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</si>
  <si>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</si>
  <si>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</si>
  <si>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</si>
  <si>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</si>
  <si>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</si>
  <si>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</si>
  <si>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</si>
  <si>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</si>
  <si>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</si>
  <si>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</si>
  <si>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</si>
  <si>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</si>
  <si>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</si>
  <si>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</si>
  <si>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</si>
  <si>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</si>
  <si>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</si>
  <si>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</si>
  <si>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</si>
  <si>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</si>
  <si>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</si>
  <si>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</si>
  <si>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</si>
  <si>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</si>
  <si>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</si>
  <si>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</si>
  <si>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</si>
  <si>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</si>
  <si>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</si>
  <si>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combo_id</t>
  </si>
  <si>
    <t xml:space="preserve">n_lab</t>
  </si>
  <si>
    <t xml:space="preserve">section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</si>
  <si>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</si>
  <si>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</si>
  <si>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</si>
  <si>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</si>
  <si>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</si>
  <si>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</si>
  <si>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</si>
  <si>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</si>
  <si>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</si>
  <si>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</si>
  <si>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</si>
  <si>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</si>
  <si>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</si>
  <si>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</si>
  <si>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</si>
  <si>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</si>
  <si>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</si>
  <si>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</si>
  <si>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</si>
  <si>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</si>
  <si>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</si>
  <si>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</si>
  <si>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</si>
  <si>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</si>
  <si>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</si>
  <si>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resultado_estabilidad</t>
  </si>
  <si>
    <t xml:space="preserve">valor_asignado</t>
  </si>
  <si>
    <t xml:space="preserve">Referencia (1)</t>
  </si>
  <si>
    <t xml:space="preserve">177.614</t>
  </si>
  <si>
    <t xml:space="preserve">4.55228</t>
  </si>
  <si>
    <t xml:space="preserve">1.781</t>
  </si>
  <si>
    <t xml:space="preserve">1.34309248668057</t>
  </si>
  <si>
    <t xml:space="preserve">0.127045926735169</t>
  </si>
  <si>
    <t xml:space="preserve">2.23427820453895</t>
  </si>
  <si>
    <t xml:space="preserve">4.4685564090779</t>
  </si>
  <si>
    <t xml:space="preserve">12</t>
  </si>
  <si>
    <t xml:space="preserve">consensus_ma</t>
  </si>
  <si>
    <t xml:space="preserve">Consenso MADe (2a)</t>
  </si>
  <si>
    <t xml:space="preserve">178.209</t>
  </si>
  <si>
    <t xml:space="preserve">0.324777000000012</t>
  </si>
  <si>
    <t xml:space="preserve">0.117193805235379</t>
  </si>
  <si>
    <t xml:space="preserve">1.35416855792155</t>
  </si>
  <si>
    <t xml:space="preserve">2.70833711584311</t>
  </si>
  <si>
    <t xml:space="preserve">consensus_niqr</t>
  </si>
  <si>
    <t xml:space="preserve">Consenso nIQR (2b)</t>
  </si>
  <si>
    <t xml:space="preserve">0.487034100000008</t>
  </si>
  <si>
    <t xml:space="preserve">0.175743292962207</t>
  </si>
  <si>
    <t xml:space="preserve">1.36048660423357</t>
  </si>
  <si>
    <t xml:space="preserve">2.72097320846714</t>
  </si>
  <si>
    <t xml:space="preserve">algo</t>
  </si>
  <si>
    <t xml:space="preserve">Algoritmo A (3)</t>
  </si>
  <si>
    <t xml:space="preserve">178.348436434102</t>
  </si>
  <si>
    <t xml:space="preserve">0.494016722256281</t>
  </si>
  <si>
    <t xml:space="preserve">0.178262929736775</t>
  </si>
  <si>
    <t xml:space="preserve">1.36081437653933</t>
  </si>
  <si>
    <t xml:space="preserve">2.72162875307867</t>
  </si>
  <si>
    <t xml:space="preserve">expert</t>
  </si>
  <si>
    <t xml:space="preserve">Expertos (4)</t>
  </si>
  <si>
    <t xml:space="preserve">algoritmo_A</t>
  </si>
  <si>
    <t xml:space="preserve">O3</t>
  </si>
  <si>
    <t xml:space="preserve">Algoritmo A</t>
  </si>
  <si>
    <t xml:space="preserve">Esquema (n)</t>
  </si>
  <si>
    <t xml:space="preserve">13</t>
  </si>
  <si>
    <t xml:space="preserve">n participantes</t>
  </si>
  <si>
    <t xml:space="preserve">x*0 = mediana</t>
  </si>
  <si>
    <t xml:space="preserve">178.2090</t>
  </si>
  <si>
    <t xml:space="preserve">s*0 = MADe</t>
  </si>
  <si>
    <t xml:space="preserve">0.3248</t>
  </si>
  <si>
    <t xml:space="preserve">x* (valor asignado)</t>
  </si>
  <si>
    <t xml:space="preserve">178.3484</t>
  </si>
  <si>
    <t xml:space="preserve">s* (desviación robusta)</t>
  </si>
  <si>
    <t xml:space="preserve">0.4940</t>
  </si>
  <si>
    <t xml:space="preserve">Observaciones winzorizadas</t>
  </si>
  <si>
    <t xml:space="preserve">Observaciones totales</t>
  </si>
  <si>
    <t xml:space="preserve">n_iteraciones</t>
  </si>
  <si>
    <t xml:space="preserve">14</t>
  </si>
  <si>
    <t xml:space="preserve">criterio</t>
  </si>
  <si>
    <t xml:space="preserve">3 cifras significativas</t>
  </si>
  <si>
    <t xml:space="preserve">guardia_numérica</t>
  </si>
  <si>
    <t xml:space="preserve">0.0000000001</t>
  </si>
  <si>
    <t xml:space="preserve">primera_iteración_3ra_cifra</t>
  </si>
  <si>
    <t xml:space="preserve">puntajes_EA</t>
  </si>
  <si>
    <t xml:space="preserve">178.722333333333</t>
  </si>
  <si>
    <t xml:space="preserve">0.334578968165167</t>
  </si>
  <si>
    <t xml:space="preserve">0.243467742171692</t>
  </si>
  <si>
    <t xml:space="preserve">0.218562173125765</t>
  </si>
  <si>
    <t xml:space="preserve">0.490588678885145</t>
  </si>
  <si>
    <t xml:space="preserve">0.245294339442572</t>
  </si>
  <si>
    <t xml:space="preserve">177.981666666667</t>
  </si>
  <si>
    <t xml:space="preserve">0.414358062941227</t>
  </si>
  <si>
    <t xml:space="preserve">0.0807653893580032</t>
  </si>
  <si>
    <t xml:space="preserve">0.072503481791791</t>
  </si>
  <si>
    <t xml:space="preserve">0.161798356328937</t>
  </si>
  <si>
    <t xml:space="preserve">0.0808991781644684</t>
  </si>
  <si>
    <t xml:space="preserve">179.610333333333</t>
  </si>
  <si>
    <t xml:space="preserve">0.380761268150885</t>
  </si>
  <si>
    <t xml:space="preserve">0.438534829433454</t>
  </si>
  <si>
    <t xml:space="preserve">0.393674843563965</t>
  </si>
  <si>
    <t xml:space="preserve">0.880803831975937</t>
  </si>
  <si>
    <t xml:space="preserve">0.440401915987968</t>
  </si>
  <si>
    <t xml:space="preserve">178.669666666667</t>
  </si>
  <si>
    <t xml:space="preserve">0.343658946047462</t>
  </si>
  <si>
    <t xml:space="preserve">0.231898447957214</t>
  </si>
  <si>
    <t xml:space="preserve">0.208176361590764</t>
  </si>
  <si>
    <t xml:space="preserve">0.466994843426909</t>
  </si>
  <si>
    <t xml:space="preserve">0.233497421713455</t>
  </si>
  <si>
    <t xml:space="preserve">177.849</t>
  </si>
  <si>
    <t xml:space="preserve">0.140176574676736</t>
  </si>
  <si>
    <t xml:space="preserve">0.0516224836785051</t>
  </si>
  <si>
    <t xml:space="preserve">0.0463417540010985</t>
  </si>
  <si>
    <t xml:space="preserve">0.104972987586357</t>
  </si>
  <si>
    <t xml:space="preserve">0.0524864937931786</t>
  </si>
  <si>
    <t xml:space="preserve">178.039333333333</t>
  </si>
  <si>
    <t xml:space="preserve">0.00796067860388924</t>
  </si>
  <si>
    <t xml:space="preserve">0.0934330342890436</t>
  </si>
  <si>
    <t xml:space="preserve">0.0838752880927725</t>
  </si>
  <si>
    <t xml:space="preserve">0.190366012941132</t>
  </si>
  <si>
    <t xml:space="preserve">0.0951830064705661</t>
  </si>
  <si>
    <t xml:space="preserve">179.197666666667</t>
  </si>
  <si>
    <t xml:space="preserve">0.23561544179908</t>
  </si>
  <si>
    <t xml:space="preserve">0.347884283626372</t>
  </si>
  <si>
    <t xml:space="preserve">0.312297408878343</t>
  </si>
  <si>
    <t xml:space="preserve">0.704895959448332</t>
  </si>
  <si>
    <t xml:space="preserve">0.352447979724166</t>
  </si>
  <si>
    <t xml:space="preserve">178.035</t>
  </si>
  <si>
    <t xml:space="preserve">0.0202713981208594</t>
  </si>
  <si>
    <t xml:space="preserve">0.0924811303346877</t>
  </si>
  <si>
    <t xml:space="preserve">0.0830207592955887</t>
  </si>
  <si>
    <t xml:space="preserve">0.188419988321675</t>
  </si>
  <si>
    <t xml:space="preserve">0.0942099941608374</t>
  </si>
  <si>
    <t xml:space="preserve">178.152666666667</t>
  </si>
  <si>
    <t xml:space="preserve">0.498874552692086</t>
  </si>
  <si>
    <t xml:space="preserve">0.118328983864491</t>
  </si>
  <si>
    <t xml:space="preserve">0.106224502788336</t>
  </si>
  <si>
    <t xml:space="preserve">0.235297983079218</t>
  </si>
  <si>
    <t xml:space="preserve">0.117648991539609</t>
  </si>
  <si>
    <t xml:space="preserve">178.290666666667</t>
  </si>
  <si>
    <t xml:space="preserve">0.355089886356072</t>
  </si>
  <si>
    <t xml:space="preserve">0.148643463641658</t>
  </si>
  <si>
    <t xml:space="preserve">0.133437958329409</t>
  </si>
  <si>
    <t xml:space="preserve">0.299103098507571</t>
  </si>
  <si>
    <t xml:space="preserve">0.149551549253785</t>
  </si>
  <si>
    <t xml:space="preserve">177.998333333333</t>
  </si>
  <si>
    <t xml:space="preserve">0.46269516615466</t>
  </si>
  <si>
    <t xml:space="preserve">0.0844265584132194</t>
  </si>
  <si>
    <t xml:space="preserve">0.0757901310117299</t>
  </si>
  <si>
    <t xml:space="preserve">0.168442774875577</t>
  </si>
  <si>
    <t xml:space="preserve">0.0842213874377886</t>
  </si>
  <si>
    <t xml:space="preserve">178.265333333333</t>
  </si>
  <si>
    <t xml:space="preserve">0.236972481628575</t>
  </si>
  <si>
    <t xml:space="preserve">0.143078486677737</t>
  </si>
  <si>
    <t xml:space="preserve">0.128442251515108</t>
  </si>
  <si>
    <t xml:space="preserve">0.289892488157954</t>
  </si>
  <si>
    <t xml:space="preserve">0.144946244078977</t>
  </si>
  <si>
    <t xml:space="preserve">1.5805716948347</t>
  </si>
  <si>
    <t xml:space="preserve">0.368622870619153</t>
  </si>
  <si>
    <t xml:space="preserve">0.368010143291955</t>
  </si>
  <si>
    <t xml:space="preserve">0.184005071645977</t>
  </si>
  <si>
    <t xml:space="preserve">-0.699967464855392</t>
  </si>
  <si>
    <t xml:space="preserve">-0.163247271274202</t>
  </si>
  <si>
    <t xml:space="preserve">-0.160529763910706</t>
  </si>
  <si>
    <t xml:space="preserve">-0.0802648819553528</t>
  </si>
  <si>
    <t xml:space="preserve">4.3147554578473</t>
  </si>
  <si>
    <t xml:space="preserve">1.00629256369017</t>
  </si>
  <si>
    <t xml:space="preserve">0.996198331933579</t>
  </si>
  <si>
    <t xml:space="preserve">0.498099165966789</t>
  </si>
  <si>
    <t xml:space="preserve">1.41840914432565</t>
  </si>
  <si>
    <t xml:space="preserve">0.33080312155562</t>
  </si>
  <si>
    <t xml:space="preserve">0.329731853487525</t>
  </si>
  <si>
    <t xml:space="preserve">0.164865926743762</t>
  </si>
  <si>
    <t xml:space="preserve">-1.10845287689707</t>
  </si>
  <si>
    <t xml:space="preserve">-0.258514740434213</t>
  </si>
  <si>
    <t xml:space="preserve">-0.264432815511743</t>
  </si>
  <si>
    <t xml:space="preserve">-0.132216407755871</t>
  </si>
  <si>
    <t xml:space="preserve">-0.522409735500559</t>
  </si>
  <si>
    <t xml:space="preserve">-0.121837039704642</t>
  </si>
  <si>
    <t xml:space="preserve">-0.125289967809736</t>
  </si>
  <si>
    <t xml:space="preserve">-0.062644983904868</t>
  </si>
  <si>
    <t xml:space="preserve">3.04414003044126</t>
  </si>
  <si>
    <t xml:space="preserve">0.709958074192445</t>
  </si>
  <si>
    <t xml:space="preserve">0.71928484513784</t>
  </si>
  <si>
    <t xml:space="preserve">0.35964242256892</t>
  </si>
  <si>
    <t xml:space="preserve">-0.535752223833584</t>
  </si>
  <si>
    <t xml:space="preserve">-0.124948791209869</t>
  </si>
  <si>
    <t xml:space="preserve">-0.128477733773758</t>
  </si>
  <si>
    <t xml:space="preserve">-0.064238866886879</t>
  </si>
  <si>
    <t xml:space="preserve">-0.173452348329327</t>
  </si>
  <si>
    <t xml:space="preserve">-0.040452769567961</t>
  </si>
  <si>
    <t xml:space="preserve">-0.0390352964156552</t>
  </si>
  <si>
    <t xml:space="preserve">-0.0195176482078276</t>
  </si>
  <si>
    <t xml:space="preserve">0.25145458781455</t>
  </si>
  <si>
    <t xml:space="preserve">0.0586445475984872</t>
  </si>
  <si>
    <t xml:space="preserve">0.0583353972723827</t>
  </si>
  <si>
    <t xml:space="preserve">0.0291676986361913</t>
  </si>
  <si>
    <t xml:space="preserve">-0.648650202036044</t>
  </si>
  <si>
    <t xml:space="preserve">-0.15127899625409</t>
  </si>
  <si>
    <t xml:space="preserve">-0.147212865452117</t>
  </si>
  <si>
    <t xml:space="preserve">-0.0736064327260587</t>
  </si>
  <si>
    <t xml:space="preserve">0.17345234832924</t>
  </si>
  <si>
    <t xml:space="preserve">0.0404527695679406</t>
  </si>
  <si>
    <t xml:space="preserve">0.0409772462529584</t>
  </si>
  <si>
    <t xml:space="preserve">0.0204886231264792</t>
  </si>
  <si>
    <t xml:space="preserve">1.05399875149059</t>
  </si>
  <si>
    <t xml:space="preserve">0.355239388730885</t>
  </si>
  <si>
    <t xml:space="preserve">0.366398799359774</t>
  </si>
  <si>
    <t xml:space="preserve">0.183199399679887</t>
  </si>
  <si>
    <t xml:space="preserve">-0.466770875660133</t>
  </si>
  <si>
    <t xml:space="preserve">-0.157320300723683</t>
  </si>
  <si>
    <t xml:space="preserve">-0.159847687324902</t>
  </si>
  <si>
    <t xml:space="preserve">-0.0799238436624511</t>
  </si>
  <si>
    <t xml:space="preserve">2.87727970861446</t>
  </si>
  <si>
    <t xml:space="preserve">0.969757396249731</t>
  </si>
  <si>
    <t xml:space="preserve">0.991908800119292</t>
  </si>
  <si>
    <t xml:space="preserve">0.495954400059646</t>
  </si>
  <si>
    <t xml:space="preserve">0.94586121724672</t>
  </si>
  <si>
    <t xml:space="preserve">0.318792750146798</t>
  </si>
  <si>
    <t xml:space="preserve">0.328292637633803</t>
  </si>
  <si>
    <t xml:space="preserve">0.164146318816901</t>
  </si>
  <si>
    <t xml:space="preserve">-0.739167955590805</t>
  </si>
  <si>
    <t xml:space="preserve">-0.249128921967116</t>
  </si>
  <si>
    <t xml:space="preserve">-0.263217729398852</t>
  </si>
  <si>
    <t xml:space="preserve">-0.131608864699426</t>
  </si>
  <si>
    <t xml:space="preserve">-0.348367119810849</t>
  </si>
  <si>
    <t xml:space="preserve">-0.11741353822339</t>
  </si>
  <si>
    <t xml:space="preserve">-0.124708146091161</t>
  </si>
  <si>
    <t xml:space="preserve">-0.0623540730455806</t>
  </si>
  <si>
    <t xml:space="preserve">2.02997421877984</t>
  </si>
  <si>
    <t xml:space="preserve">0.684181835698549</t>
  </si>
  <si>
    <t xml:space="preserve">0.716042003798227</t>
  </si>
  <si>
    <t xml:space="preserve">0.358021001899113</t>
  </si>
  <si>
    <t xml:space="preserve">-0.357264511868889</t>
  </si>
  <si>
    <t xml:space="preserve">-0.120412312284106</t>
  </si>
  <si>
    <t xml:space="preserve">-0.127881220970999</t>
  </si>
  <si>
    <t xml:space="preserve">-0.0639406104854997</t>
  </si>
  <si>
    <t xml:space="preserve">-0.115666096754529</t>
  </si>
  <si>
    <t xml:space="preserve">-0.0389840627893129</t>
  </si>
  <si>
    <t xml:space="preserve">-0.0388755479579211</t>
  </si>
  <si>
    <t xml:space="preserve">-0.0194377739789606</t>
  </si>
  <si>
    <t xml:space="preserve">0.167681619555279</t>
  </si>
  <si>
    <t xml:space="preserve">0.0565153572980815</t>
  </si>
  <si>
    <t xml:space="preserve">0.0580818054812207</t>
  </si>
  <si>
    <t xml:space="preserve">0.0290409027406104</t>
  </si>
  <si>
    <t xml:space="preserve">-0.432550136975347</t>
  </si>
  <si>
    <t xml:space="preserve">-0.145786554336308</t>
  </si>
  <si>
    <t xml:space="preserve">-0.146600239266687</t>
  </si>
  <si>
    <t xml:space="preserve">-0.0733001196333435</t>
  </si>
  <si>
    <t xml:space="preserve">0.115666096754471</t>
  </si>
  <si>
    <t xml:space="preserve">0.0389840627892932</t>
  </si>
  <si>
    <t xml:space="preserve">0.0407925657031989</t>
  </si>
  <si>
    <t xml:space="preserve">0.0203962828515994</t>
  </si>
  <si>
    <t xml:space="preserve">0.75685069429203</t>
  </si>
  <si>
    <t xml:space="preserve">0.258267566300187</t>
  </si>
  <si>
    <t xml:space="preserve">0.266813491185925</t>
  </si>
  <si>
    <t xml:space="preserve">0.133406745592962</t>
  </si>
  <si>
    <t xml:space="preserve">-0.742423790352768</t>
  </si>
  <si>
    <t xml:space="preserve">-0.2533445327379</t>
  </si>
  <si>
    <t xml:space="preserve">-0.257834499226384</t>
  </si>
  <si>
    <t xml:space="preserve">-0.128917249613192</t>
  </si>
  <si>
    <t xml:space="preserve">2.55436069748441</t>
  </si>
  <si>
    <t xml:space="preserve">0.871649488819255</t>
  </si>
  <si>
    <t xml:space="preserve">0.893011687054509</t>
  </si>
  <si>
    <t xml:space="preserve">0.446505843527254</t>
  </si>
  <si>
    <t xml:space="preserve">0.650241617526084</t>
  </si>
  <si>
    <t xml:space="preserve">0.221888308132753</t>
  </si>
  <si>
    <t xml:space="preserve">0.228871871974993</t>
  </si>
  <si>
    <t xml:space="preserve">0.114435935987497</t>
  </si>
  <si>
    <t xml:space="preserve">-1.01097070524413</t>
  </si>
  <si>
    <t xml:space="preserve">-0.344983423564699</t>
  </si>
  <si>
    <t xml:space="preserve">-0.365081090129675</t>
  </si>
  <si>
    <t xml:space="preserve">-0.182540545064837</t>
  </si>
  <si>
    <t xml:space="preserve">-0.62569359870399</t>
  </si>
  <si>
    <t xml:space="preserve">-0.213511547529259</t>
  </si>
  <si>
    <t xml:space="preserve">-0.227141788921622</t>
  </si>
  <si>
    <t xml:space="preserve">-0.113570894460811</t>
  </si>
  <si>
    <t xml:space="preserve">1.719031349154</t>
  </si>
  <si>
    <t xml:space="preserve">0.586601883684635</t>
  </si>
  <si>
    <t xml:space="preserve">0.614911309621566</t>
  </si>
  <si>
    <t xml:space="preserve">0.307455654810783</t>
  </si>
  <si>
    <t xml:space="preserve">-0.634465231602455</t>
  </si>
  <si>
    <t xml:space="preserve">-0.216504777631643</t>
  </si>
  <si>
    <t xml:space="preserve">-0.230304491584109</t>
  </si>
  <si>
    <t xml:space="preserve">-0.115152245792054</t>
  </si>
  <si>
    <t xml:space="preserve">-0.396281661359647</t>
  </si>
  <si>
    <t xml:space="preserve">-0.135227067928487</t>
  </si>
  <si>
    <t xml:space="preserve">-0.135071734513147</t>
  </si>
  <si>
    <t xml:space="preserve">-0.0675358672565733</t>
  </si>
  <si>
    <t xml:space="preserve">-0.116938890593246</t>
  </si>
  <si>
    <t xml:space="preserve">-0.039904201591058</t>
  </si>
  <si>
    <t xml:space="preserve">-0.0410769273140285</t>
  </si>
  <si>
    <t xml:space="preserve">-0.0205384636570142</t>
  </si>
  <si>
    <t xml:space="preserve">-0.708686740743274</t>
  </si>
  <si>
    <t xml:space="preserve">-0.241832109267187</t>
  </si>
  <si>
    <t xml:space="preserve">-0.243579670004489</t>
  </si>
  <si>
    <t xml:space="preserve">-0.121789835002244</t>
  </si>
  <si>
    <t xml:space="preserve">-0.168219205999613</t>
  </si>
  <si>
    <t xml:space="preserve">-0.0574030852665193</t>
  </si>
  <si>
    <t xml:space="preserve">-0.0601632462310747</t>
  </si>
  <si>
    <t xml:space="preserve">-0.0300816231155373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</si>
  <si>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</si>
  <si>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</si>
  <si>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</si>
  <si>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</si>
  <si>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</si>
  <si>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</si>
  <si>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0</t>
  </si>
  <si>
    <t xml:space="preserve">11</t>
  </si>
  <si>
    <t xml:space="preserve">1</t>
  </si>
  <si>
    <t xml:space="preserve">z_prime</t>
  </si>
  <si>
    <t xml:space="preserve">zeta</t>
  </si>
  <si>
    <t xml:space="preserve">En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</si>
  <si>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</si>
  <si>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</si>
  <si>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</si>
  <si>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</si>
  <si>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</si>
  <si>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</si>
  <si>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</si>
  <si>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</si>
  <si>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</si>
  <si>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</si>
  <si>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</si>
  <si>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</si>
  <si>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</si>
  <si>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</si>
  <si>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</si>
  <si>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</si>
  <si>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</si>
  <si>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</si>
  <si>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</si>
  <si>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</si>
  <si>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</si>
  <si>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Errores Excel a escanear tras recalculo</t>
  </si>
  <si>
    <t xml:space="preserve">REF, DIV/0, VALUE, N/A,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</si>
</sst>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0000000"/>
  </numFmts>
  <fonts count="4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rgb="FF000000"/>
      <name val="Calibri"/>
      <b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vertical="top" wrapText="1"/>
    </xf>
    <xf numFmtId="166" fontId="3" fillId="0" borderId="0" xfId="0" applyFont="1" applyNumberForma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3" fillId="3" borderId="0" xfId="0" applyFont="1" applyFill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fgColor rgb="FFE2F0D9"/>
        </patternFill>
      </fill>
    </dxf>
    <dxf>
      <font>
        <sz val="11"/>
        <color rgb="FF000000"/>
        <name val="Calibri"/>
      </font>
      <fill>
        <patternFill patternType="solid">
          <fgColor rgb="FFF4CCC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42.99" hidden="0" customWidth="1"/>
    <col min="2" max="2" width="177.71" hidden="0" customWidth="1"/>
  </cols>
  <sheetData>
    <row r="1">
      <c r="A1" s="1" t="s">
        <v>0</v>
      </c>
    </row>
    <row r="3">
      <c r="A3" s="2" t="s">
        <v>1</v>
      </c>
      <c r="B3" s="2" t="s">
        <v>2</v>
      </c>
    </row>
    <row r="4">
      <c r="A4" s="3" t="s">
        <v>3</v>
      </c>
      <c r="B4" s="3" t="s">
        <v>4</v>
      </c>
    </row>
    <row r="5">
      <c r="A5" s="3" t="s">
        <v>5</v>
      </c>
      <c r="B5" s="3" t="s">
        <v>6</v>
      </c>
    </row>
    <row r="6">
      <c r="A6" s="3" t="s">
        <v>7</v>
      </c>
      <c r="B6" s="3" t="s">
        <v>8</v>
      </c>
    </row>
    <row r="7">
      <c r="A7" s="3" t="s">
        <v>9</v>
      </c>
      <c r="B7" s="3" t="s">
        <v>10</v>
      </c>
    </row>
    <row r="8">
      <c r="A8" s="3" t="s">
        <v>11</v>
      </c>
      <c r="B8" s="3" t="s">
        <v>12</v>
      </c>
    </row>
    <row r="9">
      <c r="A9" s="3" t="s">
        <v>13</v>
      </c>
      <c r="B9" s="3" t="s">
        <v>14</v>
      </c>
    </row>
    <row r="10">
      <c r="A10" s="3" t="s">
        <v>15</v>
      </c>
      <c r="B10" s="3" t="s">
        <v>16</v>
      </c>
    </row>
    <row r="11">
      <c r="A11" s="3" t="s">
        <v>17</v>
      </c>
      <c r="B11" s="3" t="s">
        <v>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9.71" hidden="0" customWidth="1"/>
    <col min="2" max="2" width="8.71" hidden="0" customWidth="1"/>
    <col min="3" max="3" width="8.71" hidden="0" customWidth="1"/>
    <col min="4" max="4" width="16.71" hidden="0" customWidth="1"/>
    <col min="5" max="5" width="14.71" hidden="0" customWidth="1"/>
    <col min="6" max="6" width="17.71" hidden="0" customWidth="1"/>
  </cols>
  <sheetData>
    <row r="1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>
      <c r="A2" s="3" t="n">
        <v>1</v>
      </c>
      <c r="B2" s="3" t="n">
        <v>180.414</v>
      </c>
      <c r="C2" s="3" t="n">
        <v>180.46</v>
      </c>
      <c r="D2" s="4" t="str">
        <f>AVERAGE(B2:C2)</f>
      </c>
      <c r="E2" s="4" t="str">
        <f>ABS(B2-C2)</f>
      </c>
      <c r="F2" s="4" t="str">
        <f>ABS(C2-MEDIAN($B$2:$B$11))</f>
      </c>
    </row>
    <row r="3">
      <c r="A3" s="3" t="n">
        <v>2</v>
      </c>
      <c r="B3" s="3" t="n">
        <v>176.452</v>
      </c>
      <c r="C3" s="3" t="n">
        <v>176.396</v>
      </c>
      <c r="D3" s="4" t="str">
        <f>AVERAGE(B3:C3)</f>
      </c>
      <c r="E3" s="4" t="str">
        <f>ABS(B3-C3)</f>
      </c>
      <c r="F3" s="4" t="str">
        <f>ABS(C3-MEDIAN($B$2:$B$11))</f>
      </c>
    </row>
    <row r="4">
      <c r="A4" s="3" t="n">
        <v>3</v>
      </c>
      <c r="B4" s="3" t="n">
        <v>176.56</v>
      </c>
      <c r="C4" s="3" t="n">
        <v>176.377</v>
      </c>
      <c r="D4" s="4" t="str">
        <f>AVERAGE(B4:C4)</f>
      </c>
      <c r="E4" s="4" t="str">
        <f>ABS(B4-C4)</f>
      </c>
      <c r="F4" s="4" t="str">
        <f>ABS(C4-MEDIAN($B$2:$B$11))</f>
      </c>
    </row>
    <row r="5">
      <c r="A5" s="3" t="n">
        <v>4</v>
      </c>
      <c r="B5" s="3" t="n">
        <v>176.372</v>
      </c>
      <c r="C5" s="3" t="n">
        <v>180.242</v>
      </c>
      <c r="D5" s="4" t="str">
        <f>AVERAGE(B5:C5)</f>
      </c>
      <c r="E5" s="4" t="str">
        <f>ABS(B5-C5)</f>
      </c>
      <c r="F5" s="4" t="str">
        <f>ABS(C5-MEDIAN($B$2:$B$11))</f>
      </c>
    </row>
    <row r="6">
      <c r="A6" s="3" t="n">
        <v>5</v>
      </c>
      <c r="B6" s="3" t="n">
        <v>180.374</v>
      </c>
      <c r="C6" s="3" t="n">
        <v>180.34</v>
      </c>
      <c r="D6" s="4" t="str">
        <f>AVERAGE(B6:C6)</f>
      </c>
      <c r="E6" s="4" t="str">
        <f>ABS(B6-C6)</f>
      </c>
      <c r="F6" s="4" t="str">
        <f>ABS(C6-MEDIAN($B$2:$B$11))</f>
      </c>
    </row>
    <row r="7">
      <c r="A7" s="3" t="n">
        <v>6</v>
      </c>
      <c r="B7" s="3" t="n">
        <v>176.362</v>
      </c>
      <c r="C7" s="3" t="n">
        <v>180.429</v>
      </c>
      <c r="D7" s="4" t="str">
        <f>AVERAGE(B7:C7)</f>
      </c>
      <c r="E7" s="4" t="str">
        <f>ABS(B7-C7)</f>
      </c>
      <c r="F7" s="4" t="str">
        <f>ABS(C7-MEDIAN($B$2:$B$11))</f>
      </c>
    </row>
    <row r="8">
      <c r="A8" s="3" t="n">
        <v>7</v>
      </c>
      <c r="B8" s="3" t="n">
        <v>176.422</v>
      </c>
      <c r="C8" s="3" t="n">
        <v>176.448</v>
      </c>
      <c r="D8" s="4" t="str">
        <f>AVERAGE(B8:C8)</f>
      </c>
      <c r="E8" s="4" t="str">
        <f>ABS(B8-C8)</f>
      </c>
      <c r="F8" s="4" t="str">
        <f>ABS(C8-MEDIAN($B$2:$B$11))</f>
      </c>
    </row>
    <row r="9">
      <c r="A9" s="3" t="n">
        <v>8</v>
      </c>
      <c r="B9" s="3" t="n">
        <v>176.516</v>
      </c>
      <c r="C9" s="3" t="n">
        <v>176.592</v>
      </c>
      <c r="D9" s="4" t="str">
        <f>AVERAGE(B9:C9)</f>
      </c>
      <c r="E9" s="4" t="str">
        <f>ABS(B9-C9)</f>
      </c>
      <c r="F9" s="4" t="str">
        <f>ABS(C9-MEDIAN($B$2:$B$11))</f>
      </c>
    </row>
    <row r="10">
      <c r="A10" s="3" t="n">
        <v>9</v>
      </c>
      <c r="B10" s="3" t="n">
        <v>180.529</v>
      </c>
      <c r="C10" s="3" t="n">
        <v>180.353</v>
      </c>
      <c r="D10" s="4" t="str">
        <f>AVERAGE(B10:C10)</f>
      </c>
      <c r="E10" s="4" t="str">
        <f>ABS(B10-C10)</f>
      </c>
      <c r="F10" s="4" t="str">
        <f>ABS(C10-MEDIAN($B$2:$B$11))</f>
      </c>
    </row>
    <row r="11">
      <c r="A11" s="3" t="n">
        <v>10</v>
      </c>
      <c r="B11" s="3" t="n">
        <v>180.456</v>
      </c>
      <c r="C11" s="3" t="n">
        <v>176.545</v>
      </c>
      <c r="D11" s="4" t="str">
        <f>AVERAGE(B11:C11)</f>
      </c>
      <c r="E11" s="4" t="str">
        <f>ABS(B11-C11)</f>
      </c>
      <c r="F11" s="4" t="str">
        <f>ABS(C11-MEDIAN($B$2:$B$11))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5.71" hidden="0" customWidth="1"/>
    <col min="2" max="2" width="5.71" hidden="0" customWidth="1"/>
    <col min="3" max="3" width="67.71" hidden="0" customWidth="1"/>
  </cols>
  <sheetData>
    <row r="1">
      <c r="A1" s="2" t="s">
        <v>26</v>
      </c>
      <c r="B1" s="2" t="s">
        <v>27</v>
      </c>
      <c r="C1" s="2" t="s">
        <v>28</v>
      </c>
    </row>
    <row r="2">
      <c r="A2" s="3" t="s">
        <v>29</v>
      </c>
      <c r="B2" s="4" t="str">
        <f>COUNT('datos_homogeneidad'!$B$2:$B$11)</f>
      </c>
      <c r="C2" s="3" t="s">
        <v>30</v>
      </c>
    </row>
    <row r="3">
      <c r="A3" s="3" t="s">
        <v>31</v>
      </c>
      <c r="B3" s="4" t="str">
        <f>2</f>
      </c>
      <c r="C3" s="3" t="s">
        <v>32</v>
      </c>
    </row>
    <row r="4">
      <c r="A4" s="3" t="s">
        <v>33</v>
      </c>
      <c r="B4" s="4" t="str">
        <f>AVERAGE('datos_homogeneidad'!$B$2:$B$11,'datos_homogeneidad'!$C$2:$C$11)</f>
      </c>
      <c r="C4" s="3" t="s">
        <v>34</v>
      </c>
    </row>
    <row r="5">
      <c r="A5" s="3" t="s">
        <v>35</v>
      </c>
      <c r="B5" s="4" t="str">
        <f>MEDIAN('datos_homogeneidad'!$B$2:$B$11)</f>
      </c>
      <c r="C5" s="3" t="s">
        <v>36</v>
      </c>
    </row>
    <row r="6">
      <c r="A6" s="3" t="s">
        <v>37</v>
      </c>
      <c r="B6" s="4" t="str">
        <f>VAR('datos_homogeneidad'!$D$2:$D$11)</f>
      </c>
      <c r="C6" s="3" t="s">
        <v>38</v>
      </c>
    </row>
    <row r="7">
      <c r="A7" s="3" t="s">
        <v>39</v>
      </c>
      <c r="B7" s="4" t="str">
        <f>SQRT(SUMSQ('datos_homogeneidad'!$E$2:$E$11)/(2*B2))</f>
      </c>
      <c r="C7" s="3" t="s">
        <v>40</v>
      </c>
    </row>
    <row r="8">
      <c r="A8" s="3" t="s">
        <v>41</v>
      </c>
      <c r="B8" s="4" t="str">
        <f>ABS(B6-(B7^2/B3))</f>
      </c>
      <c r="C8" s="3" t="s">
        <v>42</v>
      </c>
    </row>
    <row r="9">
      <c r="A9" s="3" t="s">
        <v>43</v>
      </c>
      <c r="B9" s="4" t="str">
        <f>SQRT(B8)</f>
      </c>
      <c r="C9" s="3" t="s">
        <v>44</v>
      </c>
    </row>
    <row r="10">
      <c r="A10" s="3" t="s">
        <v>45</v>
      </c>
      <c r="B10" s="4" t="str">
        <f>MEDIAN('datos_homogeneidad'!$F$2:$F$11)</f>
      </c>
      <c r="C10" s="3" t="s">
        <v>46</v>
      </c>
    </row>
    <row r="11">
      <c r="A11" s="3" t="s">
        <v>47</v>
      </c>
      <c r="B11" s="4" t="str">
        <f>1.483*B10</f>
      </c>
      <c r="C11" s="3" t="s">
        <v>48</v>
      </c>
    </row>
    <row r="12">
      <c r="A12" s="3" t="s">
        <v>49</v>
      </c>
      <c r="B12" s="4" t="str">
        <f>IFERROR(1.25*B11/SQRT(B2),0)</f>
      </c>
      <c r="C12" s="3" t="s">
        <v>50</v>
      </c>
    </row>
    <row r="13">
      <c r="A13" s="3" t="s">
        <v>51</v>
      </c>
      <c r="B13" s="4" t="str">
        <f>QUARTILE('datos_homogeneidad'!$B$2:$B$11,1)</f>
      </c>
      <c r="C13" s="3" t="s">
        <v>52</v>
      </c>
    </row>
    <row r="14">
      <c r="A14" s="3" t="s">
        <v>53</v>
      </c>
      <c r="B14" s="4" t="str">
        <f>QUARTILE('datos_homogeneidad'!$B$2:$B$11,3)</f>
      </c>
      <c r="C14" s="3" t="s">
        <v>54</v>
      </c>
    </row>
    <row r="15">
      <c r="A15" s="3" t="s">
        <v>55</v>
      </c>
      <c r="B15" s="4" t="str">
        <f>B14-B13</f>
      </c>
      <c r="C15" s="3" t="s">
        <v>56</v>
      </c>
    </row>
    <row r="16">
      <c r="A16" s="3" t="s">
        <v>57</v>
      </c>
      <c r="B16" s="4" t="str">
        <f>0.7413*B15</f>
      </c>
      <c r="C16" s="3" t="s">
        <v>58</v>
      </c>
    </row>
    <row r="17">
      <c r="A17" s="3" t="s">
        <v>59</v>
      </c>
      <c r="B17" s="4" t="str">
        <f>IFERROR(1.25*B16/SQRT(B2),0)</f>
      </c>
      <c r="C17" s="3" t="s">
        <v>60</v>
      </c>
    </row>
    <row r="18">
      <c r="A18" s="3" t="s">
        <v>61</v>
      </c>
      <c r="B18" s="4" t="str">
        <f>0.3*B11</f>
      </c>
      <c r="C18" s="3" t="s">
        <v>62</v>
      </c>
    </row>
    <row r="19">
      <c r="A19" s="3" t="s">
        <v>63</v>
      </c>
      <c r="B19" s="4" t="str">
        <f>0.3*B16</f>
      </c>
      <c r="C19" s="3" t="s">
        <v>64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4.71" hidden="0" customWidth="1"/>
    <col min="2" max="2" width="24.71" hidden="0" customWidth="1"/>
    <col min="3" max="3" width="9.71" hidden="0" customWidth="1"/>
    <col min="4" max="4" width="9.71" hidden="0" customWidth="1"/>
    <col min="5" max="5" width="9.71" hidden="0" customWidth="1"/>
    <col min="6" max="6" width="10.71" hidden="0" customWidth="1"/>
    <col min="7" max="7" width="6.71" hidden="0" customWidth="1"/>
  </cols>
  <sheetData>
    <row r="1">
      <c r="A1" s="2" t="s">
        <v>65</v>
      </c>
      <c r="B1" s="2" t="s">
        <v>26</v>
      </c>
      <c r="C1" s="2" t="s">
        <v>66</v>
      </c>
      <c r="D1" s="2" t="s">
        <v>67</v>
      </c>
      <c r="E1" s="2" t="s">
        <v>68</v>
      </c>
      <c r="F1" s="2" t="s">
        <v>69</v>
      </c>
      <c r="G1" s="2" t="s">
        <v>70</v>
      </c>
    </row>
    <row r="2">
      <c r="A2" s="3" t="s">
        <v>71</v>
      </c>
      <c r="B2" s="3" t="s">
        <v>72</v>
      </c>
      <c r="C2" s="3" t="s">
        <v>73</v>
      </c>
      <c r="D2" s="4" t="str">
        <f>'calc_homogeneidad'!$B$2</f>
      </c>
      <c r="E2" s="4" t="str">
        <f>IFERROR(ABS(D2-C2),"")</f>
      </c>
      <c r="F2" s="3" t="n">
        <v>0.0005</v>
      </c>
      <c r="G2" s="5" t="str">
        <f>IF(E2="","Pendiente",IF(E2&lt;=F2,"OK","FALLA"))</f>
      </c>
    </row>
    <row r="3">
      <c r="A3" s="3" t="s">
        <v>71</v>
      </c>
      <c r="B3" s="3" t="s">
        <v>74</v>
      </c>
      <c r="C3" s="3" t="s">
        <v>75</v>
      </c>
      <c r="D3" s="4" t="str">
        <f>'calc_homogeneidad'!$B$3</f>
      </c>
      <c r="E3" s="4" t="str">
        <f>IFERROR(ABS(D3-C3),"")</f>
      </c>
      <c r="F3" s="3" t="n">
        <v>0.0005</v>
      </c>
      <c r="G3" s="5" t="str">
        <f>IF(E3="","Pendiente",IF(E3&lt;=F3,"OK","FALLA"))</f>
      </c>
    </row>
    <row r="4">
      <c r="A4" s="3" t="s">
        <v>71</v>
      </c>
      <c r="B4" s="3" t="s">
        <v>76</v>
      </c>
      <c r="C4" s="3" t="s">
        <v>77</v>
      </c>
      <c r="D4" s="4" t="str">
        <f>ROUND('calc_homogeneidad'!$B$5,4)</f>
      </c>
      <c r="E4" s="4" t="str">
        <f>IFERROR(ABS(D4-C4),"")</f>
      </c>
      <c r="F4" s="3" t="n">
        <v>0.0005</v>
      </c>
      <c r="G4" s="5" t="str">
        <f>IF(E4="","Pendiente",IF(E4&lt;=F4,"OK","FALLA"))</f>
      </c>
    </row>
    <row r="5">
      <c r="A5" s="3" t="s">
        <v>71</v>
      </c>
      <c r="B5" s="3" t="s">
        <v>78</v>
      </c>
      <c r="C5" s="3" t="s">
        <v>79</v>
      </c>
      <c r="D5" s="4" t="str">
        <f>ROUND('calc_homogeneidad'!$B$11,4)</f>
      </c>
      <c r="E5" s="4" t="str">
        <f>IFERROR(ABS(D5-C5),"")</f>
      </c>
      <c r="F5" s="3" t="n">
        <v>0.0005</v>
      </c>
      <c r="G5" s="5" t="str">
        <f>IF(E5="","Pendiente",IF(E5&lt;=F5,"OK","FALLA"))</f>
      </c>
    </row>
    <row r="6">
      <c r="A6" s="3" t="s">
        <v>71</v>
      </c>
      <c r="B6" s="3" t="s">
        <v>80</v>
      </c>
      <c r="C6" s="3" t="s">
        <v>79</v>
      </c>
      <c r="D6" s="4" t="str">
        <f>ROUND('calc_homogeneidad'!$B$11,4)</f>
      </c>
      <c r="E6" s="4" t="str">
        <f>IFERROR(ABS(D6-C6),"")</f>
      </c>
      <c r="F6" s="3" t="n">
        <v>0.0005</v>
      </c>
      <c r="G6" s="5" t="str">
        <f>IF(E6="","Pendiente",IF(E6&lt;=F6,"OK","FALLA"))</f>
      </c>
    </row>
    <row r="7">
      <c r="A7" s="3" t="s">
        <v>71</v>
      </c>
      <c r="B7" s="3" t="s">
        <v>49</v>
      </c>
      <c r="C7" s="3" t="s">
        <v>81</v>
      </c>
      <c r="D7" s="4" t="str">
        <f>ROUND('calc_homogeneidad'!$B$12,4)</f>
      </c>
      <c r="E7" s="4" t="str">
        <f>IFERROR(ABS(D7-C7),"")</f>
      </c>
      <c r="F7" s="3" t="n">
        <v>0.0005</v>
      </c>
      <c r="G7" s="5" t="str">
        <f>IF(E7="","Pendiente",IF(E7&lt;=F7,"OK","FALLA"))</f>
      </c>
    </row>
    <row r="8">
      <c r="A8" s="3" t="s">
        <v>82</v>
      </c>
      <c r="B8" s="3" t="s">
        <v>72</v>
      </c>
      <c r="C8" s="3" t="s">
        <v>73</v>
      </c>
      <c r="D8" s="4" t="str">
        <f>'calc_homogeneidad'!$B$2</f>
      </c>
      <c r="E8" s="4" t="str">
        <f>IFERROR(ABS(D8-C8),"")</f>
      </c>
      <c r="F8" s="3" t="n">
        <v>0.0005</v>
      </c>
      <c r="G8" s="5" t="str">
        <f>IF(E8="","Pendiente",IF(E8&lt;=F8,"OK","FALLA"))</f>
      </c>
    </row>
    <row r="9">
      <c r="A9" s="3" t="s">
        <v>82</v>
      </c>
      <c r="B9" s="3" t="s">
        <v>74</v>
      </c>
      <c r="C9" s="3" t="s">
        <v>75</v>
      </c>
      <c r="D9" s="4" t="str">
        <f>'calc_homogeneidad'!$B$3</f>
      </c>
      <c r="E9" s="4" t="str">
        <f>IFERROR(ABS(D9-C9),"")</f>
      </c>
      <c r="F9" s="3" t="n">
        <v>0.0005</v>
      </c>
      <c r="G9" s="5" t="str">
        <f>IF(E9="","Pendiente",IF(E9&lt;=F9,"OK","FALLA"))</f>
      </c>
    </row>
    <row r="10">
      <c r="A10" s="3" t="s">
        <v>82</v>
      </c>
      <c r="B10" s="3" t="s">
        <v>76</v>
      </c>
      <c r="C10" s="3" t="s">
        <v>77</v>
      </c>
      <c r="D10" s="4" t="str">
        <f>ROUND('calc_homogeneidad'!$B$5,4)</f>
      </c>
      <c r="E10" s="4" t="str">
        <f>IFERROR(ABS(D10-C10),"")</f>
      </c>
      <c r="F10" s="3" t="n">
        <v>0.0005</v>
      </c>
      <c r="G10" s="5" t="str">
        <f>IF(E10="","Pendiente",IF(E10&lt;=F10,"OK","FALLA"))</f>
      </c>
    </row>
    <row r="11">
      <c r="A11" s="3" t="s">
        <v>82</v>
      </c>
      <c r="B11" s="3" t="s">
        <v>83</v>
      </c>
      <c r="C11" s="3" t="s">
        <v>84</v>
      </c>
      <c r="D11" s="4" t="str">
        <f>ROUND('calc_homogeneidad'!$B$13,4)</f>
      </c>
      <c r="E11" s="4" t="str">
        <f>IFERROR(ABS(D11-C11),"")</f>
      </c>
      <c r="F11" s="3" t="n">
        <v>0.0005</v>
      </c>
      <c r="G11" s="5" t="str">
        <f>IF(E11="","Pendiente",IF(E11&lt;=F11,"OK","FALLA"))</f>
      </c>
    </row>
    <row r="12">
      <c r="A12" s="3" t="s">
        <v>82</v>
      </c>
      <c r="B12" s="3" t="s">
        <v>85</v>
      </c>
      <c r="C12" s="3" t="s">
        <v>86</v>
      </c>
      <c r="D12" s="4" t="str">
        <f>ROUND('calc_homogeneidad'!$B$14,4)</f>
      </c>
      <c r="E12" s="4" t="str">
        <f>IFERROR(ABS(D12-C12),"")</f>
      </c>
      <c r="F12" s="3" t="n">
        <v>0.0005</v>
      </c>
      <c r="G12" s="5" t="str">
        <f>IF(E12="","Pendiente",IF(E12&lt;=F12,"OK","FALLA"))</f>
      </c>
    </row>
    <row r="13">
      <c r="A13" s="3" t="s">
        <v>82</v>
      </c>
      <c r="B13" s="3" t="s">
        <v>87</v>
      </c>
      <c r="C13" s="3" t="s">
        <v>88</v>
      </c>
      <c r="D13" s="4" t="str">
        <f>ROUND('calc_homogeneidad'!$B$15,4)</f>
      </c>
      <c r="E13" s="4" t="str">
        <f>IFERROR(ABS(D13-C13),"")</f>
      </c>
      <c r="F13" s="3" t="n">
        <v>0.0005</v>
      </c>
      <c r="G13" s="5" t="str">
        <f>IF(E13="","Pendiente",IF(E13&lt;=F13,"OK","FALLA"))</f>
      </c>
    </row>
    <row r="14">
      <c r="A14" s="3" t="s">
        <v>82</v>
      </c>
      <c r="B14" s="3" t="s">
        <v>89</v>
      </c>
      <c r="C14" s="3" t="s">
        <v>90</v>
      </c>
      <c r="D14" s="4" t="str">
        <f>ROUND('calc_homogeneidad'!$B$16,4)</f>
      </c>
      <c r="E14" s="4" t="str">
        <f>IFERROR(ABS(D14-C14),"")</f>
      </c>
      <c r="F14" s="3" t="n">
        <v>0.0005</v>
      </c>
      <c r="G14" s="5" t="str">
        <f>IF(E14="","Pendiente",IF(E14&lt;=F14,"OK","FALLA"))</f>
      </c>
    </row>
    <row r="15">
      <c r="A15" s="3" t="s">
        <v>82</v>
      </c>
      <c r="B15" s="3" t="s">
        <v>91</v>
      </c>
      <c r="C15" s="3" t="s">
        <v>92</v>
      </c>
      <c r="D15" s="4" t="str">
        <f>ROUND('calc_homogeneidad'!$B$17,4)</f>
      </c>
      <c r="E15" s="4" t="str">
        <f>IFERROR(ABS(D15-C15),"")</f>
      </c>
      <c r="F15" s="3" t="n">
        <v>0.0005</v>
      </c>
      <c r="G15" s="5" t="str">
        <f>IF(E15="","Pendiente",IF(E15&lt;=F15,"OK","FALLA"))</f>
      </c>
    </row>
  </sheetData>
  <conditionalFormatting sqref="G2:G15">
    <cfRule type="expression" dxfId="0" priority="2">
      <formula>G2="OK"</formula>
    </cfRule>
    <cfRule type="expression" dxfId="1" priority="1">
      <formula>G2="FALLA"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9.71" hidden="0" customWidth="1"/>
    <col min="2" max="2" width="8.71" hidden="0" customWidth="1"/>
    <col min="3" max="3" width="8.71" hidden="0" customWidth="1"/>
    <col min="4" max="4" width="16.71" hidden="0" customWidth="1"/>
    <col min="5" max="5" width="14.71" hidden="0" customWidth="1"/>
    <col min="6" max="6" width="17.71" hidden="0" customWidth="1"/>
  </cols>
  <sheetData>
    <row r="1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>
      <c r="A2" s="3" t="n">
        <v>1</v>
      </c>
      <c r="B2" s="3" t="n">
        <v>180.423</v>
      </c>
      <c r="C2" s="3" t="n">
        <v>176.484</v>
      </c>
      <c r="D2" s="4" t="str">
        <f>AVERAGE(B2:C2)</f>
      </c>
      <c r="E2" s="4" t="str">
        <f>ABS(B2-C2)</f>
      </c>
      <c r="F2" s="4" t="str">
        <f>ABS(C2-MEDIAN($B$2:$B$3))</f>
      </c>
    </row>
    <row r="3">
      <c r="A3" s="3" t="n">
        <v>2</v>
      </c>
      <c r="B3" s="3" t="n">
        <v>180.41</v>
      </c>
      <c r="C3" s="3" t="n">
        <v>176.491</v>
      </c>
      <c r="D3" s="4" t="str">
        <f>AVERAGE(B3:C3)</f>
      </c>
      <c r="E3" s="4" t="str">
        <f>ABS(B3-C3)</f>
      </c>
      <c r="F3" s="4" t="str">
        <f>ABS(C3-MEDIAN($B$2:$B$3))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23.71" hidden="0" customWidth="1"/>
    <col min="2" max="2" width="5.71" hidden="0" customWidth="1"/>
    <col min="3" max="3" width="45.71" hidden="0" customWidth="1"/>
  </cols>
  <sheetData>
    <row r="1">
      <c r="A1" s="2" t="s">
        <v>26</v>
      </c>
      <c r="B1" s="2" t="s">
        <v>27</v>
      </c>
      <c r="C1" s="2" t="s">
        <v>28</v>
      </c>
    </row>
    <row r="2">
      <c r="A2" s="3" t="s">
        <v>93</v>
      </c>
      <c r="B2" s="4" t="str">
        <f>COUNT('datos_estabilidad'!$B$2:$B$3)</f>
      </c>
      <c r="C2" s="3" t="s">
        <v>94</v>
      </c>
    </row>
    <row r="3">
      <c r="A3" s="3" t="s">
        <v>95</v>
      </c>
      <c r="B3" s="4" t="str">
        <f>2</f>
      </c>
      <c r="C3" s="3" t="s">
        <v>96</v>
      </c>
    </row>
    <row r="4">
      <c r="A4" s="3" t="s">
        <v>97</v>
      </c>
      <c r="B4" s="4" t="str">
        <f>AVERAGE('datos_estabilidad'!$B$2:$B$3,'datos_estabilidad'!$C$2:$C$3)</f>
      </c>
      <c r="C4" s="3" t="s">
        <v>98</v>
      </c>
    </row>
    <row r="5">
      <c r="A5" s="3" t="s">
        <v>99</v>
      </c>
      <c r="B5" s="4" t="str">
        <f>MEDIAN('datos_estabilidad'!$B$2:$B$3)</f>
      </c>
      <c r="C5" s="3" t="s">
        <v>100</v>
      </c>
    </row>
    <row r="6">
      <c r="A6" s="3" t="s">
        <v>101</v>
      </c>
      <c r="B6" s="4" t="str">
        <f>VAR('datos_estabilidad'!$D$2:$D$3)</f>
      </c>
      <c r="C6" s="3" t="s">
        <v>102</v>
      </c>
    </row>
    <row r="7">
      <c r="A7" s="3" t="s">
        <v>103</v>
      </c>
      <c r="B7" s="4" t="str">
        <f>SQRT(SUMSQ('datos_estabilidad'!$E$2:$E$3)/(2*B2))</f>
      </c>
      <c r="C7" s="3" t="s">
        <v>40</v>
      </c>
    </row>
    <row r="8">
      <c r="A8" s="3" t="s">
        <v>104</v>
      </c>
      <c r="B8" s="4" t="str">
        <f>ABS(B6-(B7^2/B3))</f>
      </c>
      <c r="C8" s="3" t="s">
        <v>105</v>
      </c>
    </row>
    <row r="9">
      <c r="A9" s="3" t="s">
        <v>106</v>
      </c>
      <c r="B9" s="4" t="str">
        <f>SQRT(B8)</f>
      </c>
      <c r="C9" s="3" t="s">
        <v>107</v>
      </c>
    </row>
    <row r="10">
      <c r="A10" s="3" t="s">
        <v>108</v>
      </c>
      <c r="B10" s="4" t="str">
        <f>ABS(B4-'calc_homogeneidad'!$B$4)</f>
      </c>
      <c r="C10" s="3" t="s">
        <v>109</v>
      </c>
    </row>
    <row r="11">
      <c r="A11" s="3" t="s">
        <v>110</v>
      </c>
      <c r="B11" s="4" t="str">
        <f>IFERROR(STDEV.S('datos_homogeneidad'!$B$2:$C$3)/SQRT(COUNT('datos_homogeneidad'!$B$2:$C$3)),0)</f>
      </c>
      <c r="C11" s="3" t="s">
        <v>111</v>
      </c>
    </row>
    <row r="12">
      <c r="A12" s="3" t="s">
        <v>112</v>
      </c>
      <c r="B12" s="4" t="str">
        <f>IFERROR(STDEV.S('datos_estabilidad'!$B$2:$C$3)/SQRT(COUNT('datos_estabilidad'!$B$2:$C$3)),0)</f>
      </c>
      <c r="C12" s="3" t="s">
        <v>113</v>
      </c>
    </row>
    <row r="13">
      <c r="A13" s="3" t="s">
        <v>61</v>
      </c>
      <c r="B13" s="4" t="str">
        <f>'calc_homogeneidad'!$B$18</f>
      </c>
      <c r="C13" s="3" t="s">
        <v>114</v>
      </c>
    </row>
    <row r="14">
      <c r="A14" s="3" t="s">
        <v>115</v>
      </c>
      <c r="B14" s="4" t="str">
        <f>B13+2*SQRT(B11^2+B12^2)</f>
      </c>
      <c r="C14" s="3" t="s">
        <v>116</v>
      </c>
    </row>
    <row r="15">
      <c r="A15" s="3" t="s">
        <v>63</v>
      </c>
      <c r="B15" s="4" t="str">
        <f>'calc_homogeneidad'!$B$19</f>
      </c>
      <c r="C15" s="3" t="s">
        <v>117</v>
      </c>
    </row>
    <row r="16">
      <c r="A16" s="3" t="s">
        <v>118</v>
      </c>
      <c r="B16" s="4" t="str">
        <f>B15+2*SQRT(B11^2+B12^2)</f>
      </c>
      <c r="C16" s="3" t="s">
        <v>119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4.71" hidden="0" customWidth="1"/>
    <col min="2" max="2" width="24.71" hidden="0" customWidth="1"/>
    <col min="3" max="3" width="9.71" hidden="0" customWidth="1"/>
    <col min="4" max="4" width="9.71" hidden="0" customWidth="1"/>
    <col min="5" max="5" width="9.71" hidden="0" customWidth="1"/>
    <col min="6" max="6" width="10.71" hidden="0" customWidth="1"/>
    <col min="7" max="7" width="6.71" hidden="0" customWidth="1"/>
  </cols>
  <sheetData>
    <row r="1">
      <c r="A1" s="2" t="s">
        <v>65</v>
      </c>
      <c r="B1" s="2" t="s">
        <v>26</v>
      </c>
      <c r="C1" s="2" t="s">
        <v>66</v>
      </c>
      <c r="D1" s="2" t="s">
        <v>67</v>
      </c>
      <c r="E1" s="2" t="s">
        <v>68</v>
      </c>
      <c r="F1" s="2" t="s">
        <v>69</v>
      </c>
      <c r="G1" s="2" t="s">
        <v>70</v>
      </c>
    </row>
    <row r="2">
      <c r="A2" s="3" t="s">
        <v>71</v>
      </c>
      <c r="B2" s="3" t="s">
        <v>72</v>
      </c>
      <c r="C2" s="3" t="s">
        <v>73</v>
      </c>
      <c r="D2" s="4" t="str">
        <f>'calc_homogeneidad'!$B$2</f>
      </c>
      <c r="E2" s="4" t="str">
        <f>IFERROR(ABS(D2-C2),"")</f>
      </c>
      <c r="F2" s="3" t="n">
        <v>0.0005</v>
      </c>
      <c r="G2" s="5" t="str">
        <f>IF(E2="","Pendiente",IF(E2&lt;=F2,"OK","FALLA"))</f>
      </c>
    </row>
    <row r="3">
      <c r="A3" s="3" t="s">
        <v>71</v>
      </c>
      <c r="B3" s="3" t="s">
        <v>74</v>
      </c>
      <c r="C3" s="3" t="s">
        <v>75</v>
      </c>
      <c r="D3" s="4" t="str">
        <f>'calc_homogeneidad'!$B$3</f>
      </c>
      <c r="E3" s="4" t="str">
        <f>IFERROR(ABS(D3-C3),"")</f>
      </c>
      <c r="F3" s="3" t="n">
        <v>0.0005</v>
      </c>
      <c r="G3" s="5" t="str">
        <f>IF(E3="","Pendiente",IF(E3&lt;=F3,"OK","FALLA"))</f>
      </c>
    </row>
    <row r="4">
      <c r="A4" s="3" t="s">
        <v>71</v>
      </c>
      <c r="B4" s="3" t="s">
        <v>76</v>
      </c>
      <c r="C4" s="3" t="s">
        <v>77</v>
      </c>
      <c r="D4" s="4" t="str">
        <f>ROUND('calc_homogeneidad'!$B$5,4)</f>
      </c>
      <c r="E4" s="4" t="str">
        <f>IFERROR(ABS(D4-C4),"")</f>
      </c>
      <c r="F4" s="3" t="n">
        <v>0.0005</v>
      </c>
      <c r="G4" s="5" t="str">
        <f>IF(E4="","Pendiente",IF(E4&lt;=F4,"OK","FALLA"))</f>
      </c>
    </row>
    <row r="5">
      <c r="A5" s="3" t="s">
        <v>71</v>
      </c>
      <c r="B5" s="3" t="s">
        <v>78</v>
      </c>
      <c r="C5" s="3" t="s">
        <v>79</v>
      </c>
      <c r="D5" s="4" t="str">
        <f>ROUND('calc_homogeneidad'!$B$11,4)</f>
      </c>
      <c r="E5" s="4" t="str">
        <f>IFERROR(ABS(D5-C5),"")</f>
      </c>
      <c r="F5" s="3" t="n">
        <v>0.0005</v>
      </c>
      <c r="G5" s="5" t="str">
        <f>IF(E5="","Pendiente",IF(E5&lt;=F5,"OK","FALLA"))</f>
      </c>
    </row>
    <row r="6">
      <c r="A6" s="3" t="s">
        <v>71</v>
      </c>
      <c r="B6" s="3" t="s">
        <v>80</v>
      </c>
      <c r="C6" s="3" t="s">
        <v>79</v>
      </c>
      <c r="D6" s="4" t="str">
        <f>ROUND('calc_homogeneidad'!$B$11,4)</f>
      </c>
      <c r="E6" s="4" t="str">
        <f>IFERROR(ABS(D6-C6),"")</f>
      </c>
      <c r="F6" s="3" t="n">
        <v>0.0005</v>
      </c>
      <c r="G6" s="5" t="str">
        <f>IF(E6="","Pendiente",IF(E6&lt;=F6,"OK","FALLA"))</f>
      </c>
    </row>
    <row r="7">
      <c r="A7" s="3" t="s">
        <v>71</v>
      </c>
      <c r="B7" s="3" t="s">
        <v>49</v>
      </c>
      <c r="C7" s="3" t="s">
        <v>81</v>
      </c>
      <c r="D7" s="4" t="str">
        <f>ROUND('calc_homogeneidad'!$B$12,4)</f>
      </c>
      <c r="E7" s="4" t="str">
        <f>IFERROR(ABS(D7-C7),"")</f>
      </c>
      <c r="F7" s="3" t="n">
        <v>0.0005</v>
      </c>
      <c r="G7" s="5" t="str">
        <f>IF(E7="","Pendiente",IF(E7&lt;=F7,"OK","FALLA"))</f>
      </c>
    </row>
    <row r="8">
      <c r="A8" s="3" t="s">
        <v>82</v>
      </c>
      <c r="B8" s="3" t="s">
        <v>72</v>
      </c>
      <c r="C8" s="3" t="s">
        <v>73</v>
      </c>
      <c r="D8" s="4" t="str">
        <f>'calc_homogeneidad'!$B$2</f>
      </c>
      <c r="E8" s="4" t="str">
        <f>IFERROR(ABS(D8-C8),"")</f>
      </c>
      <c r="F8" s="3" t="n">
        <v>0.0005</v>
      </c>
      <c r="G8" s="5" t="str">
        <f>IF(E8="","Pendiente",IF(E8&lt;=F8,"OK","FALLA"))</f>
      </c>
    </row>
    <row r="9">
      <c r="A9" s="3" t="s">
        <v>82</v>
      </c>
      <c r="B9" s="3" t="s">
        <v>74</v>
      </c>
      <c r="C9" s="3" t="s">
        <v>75</v>
      </c>
      <c r="D9" s="4" t="str">
        <f>'calc_homogeneidad'!$B$3</f>
      </c>
      <c r="E9" s="4" t="str">
        <f>IFERROR(ABS(D9-C9),"")</f>
      </c>
      <c r="F9" s="3" t="n">
        <v>0.0005</v>
      </c>
      <c r="G9" s="5" t="str">
        <f>IF(E9="","Pendiente",IF(E9&lt;=F9,"OK","FALLA"))</f>
      </c>
    </row>
    <row r="10">
      <c r="A10" s="3" t="s">
        <v>82</v>
      </c>
      <c r="B10" s="3" t="s">
        <v>76</v>
      </c>
      <c r="C10" s="3" t="s">
        <v>77</v>
      </c>
      <c r="D10" s="4" t="str">
        <f>ROUND('calc_homogeneidad'!$B$5,4)</f>
      </c>
      <c r="E10" s="4" t="str">
        <f>IFERROR(ABS(D10-C10),"")</f>
      </c>
      <c r="F10" s="3" t="n">
        <v>0.0005</v>
      </c>
      <c r="G10" s="5" t="str">
        <f>IF(E10="","Pendiente",IF(E10&lt;=F10,"OK","FALLA"))</f>
      </c>
    </row>
    <row r="11">
      <c r="A11" s="3" t="s">
        <v>82</v>
      </c>
      <c r="B11" s="3" t="s">
        <v>83</v>
      </c>
      <c r="C11" s="3" t="s">
        <v>84</v>
      </c>
      <c r="D11" s="4" t="str">
        <f>ROUND('calc_homogeneidad'!$B$13,4)</f>
      </c>
      <c r="E11" s="4" t="str">
        <f>IFERROR(ABS(D11-C11),"")</f>
      </c>
      <c r="F11" s="3" t="n">
        <v>0.0005</v>
      </c>
      <c r="G11" s="5" t="str">
        <f>IF(E11="","Pendiente",IF(E11&lt;=F11,"OK","FALLA"))</f>
      </c>
    </row>
    <row r="12">
      <c r="A12" s="3" t="s">
        <v>82</v>
      </c>
      <c r="B12" s="3" t="s">
        <v>85</v>
      </c>
      <c r="C12" s="3" t="s">
        <v>86</v>
      </c>
      <c r="D12" s="4" t="str">
        <f>ROUND('calc_homogeneidad'!$B$14,4)</f>
      </c>
      <c r="E12" s="4" t="str">
        <f>IFERROR(ABS(D12-C12),"")</f>
      </c>
      <c r="F12" s="3" t="n">
        <v>0.0005</v>
      </c>
      <c r="G12" s="5" t="str">
        <f>IF(E12="","Pendiente",IF(E12&lt;=F12,"OK","FALLA"))</f>
      </c>
    </row>
    <row r="13">
      <c r="A13" s="3" t="s">
        <v>82</v>
      </c>
      <c r="B13" s="3" t="s">
        <v>87</v>
      </c>
      <c r="C13" s="3" t="s">
        <v>88</v>
      </c>
      <c r="D13" s="4" t="str">
        <f>ROUND('calc_homogeneidad'!$B$15,4)</f>
      </c>
      <c r="E13" s="4" t="str">
        <f>IFERROR(ABS(D13-C13),"")</f>
      </c>
      <c r="F13" s="3" t="n">
        <v>0.0005</v>
      </c>
      <c r="G13" s="5" t="str">
        <f>IF(E13="","Pendiente",IF(E13&lt;=F13,"OK","FALLA"))</f>
      </c>
    </row>
    <row r="14">
      <c r="A14" s="3" t="s">
        <v>82</v>
      </c>
      <c r="B14" s="3" t="s">
        <v>89</v>
      </c>
      <c r="C14" s="3" t="s">
        <v>90</v>
      </c>
      <c r="D14" s="4" t="str">
        <f>ROUND('calc_homogeneidad'!$B$16,4)</f>
      </c>
      <c r="E14" s="4" t="str">
        <f>IFERROR(ABS(D14-C14),"")</f>
      </c>
      <c r="F14" s="3" t="n">
        <v>0.0005</v>
      </c>
      <c r="G14" s="5" t="str">
        <f>IF(E14="","Pendiente",IF(E14&lt;=F14,"OK","FALLA"))</f>
      </c>
    </row>
    <row r="15">
      <c r="A15" s="3" t="s">
        <v>82</v>
      </c>
      <c r="B15" s="3" t="s">
        <v>91</v>
      </c>
      <c r="C15" s="3" t="s">
        <v>92</v>
      </c>
      <c r="D15" s="4" t="str">
        <f>ROUND('calc_homogeneidad'!$B$17,4)</f>
      </c>
      <c r="E15" s="4" t="str">
        <f>IFERROR(ABS(D15-C15),"")</f>
      </c>
      <c r="F15" s="3" t="n">
        <v>0.0005</v>
      </c>
      <c r="G15" s="5" t="str">
        <f>IF(E15="","Pendiente",IF(E15&lt;=F15,"OK","FALLA"))</f>
      </c>
    </row>
  </sheetData>
  <conditionalFormatting sqref="G2:G15">
    <cfRule type="expression" dxfId="0" priority="2">
      <formula>G2="OK"</formula>
    </cfRule>
    <cfRule type="expression" dxfId="1" priority="1">
      <formula>G2="FALLA"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4.71" hidden="0" customWidth="1"/>
    <col min="2" max="2" width="9.71" hidden="0" customWidth="1"/>
    <col min="3" max="3" width="12.71" hidden="0" customWidth="1"/>
    <col min="4" max="4" width="11.71" hidden="0" customWidth="1"/>
    <col min="5" max="5" width="11.71" hidden="0" customWidth="1"/>
    <col min="6" max="6" width="11.71" hidden="0" customWidth="1"/>
    <col min="7" max="7" width="9.71" hidden="0" customWidth="1"/>
  </cols>
  <sheetData>
    <row r="1">
      <c r="A1" s="2" t="s">
        <v>120</v>
      </c>
      <c r="B1" s="2" t="s">
        <v>121</v>
      </c>
      <c r="C1" s="2" t="s">
        <v>122</v>
      </c>
      <c r="D1" s="2" t="s">
        <v>123</v>
      </c>
      <c r="E1" s="2" t="s">
        <v>124</v>
      </c>
      <c r="F1" s="2" t="s">
        <v>125</v>
      </c>
      <c r="G1" s="2" t="s">
        <v>126</v>
      </c>
    </row>
    <row r="2">
      <c r="A2" s="3" t="s">
        <v>127</v>
      </c>
      <c r="B2" s="3" t="s">
        <v>8</v>
      </c>
      <c r="C2" s="3" t="s">
        <v>6</v>
      </c>
      <c r="D2" s="3" t="n">
        <v>178.722333333333</v>
      </c>
      <c r="E2" s="3" t="n">
        <v>1.96266666666667</v>
      </c>
      <c r="F2" s="3" t="n">
        <v>0.334578968165167</v>
      </c>
      <c r="G2" s="4" t="str">
        <f>IFERROR(F2/SQRT(3),"")</f>
      </c>
    </row>
    <row r="3">
      <c r="A3" s="3" t="s">
        <v>128</v>
      </c>
      <c r="B3" s="3" t="s">
        <v>8</v>
      </c>
      <c r="C3" s="3" t="s">
        <v>6</v>
      </c>
      <c r="D3" s="3" t="n">
        <v>177.981666666667</v>
      </c>
      <c r="E3" s="3" t="n">
        <v>2</v>
      </c>
      <c r="F3" s="3" t="n">
        <v>0.414358062941227</v>
      </c>
      <c r="G3" s="4" t="str">
        <f>IFERROR(F3/SQRT(3),"")</f>
      </c>
    </row>
    <row r="4">
      <c r="A4" s="3" t="s">
        <v>129</v>
      </c>
      <c r="B4" s="3" t="s">
        <v>8</v>
      </c>
      <c r="C4" s="3" t="s">
        <v>6</v>
      </c>
      <c r="D4" s="3" t="n">
        <v>179.610333333333</v>
      </c>
      <c r="E4" s="3" t="n">
        <v>1.30033333333333</v>
      </c>
      <c r="F4" s="3" t="n">
        <v>0.380761268150885</v>
      </c>
      <c r="G4" s="4" t="str">
        <f>IFERROR(F4/SQRT(3),"")</f>
      </c>
    </row>
    <row r="5">
      <c r="A5" s="3" t="s">
        <v>130</v>
      </c>
      <c r="B5" s="3" t="s">
        <v>8</v>
      </c>
      <c r="C5" s="3" t="s">
        <v>6</v>
      </c>
      <c r="D5" s="3" t="n">
        <v>178.669666666667</v>
      </c>
      <c r="E5" s="3" t="n">
        <v>2.00566666666667</v>
      </c>
      <c r="F5" s="3" t="n">
        <v>0.343658946047462</v>
      </c>
      <c r="G5" s="4" t="str">
        <f>IFERROR(F5/SQRT(3),"")</f>
      </c>
    </row>
    <row r="6">
      <c r="A6" s="3" t="s">
        <v>131</v>
      </c>
      <c r="B6" s="3" t="s">
        <v>8</v>
      </c>
      <c r="C6" s="3" t="s">
        <v>6</v>
      </c>
      <c r="D6" s="3" t="n">
        <v>177.849</v>
      </c>
      <c r="E6" s="3" t="n">
        <v>2</v>
      </c>
      <c r="F6" s="3" t="n">
        <v>0.140176574676736</v>
      </c>
      <c r="G6" s="4" t="str">
        <f>IFERROR(F6/SQRT(3),"")</f>
      </c>
    </row>
    <row r="7">
      <c r="A7" s="3" t="s">
        <v>132</v>
      </c>
      <c r="B7" s="3" t="s">
        <v>8</v>
      </c>
      <c r="C7" s="3" t="s">
        <v>6</v>
      </c>
      <c r="D7" s="3" t="n">
        <v>178.039333333333</v>
      </c>
      <c r="E7" s="3" t="n">
        <v>2.06566666666667</v>
      </c>
      <c r="F7" s="3" t="n">
        <v>0.00796067860388924</v>
      </c>
      <c r="G7" s="4" t="str">
        <f>IFERROR(F7/SQRT(3),"")</f>
      </c>
    </row>
    <row r="8">
      <c r="A8" s="3" t="s">
        <v>133</v>
      </c>
      <c r="B8" s="3" t="s">
        <v>8</v>
      </c>
      <c r="C8" s="3" t="s">
        <v>6</v>
      </c>
      <c r="D8" s="3" t="n">
        <v>179.197666666667</v>
      </c>
      <c r="E8" s="3" t="n">
        <v>1.89233333333333</v>
      </c>
      <c r="F8" s="3" t="n">
        <v>0.23561544179908</v>
      </c>
      <c r="G8" s="4" t="str">
        <f>IFERROR(F8/SQRT(3),"")</f>
      </c>
    </row>
    <row r="9">
      <c r="A9" s="3" t="s">
        <v>134</v>
      </c>
      <c r="B9" s="3" t="s">
        <v>8</v>
      </c>
      <c r="C9" s="3" t="s">
        <v>6</v>
      </c>
      <c r="D9" s="3" t="n">
        <v>178.035</v>
      </c>
      <c r="E9" s="3" t="n">
        <v>2.02666666666667</v>
      </c>
      <c r="F9" s="3" t="n">
        <v>0.0202713981208594</v>
      </c>
      <c r="G9" s="4" t="str">
        <f>IFERROR(F9/SQRT(3),"")</f>
      </c>
    </row>
    <row r="10">
      <c r="A10" s="3" t="s">
        <v>135</v>
      </c>
      <c r="B10" s="3" t="s">
        <v>8</v>
      </c>
      <c r="C10" s="3" t="s">
        <v>6</v>
      </c>
      <c r="D10" s="3" t="n">
        <v>178.152666666667</v>
      </c>
      <c r="E10" s="3" t="n">
        <v>1.94533333333333</v>
      </c>
      <c r="F10" s="3" t="n">
        <v>0.498874552692086</v>
      </c>
      <c r="G10" s="4" t="str">
        <f>IFERROR(F10/SQRT(3),"")</f>
      </c>
    </row>
    <row r="11">
      <c r="A11" s="3" t="s">
        <v>136</v>
      </c>
      <c r="B11" s="3" t="s">
        <v>8</v>
      </c>
      <c r="C11" s="3" t="s">
        <v>6</v>
      </c>
      <c r="D11" s="3" t="n">
        <v>178.290666666667</v>
      </c>
      <c r="E11" s="3" t="n">
        <v>1.99733333333333</v>
      </c>
      <c r="F11" s="3" t="n">
        <v>0.355089886356072</v>
      </c>
      <c r="G11" s="4" t="str">
        <f>IFERROR(F11/SQRT(3),"")</f>
      </c>
    </row>
    <row r="12">
      <c r="A12" s="3" t="s">
        <v>137</v>
      </c>
      <c r="B12" s="3" t="s">
        <v>8</v>
      </c>
      <c r="C12" s="3" t="s">
        <v>6</v>
      </c>
      <c r="D12" s="3" t="n">
        <v>177.998333333333</v>
      </c>
      <c r="E12" s="3" t="n">
        <v>1.923</v>
      </c>
      <c r="F12" s="3" t="n">
        <v>0.46269516615466</v>
      </c>
      <c r="G12" s="4" t="str">
        <f>IFERROR(F12/SQRT(3),"")</f>
      </c>
    </row>
    <row r="13">
      <c r="A13" s="3" t="s">
        <v>138</v>
      </c>
      <c r="B13" s="3" t="s">
        <v>8</v>
      </c>
      <c r="C13" s="3" t="s">
        <v>6</v>
      </c>
      <c r="D13" s="3" t="n">
        <v>178.265333333333</v>
      </c>
      <c r="E13" s="3" t="n">
        <v>2.064</v>
      </c>
      <c r="F13" s="3" t="n">
        <v>0.236972481628575</v>
      </c>
      <c r="G13" s="4" t="str">
        <f>IFERROR(F13/SQRT(3),"")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9.71" hidden="0" customWidth="1"/>
    <col min="2" max="2" width="12.71" hidden="0" customWidth="1"/>
    <col min="3" max="3" width="14.71" hidden="0" customWidth="1"/>
    <col min="4" max="4" width="10.71" hidden="0" customWidth="1"/>
    <col min="5" max="5" width="8.71" hidden="0" customWidth="1"/>
    <col min="6" max="6" width="8.71" hidden="0" customWidth="1"/>
    <col min="7" max="7" width="11.71" hidden="0" customWidth="1"/>
  </cols>
  <sheetData>
    <row r="1">
      <c r="A1" s="2" t="s">
        <v>121</v>
      </c>
      <c r="B1" s="2" t="s">
        <v>122</v>
      </c>
      <c r="C1" s="2" t="s">
        <v>120</v>
      </c>
      <c r="D1" s="2" t="s">
        <v>123</v>
      </c>
      <c r="E1" s="2" t="s">
        <v>124</v>
      </c>
      <c r="F1" s="2" t="s">
        <v>139</v>
      </c>
      <c r="G1" s="2" t="s">
        <v>140</v>
      </c>
    </row>
    <row r="2">
      <c r="A2" s="3" t="s">
        <v>8</v>
      </c>
      <c r="B2" s="3" t="s">
        <v>6</v>
      </c>
      <c r="C2" s="3" t="s">
        <v>141</v>
      </c>
      <c r="D2" s="3" t="n">
        <v>177.614</v>
      </c>
      <c r="E2" s="3" t="n">
        <v>1.781</v>
      </c>
      <c r="F2" s="4" t="str">
        <f>AVERAGE(D2)</f>
      </c>
      <c r="G2" s="4" t="str">
        <f>IFERROR(STDEV.S(D2)/SQRT(COUNT(D2)),"")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8.71" hidden="0" customWidth="1"/>
    <col min="2" max="2" width="9.71" hidden="0" customWidth="1"/>
    <col min="3" max="3" width="5.71" hidden="0" customWidth="1"/>
    <col min="4" max="4" width="12.71" hidden="0" customWidth="1"/>
    <col min="5" max="5" width="22.71" hidden="0" customWidth="1"/>
    <col min="6" max="6" width="34.71" hidden="0" customWidth="1"/>
    <col min="7" max="7" width="28.71" hidden="0" customWidth="1"/>
    <col min="8" max="8" width="23.71" hidden="0" customWidth="1"/>
    <col min="9" max="9" width="14.71" hidden="0" customWidth="1"/>
    <col min="10" max="10" width="18.71" hidden="0" customWidth="1"/>
    <col min="11" max="11" width="16.71" hidden="0" customWidth="1"/>
    <col min="12" max="12" width="17.71" hidden="0" customWidth="1"/>
    <col min="13" max="13" width="17.71" hidden="0" customWidth="1"/>
    <col min="14" max="14" width="16.71" hidden="0" customWidth="1"/>
    <col min="15" max="15" width="17.71" hidden="0" customWidth="1"/>
    <col min="16" max="16" width="16.71" hidden="0" customWidth="1"/>
    <col min="17" max="17" width="16.71" hidden="0" customWidth="1"/>
    <col min="18" max="18" width="14.71" hidden="0" customWidth="1"/>
    <col min="19" max="19" width="32.71" hidden="0" customWidth="1"/>
    <col min="20" max="20" width="14.71" hidden="0" customWidth="1"/>
    <col min="21" max="21" width="16.71" hidden="0" customWidth="1"/>
    <col min="22" max="22" width="19.71" hidden="0" customWidth="1"/>
    <col min="23" max="23" width="18.71" hidden="0" customWidth="1"/>
    <col min="24" max="24" width="16.71" hidden="0" customWidth="1"/>
    <col min="25" max="25" width="19.71" hidden="0" customWidth="1"/>
    <col min="26" max="26" width="18.71" hidden="0" customWidth="1"/>
    <col min="27" max="27" width="19.71" hidden="0" customWidth="1"/>
    <col min="28" max="28" width="15.71" hidden="0" customWidth="1"/>
    <col min="29" max="29" width="19.71" hidden="0" customWidth="1"/>
    <col min="30" max="30" width="13.71" hidden="0" customWidth="1"/>
    <col min="31" max="31" width="7.71" hidden="0" customWidth="1"/>
    <col min="32" max="32" width="3.71" hidden="0" customWidth="1"/>
    <col min="33" max="33" width="13.71" hidden="0" customWidth="1"/>
    <col min="34" max="34" width="12.71" hidden="0" customWidth="1"/>
    <col min="35" max="35" width="16.71" hidden="0" customWidth="1"/>
  </cols>
  <sheetData>
    <row r="1">
      <c r="A1" s="2" t="s">
        <v>142</v>
      </c>
      <c r="B1" s="2" t="s">
        <v>121</v>
      </c>
      <c r="C1" s="2" t="s">
        <v>143</v>
      </c>
      <c r="D1" s="2" t="s">
        <v>122</v>
      </c>
      <c r="E1" s="2" t="s">
        <v>144</v>
      </c>
      <c r="F1" s="2" t="s">
        <v>65</v>
      </c>
      <c r="G1" s="2" t="s">
        <v>26</v>
      </c>
      <c r="H1" s="2" t="s">
        <v>66</v>
      </c>
      <c r="I1" s="2" t="s">
        <v>145</v>
      </c>
      <c r="J1" s="2" t="s">
        <v>146</v>
      </c>
      <c r="K1" s="2" t="s">
        <v>35</v>
      </c>
      <c r="L1" s="2" t="s">
        <v>147</v>
      </c>
      <c r="M1" s="2" t="s">
        <v>148</v>
      </c>
      <c r="N1" s="2" t="s">
        <v>149</v>
      </c>
      <c r="O1" s="2" t="s">
        <v>150</v>
      </c>
      <c r="P1" s="2" t="s">
        <v>151</v>
      </c>
      <c r="Q1" s="2" t="s">
        <v>152</v>
      </c>
      <c r="R1" s="2" t="s">
        <v>153</v>
      </c>
      <c r="S1" s="2" t="s">
        <v>1</v>
      </c>
      <c r="T1" s="2" t="s">
        <v>120</v>
      </c>
      <c r="U1" s="2" t="s">
        <v>154</v>
      </c>
      <c r="V1" s="2" t="s">
        <v>155</v>
      </c>
      <c r="W1" s="2" t="s">
        <v>156</v>
      </c>
      <c r="X1" s="2" t="s">
        <v>157</v>
      </c>
      <c r="Y1" s="2" t="s">
        <v>158</v>
      </c>
      <c r="Z1" s="2" t="s">
        <v>159</v>
      </c>
      <c r="AA1" s="2" t="s">
        <v>160</v>
      </c>
      <c r="AB1" s="2" t="s">
        <v>161</v>
      </c>
      <c r="AC1" s="2" t="s">
        <v>162</v>
      </c>
      <c r="AD1" s="2" t="s">
        <v>163</v>
      </c>
      <c r="AE1" s="2" t="s">
        <v>164</v>
      </c>
      <c r="AF1" s="2" t="s">
        <v>165</v>
      </c>
      <c r="AG1" s="2" t="s">
        <v>166</v>
      </c>
      <c r="AH1" s="2" t="s">
        <v>167</v>
      </c>
      <c r="AI1" s="2" t="s">
        <v>168</v>
      </c>
    </row>
    <row r="2">
      <c r="A2" s="6" t="s">
        <v>4</v>
      </c>
      <c r="B2" s="6" t="s">
        <v>8</v>
      </c>
      <c r="C2" s="6" t="n">
        <v>13</v>
      </c>
      <c r="D2" s="6" t="s">
        <v>6</v>
      </c>
      <c r="E2" s="6" t="s">
        <v>169</v>
      </c>
      <c r="F2" s="6" t="s">
        <v>71</v>
      </c>
      <c r="G2" s="6" t="s">
        <v>72</v>
      </c>
      <c r="H2" s="6" t="s">
        <v>73</v>
      </c>
      <c r="I2" s="6" t="s">
        <v>25</v>
      </c>
      <c r="J2" s="6" t="s">
        <v>25</v>
      </c>
      <c r="K2" s="6" t="s">
        <v>25</v>
      </c>
      <c r="L2" s="6" t="s">
        <v>25</v>
      </c>
      <c r="M2" s="6" t="s">
        <v>25</v>
      </c>
      <c r="N2" s="6" t="s">
        <v>25</v>
      </c>
      <c r="O2" s="6" t="s">
        <v>25</v>
      </c>
      <c r="P2" s="6" t="s">
        <v>25</v>
      </c>
      <c r="Q2" s="6" t="s">
        <v>25</v>
      </c>
      <c r="R2" s="6" t="s">
        <v>25</v>
      </c>
      <c r="S2" s="6" t="s">
        <v>25</v>
      </c>
      <c r="T2" s="6" t="s">
        <v>25</v>
      </c>
      <c r="U2" s="6" t="s">
        <v>25</v>
      </c>
      <c r="V2" s="6" t="s">
        <v>25</v>
      </c>
      <c r="W2" s="6" t="s">
        <v>25</v>
      </c>
      <c r="X2" s="6" t="s">
        <v>25</v>
      </c>
      <c r="Y2" s="6" t="s">
        <v>25</v>
      </c>
      <c r="Z2" s="6" t="s">
        <v>25</v>
      </c>
      <c r="AA2" s="6" t="s">
        <v>25</v>
      </c>
      <c r="AB2" s="6" t="s">
        <v>25</v>
      </c>
      <c r="AC2" s="6" t="s">
        <v>25</v>
      </c>
      <c r="AD2" s="6" t="s">
        <v>25</v>
      </c>
      <c r="AE2" s="6" t="s">
        <v>25</v>
      </c>
      <c r="AF2" s="6" t="s">
        <v>25</v>
      </c>
      <c r="AG2" s="6" t="s">
        <v>25</v>
      </c>
      <c r="AH2" s="6" t="s">
        <v>25</v>
      </c>
      <c r="AI2" s="6" t="s">
        <v>25</v>
      </c>
    </row>
    <row r="3">
      <c r="A3" s="6" t="s">
        <v>4</v>
      </c>
      <c r="B3" s="6" t="s">
        <v>8</v>
      </c>
      <c r="C3" s="6" t="n">
        <v>13</v>
      </c>
      <c r="D3" s="6" t="s">
        <v>6</v>
      </c>
      <c r="E3" s="6" t="s">
        <v>169</v>
      </c>
      <c r="F3" s="6" t="s">
        <v>71</v>
      </c>
      <c r="G3" s="6" t="s">
        <v>74</v>
      </c>
      <c r="H3" s="6" t="s">
        <v>75</v>
      </c>
      <c r="I3" s="6" t="s">
        <v>25</v>
      </c>
      <c r="J3" s="6" t="s">
        <v>25</v>
      </c>
      <c r="K3" s="6" t="s">
        <v>25</v>
      </c>
      <c r="L3" s="6" t="s">
        <v>25</v>
      </c>
      <c r="M3" s="6" t="s">
        <v>25</v>
      </c>
      <c r="N3" s="6" t="s">
        <v>25</v>
      </c>
      <c r="O3" s="6" t="s">
        <v>25</v>
      </c>
      <c r="P3" s="6" t="s">
        <v>25</v>
      </c>
      <c r="Q3" s="6" t="s">
        <v>25</v>
      </c>
      <c r="R3" s="6" t="s">
        <v>25</v>
      </c>
      <c r="S3" s="6" t="s">
        <v>25</v>
      </c>
      <c r="T3" s="6" t="s">
        <v>25</v>
      </c>
      <c r="U3" s="6" t="s">
        <v>25</v>
      </c>
      <c r="V3" s="6" t="s">
        <v>25</v>
      </c>
      <c r="W3" s="6" t="s">
        <v>25</v>
      </c>
      <c r="X3" s="6" t="s">
        <v>25</v>
      </c>
      <c r="Y3" s="6" t="s">
        <v>25</v>
      </c>
      <c r="Z3" s="6" t="s">
        <v>25</v>
      </c>
      <c r="AA3" s="6" t="s">
        <v>25</v>
      </c>
      <c r="AB3" s="6" t="s">
        <v>25</v>
      </c>
      <c r="AC3" s="6" t="s">
        <v>25</v>
      </c>
      <c r="AD3" s="6" t="s">
        <v>25</v>
      </c>
      <c r="AE3" s="6" t="s">
        <v>25</v>
      </c>
      <c r="AF3" s="6" t="s">
        <v>25</v>
      </c>
      <c r="AG3" s="6" t="s">
        <v>25</v>
      </c>
      <c r="AH3" s="6" t="s">
        <v>25</v>
      </c>
      <c r="AI3" s="6" t="s">
        <v>25</v>
      </c>
    </row>
    <row r="4">
      <c r="A4" s="6" t="s">
        <v>4</v>
      </c>
      <c r="B4" s="6" t="s">
        <v>8</v>
      </c>
      <c r="C4" s="6" t="n">
        <v>13</v>
      </c>
      <c r="D4" s="6" t="s">
        <v>6</v>
      </c>
      <c r="E4" s="6" t="s">
        <v>169</v>
      </c>
      <c r="F4" s="6" t="s">
        <v>71</v>
      </c>
      <c r="G4" s="6" t="s">
        <v>76</v>
      </c>
      <c r="H4" s="6" t="s">
        <v>77</v>
      </c>
      <c r="I4" s="6" t="s">
        <v>25</v>
      </c>
      <c r="J4" s="6" t="s">
        <v>25</v>
      </c>
      <c r="K4" s="6" t="s">
        <v>25</v>
      </c>
      <c r="L4" s="6" t="s">
        <v>25</v>
      </c>
      <c r="M4" s="6" t="s">
        <v>25</v>
      </c>
      <c r="N4" s="6" t="s">
        <v>25</v>
      </c>
      <c r="O4" s="6" t="s">
        <v>25</v>
      </c>
      <c r="P4" s="6" t="s">
        <v>25</v>
      </c>
      <c r="Q4" s="6" t="s">
        <v>25</v>
      </c>
      <c r="R4" s="6" t="s">
        <v>25</v>
      </c>
      <c r="S4" s="6" t="s">
        <v>25</v>
      </c>
      <c r="T4" s="6" t="s">
        <v>25</v>
      </c>
      <c r="U4" s="6" t="s">
        <v>25</v>
      </c>
      <c r="V4" s="6" t="s">
        <v>25</v>
      </c>
      <c r="W4" s="6" t="s">
        <v>25</v>
      </c>
      <c r="X4" s="6" t="s">
        <v>25</v>
      </c>
      <c r="Y4" s="6" t="s">
        <v>25</v>
      </c>
      <c r="Z4" s="6" t="s">
        <v>25</v>
      </c>
      <c r="AA4" s="6" t="s">
        <v>25</v>
      </c>
      <c r="AB4" s="6" t="s">
        <v>25</v>
      </c>
      <c r="AC4" s="6" t="s">
        <v>25</v>
      </c>
      <c r="AD4" s="6" t="s">
        <v>25</v>
      </c>
      <c r="AE4" s="6" t="s">
        <v>25</v>
      </c>
      <c r="AF4" s="6" t="s">
        <v>25</v>
      </c>
      <c r="AG4" s="6" t="s">
        <v>25</v>
      </c>
      <c r="AH4" s="6" t="s">
        <v>25</v>
      </c>
      <c r="AI4" s="6" t="s">
        <v>25</v>
      </c>
    </row>
    <row r="5">
      <c r="A5" s="6" t="s">
        <v>4</v>
      </c>
      <c r="B5" s="6" t="s">
        <v>8</v>
      </c>
      <c r="C5" s="6" t="n">
        <v>13</v>
      </c>
      <c r="D5" s="6" t="s">
        <v>6</v>
      </c>
      <c r="E5" s="6" t="s">
        <v>169</v>
      </c>
      <c r="F5" s="6" t="s">
        <v>71</v>
      </c>
      <c r="G5" s="6" t="s">
        <v>78</v>
      </c>
      <c r="H5" s="6" t="s">
        <v>79</v>
      </c>
      <c r="I5" s="6" t="s">
        <v>25</v>
      </c>
      <c r="J5" s="6" t="s">
        <v>25</v>
      </c>
      <c r="K5" s="6" t="s">
        <v>25</v>
      </c>
      <c r="L5" s="6" t="s">
        <v>25</v>
      </c>
      <c r="M5" s="6" t="s">
        <v>25</v>
      </c>
      <c r="N5" s="6" t="s">
        <v>25</v>
      </c>
      <c r="O5" s="6" t="s">
        <v>25</v>
      </c>
      <c r="P5" s="6" t="s">
        <v>25</v>
      </c>
      <c r="Q5" s="6" t="s">
        <v>25</v>
      </c>
      <c r="R5" s="6" t="s">
        <v>25</v>
      </c>
      <c r="S5" s="6" t="s">
        <v>25</v>
      </c>
      <c r="T5" s="6" t="s">
        <v>25</v>
      </c>
      <c r="U5" s="6" t="s">
        <v>25</v>
      </c>
      <c r="V5" s="6" t="s">
        <v>25</v>
      </c>
      <c r="W5" s="6" t="s">
        <v>25</v>
      </c>
      <c r="X5" s="6" t="s">
        <v>25</v>
      </c>
      <c r="Y5" s="6" t="s">
        <v>25</v>
      </c>
      <c r="Z5" s="6" t="s">
        <v>25</v>
      </c>
      <c r="AA5" s="6" t="s">
        <v>25</v>
      </c>
      <c r="AB5" s="6" t="s">
        <v>25</v>
      </c>
      <c r="AC5" s="6" t="s">
        <v>25</v>
      </c>
      <c r="AD5" s="6" t="s">
        <v>25</v>
      </c>
      <c r="AE5" s="6" t="s">
        <v>25</v>
      </c>
      <c r="AF5" s="6" t="s">
        <v>25</v>
      </c>
      <c r="AG5" s="6" t="s">
        <v>25</v>
      </c>
      <c r="AH5" s="6" t="s">
        <v>25</v>
      </c>
      <c r="AI5" s="6" t="s">
        <v>25</v>
      </c>
    </row>
    <row r="6">
      <c r="A6" s="6" t="s">
        <v>4</v>
      </c>
      <c r="B6" s="6" t="s">
        <v>8</v>
      </c>
      <c r="C6" s="6" t="n">
        <v>13</v>
      </c>
      <c r="D6" s="6" t="s">
        <v>6</v>
      </c>
      <c r="E6" s="6" t="s">
        <v>169</v>
      </c>
      <c r="F6" s="6" t="s">
        <v>71</v>
      </c>
      <c r="G6" s="6" t="s">
        <v>80</v>
      </c>
      <c r="H6" s="6" t="s">
        <v>79</v>
      </c>
      <c r="I6" s="6" t="s">
        <v>25</v>
      </c>
      <c r="J6" s="6" t="s">
        <v>25</v>
      </c>
      <c r="K6" s="6" t="s">
        <v>25</v>
      </c>
      <c r="L6" s="6" t="s">
        <v>25</v>
      </c>
      <c r="M6" s="6" t="s">
        <v>25</v>
      </c>
      <c r="N6" s="6" t="s">
        <v>25</v>
      </c>
      <c r="O6" s="6" t="s">
        <v>25</v>
      </c>
      <c r="P6" s="6" t="s">
        <v>25</v>
      </c>
      <c r="Q6" s="6" t="s">
        <v>25</v>
      </c>
      <c r="R6" s="6" t="s">
        <v>25</v>
      </c>
      <c r="S6" s="6" t="s">
        <v>25</v>
      </c>
      <c r="T6" s="6" t="s">
        <v>25</v>
      </c>
      <c r="U6" s="6" t="s">
        <v>25</v>
      </c>
      <c r="V6" s="6" t="s">
        <v>25</v>
      </c>
      <c r="W6" s="6" t="s">
        <v>25</v>
      </c>
      <c r="X6" s="6" t="s">
        <v>25</v>
      </c>
      <c r="Y6" s="6" t="s">
        <v>25</v>
      </c>
      <c r="Z6" s="6" t="s">
        <v>25</v>
      </c>
      <c r="AA6" s="6" t="s">
        <v>25</v>
      </c>
      <c r="AB6" s="6" t="s">
        <v>25</v>
      </c>
      <c r="AC6" s="6" t="s">
        <v>25</v>
      </c>
      <c r="AD6" s="6" t="s">
        <v>25</v>
      </c>
      <c r="AE6" s="6" t="s">
        <v>25</v>
      </c>
      <c r="AF6" s="6" t="s">
        <v>25</v>
      </c>
      <c r="AG6" s="6" t="s">
        <v>25</v>
      </c>
      <c r="AH6" s="6" t="s">
        <v>25</v>
      </c>
      <c r="AI6" s="6" t="s">
        <v>25</v>
      </c>
    </row>
    <row r="7">
      <c r="A7" s="6" t="s">
        <v>4</v>
      </c>
      <c r="B7" s="6" t="s">
        <v>8</v>
      </c>
      <c r="C7" s="6" t="n">
        <v>13</v>
      </c>
      <c r="D7" s="6" t="s">
        <v>6</v>
      </c>
      <c r="E7" s="6" t="s">
        <v>169</v>
      </c>
      <c r="F7" s="6" t="s">
        <v>71</v>
      </c>
      <c r="G7" s="6" t="s">
        <v>49</v>
      </c>
      <c r="H7" s="6" t="s">
        <v>81</v>
      </c>
      <c r="I7" s="6" t="s">
        <v>25</v>
      </c>
      <c r="J7" s="6" t="s">
        <v>25</v>
      </c>
      <c r="K7" s="6" t="s">
        <v>25</v>
      </c>
      <c r="L7" s="6" t="s">
        <v>25</v>
      </c>
      <c r="M7" s="6" t="s">
        <v>25</v>
      </c>
      <c r="N7" s="6" t="s">
        <v>25</v>
      </c>
      <c r="O7" s="6" t="s">
        <v>25</v>
      </c>
      <c r="P7" s="6" t="s">
        <v>25</v>
      </c>
      <c r="Q7" s="6" t="s">
        <v>25</v>
      </c>
      <c r="R7" s="6" t="s">
        <v>25</v>
      </c>
      <c r="S7" s="6" t="s">
        <v>25</v>
      </c>
      <c r="T7" s="6" t="s">
        <v>25</v>
      </c>
      <c r="U7" s="6" t="s">
        <v>25</v>
      </c>
      <c r="V7" s="6" t="s">
        <v>25</v>
      </c>
      <c r="W7" s="6" t="s">
        <v>25</v>
      </c>
      <c r="X7" s="6" t="s">
        <v>25</v>
      </c>
      <c r="Y7" s="6" t="s">
        <v>25</v>
      </c>
      <c r="Z7" s="6" t="s">
        <v>25</v>
      </c>
      <c r="AA7" s="6" t="s">
        <v>25</v>
      </c>
      <c r="AB7" s="6" t="s">
        <v>25</v>
      </c>
      <c r="AC7" s="6" t="s">
        <v>25</v>
      </c>
      <c r="AD7" s="6" t="s">
        <v>25</v>
      </c>
      <c r="AE7" s="6" t="s">
        <v>25</v>
      </c>
      <c r="AF7" s="6" t="s">
        <v>25</v>
      </c>
      <c r="AG7" s="6" t="s">
        <v>25</v>
      </c>
      <c r="AH7" s="6" t="s">
        <v>25</v>
      </c>
      <c r="AI7" s="6" t="s">
        <v>25</v>
      </c>
    </row>
    <row r="8">
      <c r="A8" s="6" t="s">
        <v>4</v>
      </c>
      <c r="B8" s="6" t="s">
        <v>8</v>
      </c>
      <c r="C8" s="6" t="n">
        <v>13</v>
      </c>
      <c r="D8" s="6" t="s">
        <v>6</v>
      </c>
      <c r="E8" s="6" t="s">
        <v>169</v>
      </c>
      <c r="F8" s="6" t="s">
        <v>82</v>
      </c>
      <c r="G8" s="6" t="s">
        <v>72</v>
      </c>
      <c r="H8" s="6" t="s">
        <v>73</v>
      </c>
      <c r="I8" s="6" t="s">
        <v>25</v>
      </c>
      <c r="J8" s="6" t="s">
        <v>25</v>
      </c>
      <c r="K8" s="6" t="s">
        <v>25</v>
      </c>
      <c r="L8" s="6" t="s">
        <v>25</v>
      </c>
      <c r="M8" s="6" t="s">
        <v>25</v>
      </c>
      <c r="N8" s="6" t="s">
        <v>25</v>
      </c>
      <c r="O8" s="6" t="s">
        <v>25</v>
      </c>
      <c r="P8" s="6" t="s">
        <v>25</v>
      </c>
      <c r="Q8" s="6" t="s">
        <v>25</v>
      </c>
      <c r="R8" s="6" t="s">
        <v>25</v>
      </c>
      <c r="S8" s="6" t="s">
        <v>25</v>
      </c>
      <c r="T8" s="6" t="s">
        <v>25</v>
      </c>
      <c r="U8" s="6" t="s">
        <v>25</v>
      </c>
      <c r="V8" s="6" t="s">
        <v>25</v>
      </c>
      <c r="W8" s="6" t="s">
        <v>25</v>
      </c>
      <c r="X8" s="6" t="s">
        <v>25</v>
      </c>
      <c r="Y8" s="6" t="s">
        <v>25</v>
      </c>
      <c r="Z8" s="6" t="s">
        <v>25</v>
      </c>
      <c r="AA8" s="6" t="s">
        <v>25</v>
      </c>
      <c r="AB8" s="6" t="s">
        <v>25</v>
      </c>
      <c r="AC8" s="6" t="s">
        <v>25</v>
      </c>
      <c r="AD8" s="6" t="s">
        <v>25</v>
      </c>
      <c r="AE8" s="6" t="s">
        <v>25</v>
      </c>
      <c r="AF8" s="6" t="s">
        <v>25</v>
      </c>
      <c r="AG8" s="6" t="s">
        <v>25</v>
      </c>
      <c r="AH8" s="6" t="s">
        <v>25</v>
      </c>
      <c r="AI8" s="6" t="s">
        <v>25</v>
      </c>
    </row>
    <row r="9">
      <c r="A9" s="6" t="s">
        <v>4</v>
      </c>
      <c r="B9" s="6" t="s">
        <v>8</v>
      </c>
      <c r="C9" s="6" t="n">
        <v>13</v>
      </c>
      <c r="D9" s="6" t="s">
        <v>6</v>
      </c>
      <c r="E9" s="6" t="s">
        <v>169</v>
      </c>
      <c r="F9" s="6" t="s">
        <v>82</v>
      </c>
      <c r="G9" s="6" t="s">
        <v>74</v>
      </c>
      <c r="H9" s="6" t="s">
        <v>75</v>
      </c>
      <c r="I9" s="6" t="s">
        <v>25</v>
      </c>
      <c r="J9" s="6" t="s">
        <v>25</v>
      </c>
      <c r="K9" s="6" t="s">
        <v>25</v>
      </c>
      <c r="L9" s="6" t="s">
        <v>25</v>
      </c>
      <c r="M9" s="6" t="s">
        <v>25</v>
      </c>
      <c r="N9" s="6" t="s">
        <v>25</v>
      </c>
      <c r="O9" s="6" t="s">
        <v>25</v>
      </c>
      <c r="P9" s="6" t="s">
        <v>25</v>
      </c>
      <c r="Q9" s="6" t="s">
        <v>25</v>
      </c>
      <c r="R9" s="6" t="s">
        <v>25</v>
      </c>
      <c r="S9" s="6" t="s">
        <v>25</v>
      </c>
      <c r="T9" s="6" t="s">
        <v>25</v>
      </c>
      <c r="U9" s="6" t="s">
        <v>25</v>
      </c>
      <c r="V9" s="6" t="s">
        <v>25</v>
      </c>
      <c r="W9" s="6" t="s">
        <v>25</v>
      </c>
      <c r="X9" s="6" t="s">
        <v>25</v>
      </c>
      <c r="Y9" s="6" t="s">
        <v>25</v>
      </c>
      <c r="Z9" s="6" t="s">
        <v>25</v>
      </c>
      <c r="AA9" s="6" t="s">
        <v>25</v>
      </c>
      <c r="AB9" s="6" t="s">
        <v>25</v>
      </c>
      <c r="AC9" s="6" t="s">
        <v>25</v>
      </c>
      <c r="AD9" s="6" t="s">
        <v>25</v>
      </c>
      <c r="AE9" s="6" t="s">
        <v>25</v>
      </c>
      <c r="AF9" s="6" t="s">
        <v>25</v>
      </c>
      <c r="AG9" s="6" t="s">
        <v>25</v>
      </c>
      <c r="AH9" s="6" t="s">
        <v>25</v>
      </c>
      <c r="AI9" s="6" t="s">
        <v>25</v>
      </c>
    </row>
    <row r="10">
      <c r="A10" s="6" t="s">
        <v>4</v>
      </c>
      <c r="B10" s="6" t="s">
        <v>8</v>
      </c>
      <c r="C10" s="6" t="n">
        <v>13</v>
      </c>
      <c r="D10" s="6" t="s">
        <v>6</v>
      </c>
      <c r="E10" s="6" t="s">
        <v>169</v>
      </c>
      <c r="F10" s="6" t="s">
        <v>82</v>
      </c>
      <c r="G10" s="6" t="s">
        <v>76</v>
      </c>
      <c r="H10" s="6" t="s">
        <v>77</v>
      </c>
      <c r="I10" s="6" t="s">
        <v>25</v>
      </c>
      <c r="J10" s="6" t="s">
        <v>25</v>
      </c>
      <c r="K10" s="6" t="s">
        <v>25</v>
      </c>
      <c r="L10" s="6" t="s">
        <v>25</v>
      </c>
      <c r="M10" s="6" t="s">
        <v>25</v>
      </c>
      <c r="N10" s="6" t="s">
        <v>25</v>
      </c>
      <c r="O10" s="6" t="s">
        <v>25</v>
      </c>
      <c r="P10" s="6" t="s">
        <v>25</v>
      </c>
      <c r="Q10" s="6" t="s">
        <v>25</v>
      </c>
      <c r="R10" s="6" t="s">
        <v>25</v>
      </c>
      <c r="S10" s="6" t="s">
        <v>25</v>
      </c>
      <c r="T10" s="6" t="s">
        <v>25</v>
      </c>
      <c r="U10" s="6" t="s">
        <v>25</v>
      </c>
      <c r="V10" s="6" t="s">
        <v>25</v>
      </c>
      <c r="W10" s="6" t="s">
        <v>25</v>
      </c>
      <c r="X10" s="6" t="s">
        <v>25</v>
      </c>
      <c r="Y10" s="6" t="s">
        <v>25</v>
      </c>
      <c r="Z10" s="6" t="s">
        <v>25</v>
      </c>
      <c r="AA10" s="6" t="s">
        <v>25</v>
      </c>
      <c r="AB10" s="6" t="s">
        <v>25</v>
      </c>
      <c r="AC10" s="6" t="s">
        <v>25</v>
      </c>
      <c r="AD10" s="6" t="s">
        <v>25</v>
      </c>
      <c r="AE10" s="6" t="s">
        <v>25</v>
      </c>
      <c r="AF10" s="6" t="s">
        <v>25</v>
      </c>
      <c r="AG10" s="6" t="s">
        <v>25</v>
      </c>
      <c r="AH10" s="6" t="s">
        <v>25</v>
      </c>
      <c r="AI10" s="6" t="s">
        <v>25</v>
      </c>
    </row>
    <row r="11">
      <c r="A11" s="6" t="s">
        <v>4</v>
      </c>
      <c r="B11" s="6" t="s">
        <v>8</v>
      </c>
      <c r="C11" s="6" t="n">
        <v>13</v>
      </c>
      <c r="D11" s="6" t="s">
        <v>6</v>
      </c>
      <c r="E11" s="6" t="s">
        <v>169</v>
      </c>
      <c r="F11" s="6" t="s">
        <v>82</v>
      </c>
      <c r="G11" s="6" t="s">
        <v>83</v>
      </c>
      <c r="H11" s="6" t="s">
        <v>84</v>
      </c>
      <c r="I11" s="6" t="s">
        <v>25</v>
      </c>
      <c r="J11" s="6" t="s">
        <v>25</v>
      </c>
      <c r="K11" s="6" t="s">
        <v>25</v>
      </c>
      <c r="L11" s="6" t="s">
        <v>25</v>
      </c>
      <c r="M11" s="6" t="s">
        <v>25</v>
      </c>
      <c r="N11" s="6" t="s">
        <v>25</v>
      </c>
      <c r="O11" s="6" t="s">
        <v>25</v>
      </c>
      <c r="P11" s="6" t="s">
        <v>25</v>
      </c>
      <c r="Q11" s="6" t="s">
        <v>25</v>
      </c>
      <c r="R11" s="6" t="s">
        <v>25</v>
      </c>
      <c r="S11" s="6" t="s">
        <v>25</v>
      </c>
      <c r="T11" s="6" t="s">
        <v>25</v>
      </c>
      <c r="U11" s="6" t="s">
        <v>25</v>
      </c>
      <c r="V11" s="6" t="s">
        <v>25</v>
      </c>
      <c r="W11" s="6" t="s">
        <v>25</v>
      </c>
      <c r="X11" s="6" t="s">
        <v>25</v>
      </c>
      <c r="Y11" s="6" t="s">
        <v>25</v>
      </c>
      <c r="Z11" s="6" t="s">
        <v>25</v>
      </c>
      <c r="AA11" s="6" t="s">
        <v>25</v>
      </c>
      <c r="AB11" s="6" t="s">
        <v>25</v>
      </c>
      <c r="AC11" s="6" t="s">
        <v>25</v>
      </c>
      <c r="AD11" s="6" t="s">
        <v>25</v>
      </c>
      <c r="AE11" s="6" t="s">
        <v>25</v>
      </c>
      <c r="AF11" s="6" t="s">
        <v>25</v>
      </c>
      <c r="AG11" s="6" t="s">
        <v>25</v>
      </c>
      <c r="AH11" s="6" t="s">
        <v>25</v>
      </c>
      <c r="AI11" s="6" t="s">
        <v>25</v>
      </c>
    </row>
    <row r="12">
      <c r="A12" s="6" t="s">
        <v>4</v>
      </c>
      <c r="B12" s="6" t="s">
        <v>8</v>
      </c>
      <c r="C12" s="6" t="n">
        <v>13</v>
      </c>
      <c r="D12" s="6" t="s">
        <v>6</v>
      </c>
      <c r="E12" s="6" t="s">
        <v>169</v>
      </c>
      <c r="F12" s="6" t="s">
        <v>82</v>
      </c>
      <c r="G12" s="6" t="s">
        <v>85</v>
      </c>
      <c r="H12" s="6" t="s">
        <v>86</v>
      </c>
      <c r="I12" s="6" t="s">
        <v>25</v>
      </c>
      <c r="J12" s="6" t="s">
        <v>25</v>
      </c>
      <c r="K12" s="6" t="s">
        <v>25</v>
      </c>
      <c r="L12" s="6" t="s">
        <v>25</v>
      </c>
      <c r="M12" s="6" t="s">
        <v>25</v>
      </c>
      <c r="N12" s="6" t="s">
        <v>25</v>
      </c>
      <c r="O12" s="6" t="s">
        <v>25</v>
      </c>
      <c r="P12" s="6" t="s">
        <v>25</v>
      </c>
      <c r="Q12" s="6" t="s">
        <v>25</v>
      </c>
      <c r="R12" s="6" t="s">
        <v>25</v>
      </c>
      <c r="S12" s="6" t="s">
        <v>25</v>
      </c>
      <c r="T12" s="6" t="s">
        <v>25</v>
      </c>
      <c r="U12" s="6" t="s">
        <v>25</v>
      </c>
      <c r="V12" s="6" t="s">
        <v>25</v>
      </c>
      <c r="W12" s="6" t="s">
        <v>25</v>
      </c>
      <c r="X12" s="6" t="s">
        <v>25</v>
      </c>
      <c r="Y12" s="6" t="s">
        <v>25</v>
      </c>
      <c r="Z12" s="6" t="s">
        <v>25</v>
      </c>
      <c r="AA12" s="6" t="s">
        <v>25</v>
      </c>
      <c r="AB12" s="6" t="s">
        <v>25</v>
      </c>
      <c r="AC12" s="6" t="s">
        <v>25</v>
      </c>
      <c r="AD12" s="6" t="s">
        <v>25</v>
      </c>
      <c r="AE12" s="6" t="s">
        <v>25</v>
      </c>
      <c r="AF12" s="6" t="s">
        <v>25</v>
      </c>
      <c r="AG12" s="6" t="s">
        <v>25</v>
      </c>
      <c r="AH12" s="6" t="s">
        <v>25</v>
      </c>
      <c r="AI12" s="6" t="s">
        <v>25</v>
      </c>
    </row>
    <row r="13">
      <c r="A13" s="6" t="s">
        <v>4</v>
      </c>
      <c r="B13" s="6" t="s">
        <v>8</v>
      </c>
      <c r="C13" s="6" t="n">
        <v>13</v>
      </c>
      <c r="D13" s="6" t="s">
        <v>6</v>
      </c>
      <c r="E13" s="6" t="s">
        <v>169</v>
      </c>
      <c r="F13" s="6" t="s">
        <v>82</v>
      </c>
      <c r="G13" s="6" t="s">
        <v>87</v>
      </c>
      <c r="H13" s="6" t="s">
        <v>88</v>
      </c>
      <c r="I13" s="6" t="s">
        <v>25</v>
      </c>
      <c r="J13" s="6" t="s">
        <v>25</v>
      </c>
      <c r="K13" s="6" t="s">
        <v>25</v>
      </c>
      <c r="L13" s="6" t="s">
        <v>25</v>
      </c>
      <c r="M13" s="6" t="s">
        <v>25</v>
      </c>
      <c r="N13" s="6" t="s">
        <v>25</v>
      </c>
      <c r="O13" s="6" t="s">
        <v>25</v>
      </c>
      <c r="P13" s="6" t="s">
        <v>25</v>
      </c>
      <c r="Q13" s="6" t="s">
        <v>25</v>
      </c>
      <c r="R13" s="6" t="s">
        <v>25</v>
      </c>
      <c r="S13" s="6" t="s">
        <v>25</v>
      </c>
      <c r="T13" s="6" t="s">
        <v>25</v>
      </c>
      <c r="U13" s="6" t="s">
        <v>25</v>
      </c>
      <c r="V13" s="6" t="s">
        <v>25</v>
      </c>
      <c r="W13" s="6" t="s">
        <v>25</v>
      </c>
      <c r="X13" s="6" t="s">
        <v>25</v>
      </c>
      <c r="Y13" s="6" t="s">
        <v>25</v>
      </c>
      <c r="Z13" s="6" t="s">
        <v>25</v>
      </c>
      <c r="AA13" s="6" t="s">
        <v>25</v>
      </c>
      <c r="AB13" s="6" t="s">
        <v>25</v>
      </c>
      <c r="AC13" s="6" t="s">
        <v>25</v>
      </c>
      <c r="AD13" s="6" t="s">
        <v>25</v>
      </c>
      <c r="AE13" s="6" t="s">
        <v>25</v>
      </c>
      <c r="AF13" s="6" t="s">
        <v>25</v>
      </c>
      <c r="AG13" s="6" t="s">
        <v>25</v>
      </c>
      <c r="AH13" s="6" t="s">
        <v>25</v>
      </c>
      <c r="AI13" s="6" t="s">
        <v>25</v>
      </c>
    </row>
    <row r="14">
      <c r="A14" s="6" t="s">
        <v>4</v>
      </c>
      <c r="B14" s="6" t="s">
        <v>8</v>
      </c>
      <c r="C14" s="6" t="n">
        <v>13</v>
      </c>
      <c r="D14" s="6" t="s">
        <v>6</v>
      </c>
      <c r="E14" s="6" t="s">
        <v>169</v>
      </c>
      <c r="F14" s="6" t="s">
        <v>82</v>
      </c>
      <c r="G14" s="6" t="s">
        <v>89</v>
      </c>
      <c r="H14" s="6" t="s">
        <v>90</v>
      </c>
      <c r="I14" s="6" t="s">
        <v>25</v>
      </c>
      <c r="J14" s="6" t="s">
        <v>25</v>
      </c>
      <c r="K14" s="6" t="s">
        <v>25</v>
      </c>
      <c r="L14" s="6" t="s">
        <v>25</v>
      </c>
      <c r="M14" s="6" t="s">
        <v>25</v>
      </c>
      <c r="N14" s="6" t="s">
        <v>25</v>
      </c>
      <c r="O14" s="6" t="s">
        <v>25</v>
      </c>
      <c r="P14" s="6" t="s">
        <v>25</v>
      </c>
      <c r="Q14" s="6" t="s">
        <v>25</v>
      </c>
      <c r="R14" s="6" t="s">
        <v>25</v>
      </c>
      <c r="S14" s="6" t="s">
        <v>25</v>
      </c>
      <c r="T14" s="6" t="s">
        <v>25</v>
      </c>
      <c r="U14" s="6" t="s">
        <v>25</v>
      </c>
      <c r="V14" s="6" t="s">
        <v>25</v>
      </c>
      <c r="W14" s="6" t="s">
        <v>25</v>
      </c>
      <c r="X14" s="6" t="s">
        <v>25</v>
      </c>
      <c r="Y14" s="6" t="s">
        <v>25</v>
      </c>
      <c r="Z14" s="6" t="s">
        <v>25</v>
      </c>
      <c r="AA14" s="6" t="s">
        <v>25</v>
      </c>
      <c r="AB14" s="6" t="s">
        <v>25</v>
      </c>
      <c r="AC14" s="6" t="s">
        <v>25</v>
      </c>
      <c r="AD14" s="6" t="s">
        <v>25</v>
      </c>
      <c r="AE14" s="6" t="s">
        <v>25</v>
      </c>
      <c r="AF14" s="6" t="s">
        <v>25</v>
      </c>
      <c r="AG14" s="6" t="s">
        <v>25</v>
      </c>
      <c r="AH14" s="6" t="s">
        <v>25</v>
      </c>
      <c r="AI14" s="6" t="s">
        <v>25</v>
      </c>
    </row>
    <row r="15">
      <c r="A15" s="6" t="s">
        <v>4</v>
      </c>
      <c r="B15" s="6" t="s">
        <v>8</v>
      </c>
      <c r="C15" s="6" t="n">
        <v>13</v>
      </c>
      <c r="D15" s="6" t="s">
        <v>6</v>
      </c>
      <c r="E15" s="6" t="s">
        <v>169</v>
      </c>
      <c r="F15" s="6" t="s">
        <v>82</v>
      </c>
      <c r="G15" s="6" t="s">
        <v>91</v>
      </c>
      <c r="H15" s="6" t="s">
        <v>92</v>
      </c>
      <c r="I15" s="6" t="s">
        <v>25</v>
      </c>
      <c r="J15" s="6" t="s">
        <v>25</v>
      </c>
      <c r="K15" s="6" t="s">
        <v>25</v>
      </c>
      <c r="L15" s="6" t="s">
        <v>25</v>
      </c>
      <c r="M15" s="6" t="s">
        <v>25</v>
      </c>
      <c r="N15" s="6" t="s">
        <v>25</v>
      </c>
      <c r="O15" s="6" t="s">
        <v>25</v>
      </c>
      <c r="P15" s="6" t="s">
        <v>25</v>
      </c>
      <c r="Q15" s="6" t="s">
        <v>25</v>
      </c>
      <c r="R15" s="6" t="s">
        <v>25</v>
      </c>
      <c r="S15" s="6" t="s">
        <v>25</v>
      </c>
      <c r="T15" s="6" t="s">
        <v>25</v>
      </c>
      <c r="U15" s="6" t="s">
        <v>25</v>
      </c>
      <c r="V15" s="6" t="s">
        <v>25</v>
      </c>
      <c r="W15" s="6" t="s">
        <v>25</v>
      </c>
      <c r="X15" s="6" t="s">
        <v>25</v>
      </c>
      <c r="Y15" s="6" t="s">
        <v>25</v>
      </c>
      <c r="Z15" s="6" t="s">
        <v>25</v>
      </c>
      <c r="AA15" s="6" t="s">
        <v>25</v>
      </c>
      <c r="AB15" s="6" t="s">
        <v>25</v>
      </c>
      <c r="AC15" s="6" t="s">
        <v>25</v>
      </c>
      <c r="AD15" s="6" t="s">
        <v>25</v>
      </c>
      <c r="AE15" s="6" t="s">
        <v>25</v>
      </c>
      <c r="AF15" s="6" t="s">
        <v>25</v>
      </c>
      <c r="AG15" s="6" t="s">
        <v>25</v>
      </c>
      <c r="AH15" s="6" t="s">
        <v>25</v>
      </c>
      <c r="AI15" s="6" t="s">
        <v>25</v>
      </c>
    </row>
    <row r="16">
      <c r="A16" s="6" t="s">
        <v>4</v>
      </c>
      <c r="B16" s="6" t="s">
        <v>8</v>
      </c>
      <c r="C16" s="6" t="n">
        <v>13</v>
      </c>
      <c r="D16" s="6" t="s">
        <v>6</v>
      </c>
      <c r="E16" s="6" t="s">
        <v>170</v>
      </c>
      <c r="F16" s="6" t="s">
        <v>71</v>
      </c>
      <c r="G16" s="6" t="s">
        <v>72</v>
      </c>
      <c r="H16" s="6" t="s">
        <v>73</v>
      </c>
      <c r="I16" s="6" t="s">
        <v>25</v>
      </c>
      <c r="J16" s="6" t="s">
        <v>25</v>
      </c>
      <c r="K16" s="6" t="s">
        <v>25</v>
      </c>
      <c r="L16" s="6" t="s">
        <v>25</v>
      </c>
      <c r="M16" s="6" t="s">
        <v>25</v>
      </c>
      <c r="N16" s="6" t="s">
        <v>25</v>
      </c>
      <c r="O16" s="6" t="s">
        <v>25</v>
      </c>
      <c r="P16" s="6" t="s">
        <v>25</v>
      </c>
      <c r="Q16" s="6" t="s">
        <v>25</v>
      </c>
      <c r="R16" s="6" t="s">
        <v>25</v>
      </c>
      <c r="S16" s="6" t="s">
        <v>25</v>
      </c>
      <c r="T16" s="6" t="s">
        <v>25</v>
      </c>
      <c r="U16" s="6" t="s">
        <v>25</v>
      </c>
      <c r="V16" s="6" t="s">
        <v>25</v>
      </c>
      <c r="W16" s="6" t="s">
        <v>25</v>
      </c>
      <c r="X16" s="6" t="s">
        <v>25</v>
      </c>
      <c r="Y16" s="6" t="s">
        <v>25</v>
      </c>
      <c r="Z16" s="6" t="s">
        <v>25</v>
      </c>
      <c r="AA16" s="6" t="s">
        <v>25</v>
      </c>
      <c r="AB16" s="6" t="s">
        <v>25</v>
      </c>
      <c r="AC16" s="6" t="s">
        <v>25</v>
      </c>
      <c r="AD16" s="6" t="s">
        <v>25</v>
      </c>
      <c r="AE16" s="6" t="s">
        <v>25</v>
      </c>
      <c r="AF16" s="6" t="s">
        <v>25</v>
      </c>
      <c r="AG16" s="6" t="s">
        <v>25</v>
      </c>
      <c r="AH16" s="6" t="s">
        <v>25</v>
      </c>
      <c r="AI16" s="6" t="s">
        <v>25</v>
      </c>
    </row>
    <row r="17">
      <c r="A17" s="6" t="s">
        <v>4</v>
      </c>
      <c r="B17" s="6" t="s">
        <v>8</v>
      </c>
      <c r="C17" s="6" t="n">
        <v>13</v>
      </c>
      <c r="D17" s="6" t="s">
        <v>6</v>
      </c>
      <c r="E17" s="6" t="s">
        <v>170</v>
      </c>
      <c r="F17" s="6" t="s">
        <v>71</v>
      </c>
      <c r="G17" s="6" t="s">
        <v>74</v>
      </c>
      <c r="H17" s="6" t="s">
        <v>75</v>
      </c>
      <c r="I17" s="6" t="s">
        <v>25</v>
      </c>
      <c r="J17" s="6" t="s">
        <v>25</v>
      </c>
      <c r="K17" s="6" t="s">
        <v>25</v>
      </c>
      <c r="L17" s="6" t="s">
        <v>25</v>
      </c>
      <c r="M17" s="6" t="s">
        <v>25</v>
      </c>
      <c r="N17" s="6" t="s">
        <v>25</v>
      </c>
      <c r="O17" s="6" t="s">
        <v>25</v>
      </c>
      <c r="P17" s="6" t="s">
        <v>25</v>
      </c>
      <c r="Q17" s="6" t="s">
        <v>25</v>
      </c>
      <c r="R17" s="6" t="s">
        <v>25</v>
      </c>
      <c r="S17" s="6" t="s">
        <v>25</v>
      </c>
      <c r="T17" s="6" t="s">
        <v>25</v>
      </c>
      <c r="U17" s="6" t="s">
        <v>25</v>
      </c>
      <c r="V17" s="6" t="s">
        <v>25</v>
      </c>
      <c r="W17" s="6" t="s">
        <v>25</v>
      </c>
      <c r="X17" s="6" t="s">
        <v>25</v>
      </c>
      <c r="Y17" s="6" t="s">
        <v>25</v>
      </c>
      <c r="Z17" s="6" t="s">
        <v>25</v>
      </c>
      <c r="AA17" s="6" t="s">
        <v>25</v>
      </c>
      <c r="AB17" s="6" t="s">
        <v>25</v>
      </c>
      <c r="AC17" s="6" t="s">
        <v>25</v>
      </c>
      <c r="AD17" s="6" t="s">
        <v>25</v>
      </c>
      <c r="AE17" s="6" t="s">
        <v>25</v>
      </c>
      <c r="AF17" s="6" t="s">
        <v>25</v>
      </c>
      <c r="AG17" s="6" t="s">
        <v>25</v>
      </c>
      <c r="AH17" s="6" t="s">
        <v>25</v>
      </c>
      <c r="AI17" s="6" t="s">
        <v>25</v>
      </c>
    </row>
    <row r="18">
      <c r="A18" s="6" t="s">
        <v>4</v>
      </c>
      <c r="B18" s="6" t="s">
        <v>8</v>
      </c>
      <c r="C18" s="6" t="n">
        <v>13</v>
      </c>
      <c r="D18" s="6" t="s">
        <v>6</v>
      </c>
      <c r="E18" s="6" t="s">
        <v>170</v>
      </c>
      <c r="F18" s="6" t="s">
        <v>71</v>
      </c>
      <c r="G18" s="6" t="s">
        <v>76</v>
      </c>
      <c r="H18" s="6" t="s">
        <v>77</v>
      </c>
      <c r="I18" s="6" t="s">
        <v>25</v>
      </c>
      <c r="J18" s="6" t="s">
        <v>25</v>
      </c>
      <c r="K18" s="6" t="s">
        <v>25</v>
      </c>
      <c r="L18" s="6" t="s">
        <v>25</v>
      </c>
      <c r="M18" s="6" t="s">
        <v>25</v>
      </c>
      <c r="N18" s="6" t="s">
        <v>25</v>
      </c>
      <c r="O18" s="6" t="s">
        <v>25</v>
      </c>
      <c r="P18" s="6" t="s">
        <v>25</v>
      </c>
      <c r="Q18" s="6" t="s">
        <v>25</v>
      </c>
      <c r="R18" s="6" t="s">
        <v>25</v>
      </c>
      <c r="S18" s="6" t="s">
        <v>25</v>
      </c>
      <c r="T18" s="6" t="s">
        <v>25</v>
      </c>
      <c r="U18" s="6" t="s">
        <v>25</v>
      </c>
      <c r="V18" s="6" t="s">
        <v>25</v>
      </c>
      <c r="W18" s="6" t="s">
        <v>25</v>
      </c>
      <c r="X18" s="6" t="s">
        <v>25</v>
      </c>
      <c r="Y18" s="6" t="s">
        <v>25</v>
      </c>
      <c r="Z18" s="6" t="s">
        <v>25</v>
      </c>
      <c r="AA18" s="6" t="s">
        <v>25</v>
      </c>
      <c r="AB18" s="6" t="s">
        <v>25</v>
      </c>
      <c r="AC18" s="6" t="s">
        <v>25</v>
      </c>
      <c r="AD18" s="6" t="s">
        <v>25</v>
      </c>
      <c r="AE18" s="6" t="s">
        <v>25</v>
      </c>
      <c r="AF18" s="6" t="s">
        <v>25</v>
      </c>
      <c r="AG18" s="6" t="s">
        <v>25</v>
      </c>
      <c r="AH18" s="6" t="s">
        <v>25</v>
      </c>
      <c r="AI18" s="6" t="s">
        <v>25</v>
      </c>
    </row>
    <row r="19">
      <c r="A19" s="6" t="s">
        <v>4</v>
      </c>
      <c r="B19" s="6" t="s">
        <v>8</v>
      </c>
      <c r="C19" s="6" t="n">
        <v>13</v>
      </c>
      <c r="D19" s="6" t="s">
        <v>6</v>
      </c>
      <c r="E19" s="6" t="s">
        <v>170</v>
      </c>
      <c r="F19" s="6" t="s">
        <v>71</v>
      </c>
      <c r="G19" s="6" t="s">
        <v>78</v>
      </c>
      <c r="H19" s="6" t="s">
        <v>79</v>
      </c>
      <c r="I19" s="6" t="s">
        <v>25</v>
      </c>
      <c r="J19" s="6" t="s">
        <v>25</v>
      </c>
      <c r="K19" s="6" t="s">
        <v>25</v>
      </c>
      <c r="L19" s="6" t="s">
        <v>25</v>
      </c>
      <c r="M19" s="6" t="s">
        <v>25</v>
      </c>
      <c r="N19" s="6" t="s">
        <v>25</v>
      </c>
      <c r="O19" s="6" t="s">
        <v>25</v>
      </c>
      <c r="P19" s="6" t="s">
        <v>25</v>
      </c>
      <c r="Q19" s="6" t="s">
        <v>25</v>
      </c>
      <c r="R19" s="6" t="s">
        <v>25</v>
      </c>
      <c r="S19" s="6" t="s">
        <v>25</v>
      </c>
      <c r="T19" s="6" t="s">
        <v>25</v>
      </c>
      <c r="U19" s="6" t="s">
        <v>25</v>
      </c>
      <c r="V19" s="6" t="s">
        <v>25</v>
      </c>
      <c r="W19" s="6" t="s">
        <v>25</v>
      </c>
      <c r="X19" s="6" t="s">
        <v>25</v>
      </c>
      <c r="Y19" s="6" t="s">
        <v>25</v>
      </c>
      <c r="Z19" s="6" t="s">
        <v>25</v>
      </c>
      <c r="AA19" s="6" t="s">
        <v>25</v>
      </c>
      <c r="AB19" s="6" t="s">
        <v>25</v>
      </c>
      <c r="AC19" s="6" t="s">
        <v>25</v>
      </c>
      <c r="AD19" s="6" t="s">
        <v>25</v>
      </c>
      <c r="AE19" s="6" t="s">
        <v>25</v>
      </c>
      <c r="AF19" s="6" t="s">
        <v>25</v>
      </c>
      <c r="AG19" s="6" t="s">
        <v>25</v>
      </c>
      <c r="AH19" s="6" t="s">
        <v>25</v>
      </c>
      <c r="AI19" s="6" t="s">
        <v>25</v>
      </c>
    </row>
    <row r="20">
      <c r="A20" s="6" t="s">
        <v>4</v>
      </c>
      <c r="B20" s="6" t="s">
        <v>8</v>
      </c>
      <c r="C20" s="6" t="n">
        <v>13</v>
      </c>
      <c r="D20" s="6" t="s">
        <v>6</v>
      </c>
      <c r="E20" s="6" t="s">
        <v>170</v>
      </c>
      <c r="F20" s="6" t="s">
        <v>71</v>
      </c>
      <c r="G20" s="6" t="s">
        <v>80</v>
      </c>
      <c r="H20" s="6" t="s">
        <v>79</v>
      </c>
      <c r="I20" s="6" t="s">
        <v>25</v>
      </c>
      <c r="J20" s="6" t="s">
        <v>25</v>
      </c>
      <c r="K20" s="6" t="s">
        <v>25</v>
      </c>
      <c r="L20" s="6" t="s">
        <v>25</v>
      </c>
      <c r="M20" s="6" t="s">
        <v>25</v>
      </c>
      <c r="N20" s="6" t="s">
        <v>25</v>
      </c>
      <c r="O20" s="6" t="s">
        <v>25</v>
      </c>
      <c r="P20" s="6" t="s">
        <v>25</v>
      </c>
      <c r="Q20" s="6" t="s">
        <v>25</v>
      </c>
      <c r="R20" s="6" t="s">
        <v>25</v>
      </c>
      <c r="S20" s="6" t="s">
        <v>25</v>
      </c>
      <c r="T20" s="6" t="s">
        <v>25</v>
      </c>
      <c r="U20" s="6" t="s">
        <v>25</v>
      </c>
      <c r="V20" s="6" t="s">
        <v>25</v>
      </c>
      <c r="W20" s="6" t="s">
        <v>25</v>
      </c>
      <c r="X20" s="6" t="s">
        <v>25</v>
      </c>
      <c r="Y20" s="6" t="s">
        <v>25</v>
      </c>
      <c r="Z20" s="6" t="s">
        <v>25</v>
      </c>
      <c r="AA20" s="6" t="s">
        <v>25</v>
      </c>
      <c r="AB20" s="6" t="s">
        <v>25</v>
      </c>
      <c r="AC20" s="6" t="s">
        <v>25</v>
      </c>
      <c r="AD20" s="6" t="s">
        <v>25</v>
      </c>
      <c r="AE20" s="6" t="s">
        <v>25</v>
      </c>
      <c r="AF20" s="6" t="s">
        <v>25</v>
      </c>
      <c r="AG20" s="6" t="s">
        <v>25</v>
      </c>
      <c r="AH20" s="6" t="s">
        <v>25</v>
      </c>
      <c r="AI20" s="6" t="s">
        <v>25</v>
      </c>
    </row>
    <row r="21">
      <c r="A21" s="6" t="s">
        <v>4</v>
      </c>
      <c r="B21" s="6" t="s">
        <v>8</v>
      </c>
      <c r="C21" s="6" t="n">
        <v>13</v>
      </c>
      <c r="D21" s="6" t="s">
        <v>6</v>
      </c>
      <c r="E21" s="6" t="s">
        <v>170</v>
      </c>
      <c r="F21" s="6" t="s">
        <v>71</v>
      </c>
      <c r="G21" s="6" t="s">
        <v>49</v>
      </c>
      <c r="H21" s="6" t="s">
        <v>81</v>
      </c>
      <c r="I21" s="6" t="s">
        <v>25</v>
      </c>
      <c r="J21" s="6" t="s">
        <v>25</v>
      </c>
      <c r="K21" s="6" t="s">
        <v>25</v>
      </c>
      <c r="L21" s="6" t="s">
        <v>25</v>
      </c>
      <c r="M21" s="6" t="s">
        <v>25</v>
      </c>
      <c r="N21" s="6" t="s">
        <v>25</v>
      </c>
      <c r="O21" s="6" t="s">
        <v>25</v>
      </c>
      <c r="P21" s="6" t="s">
        <v>25</v>
      </c>
      <c r="Q21" s="6" t="s">
        <v>25</v>
      </c>
      <c r="R21" s="6" t="s">
        <v>25</v>
      </c>
      <c r="S21" s="6" t="s">
        <v>25</v>
      </c>
      <c r="T21" s="6" t="s">
        <v>25</v>
      </c>
      <c r="U21" s="6" t="s">
        <v>25</v>
      </c>
      <c r="V21" s="6" t="s">
        <v>25</v>
      </c>
      <c r="W21" s="6" t="s">
        <v>25</v>
      </c>
      <c r="X21" s="6" t="s">
        <v>25</v>
      </c>
      <c r="Y21" s="6" t="s">
        <v>25</v>
      </c>
      <c r="Z21" s="6" t="s">
        <v>25</v>
      </c>
      <c r="AA21" s="6" t="s">
        <v>25</v>
      </c>
      <c r="AB21" s="6" t="s">
        <v>25</v>
      </c>
      <c r="AC21" s="6" t="s">
        <v>25</v>
      </c>
      <c r="AD21" s="6" t="s">
        <v>25</v>
      </c>
      <c r="AE21" s="6" t="s">
        <v>25</v>
      </c>
      <c r="AF21" s="6" t="s">
        <v>25</v>
      </c>
      <c r="AG21" s="6" t="s">
        <v>25</v>
      </c>
      <c r="AH21" s="6" t="s">
        <v>25</v>
      </c>
      <c r="AI21" s="6" t="s">
        <v>25</v>
      </c>
    </row>
    <row r="22">
      <c r="A22" s="6" t="s">
        <v>4</v>
      </c>
      <c r="B22" s="6" t="s">
        <v>8</v>
      </c>
      <c r="C22" s="6" t="n">
        <v>13</v>
      </c>
      <c r="D22" s="6" t="s">
        <v>6</v>
      </c>
      <c r="E22" s="6" t="s">
        <v>170</v>
      </c>
      <c r="F22" s="6" t="s">
        <v>82</v>
      </c>
      <c r="G22" s="6" t="s">
        <v>72</v>
      </c>
      <c r="H22" s="6" t="s">
        <v>73</v>
      </c>
      <c r="I22" s="6" t="s">
        <v>25</v>
      </c>
      <c r="J22" s="6" t="s">
        <v>25</v>
      </c>
      <c r="K22" s="6" t="s">
        <v>25</v>
      </c>
      <c r="L22" s="6" t="s">
        <v>25</v>
      </c>
      <c r="M22" s="6" t="s">
        <v>25</v>
      </c>
      <c r="N22" s="6" t="s">
        <v>25</v>
      </c>
      <c r="O22" s="6" t="s">
        <v>25</v>
      </c>
      <c r="P22" s="6" t="s">
        <v>25</v>
      </c>
      <c r="Q22" s="6" t="s">
        <v>25</v>
      </c>
      <c r="R22" s="6" t="s">
        <v>25</v>
      </c>
      <c r="S22" s="6" t="s">
        <v>25</v>
      </c>
      <c r="T22" s="6" t="s">
        <v>25</v>
      </c>
      <c r="U22" s="6" t="s">
        <v>25</v>
      </c>
      <c r="V22" s="6" t="s">
        <v>25</v>
      </c>
      <c r="W22" s="6" t="s">
        <v>25</v>
      </c>
      <c r="X22" s="6" t="s">
        <v>25</v>
      </c>
      <c r="Y22" s="6" t="s">
        <v>25</v>
      </c>
      <c r="Z22" s="6" t="s">
        <v>25</v>
      </c>
      <c r="AA22" s="6" t="s">
        <v>25</v>
      </c>
      <c r="AB22" s="6" t="s">
        <v>25</v>
      </c>
      <c r="AC22" s="6" t="s">
        <v>25</v>
      </c>
      <c r="AD22" s="6" t="s">
        <v>25</v>
      </c>
      <c r="AE22" s="6" t="s">
        <v>25</v>
      </c>
      <c r="AF22" s="6" t="s">
        <v>25</v>
      </c>
      <c r="AG22" s="6" t="s">
        <v>25</v>
      </c>
      <c r="AH22" s="6" t="s">
        <v>25</v>
      </c>
      <c r="AI22" s="6" t="s">
        <v>25</v>
      </c>
    </row>
    <row r="23">
      <c r="A23" s="6" t="s">
        <v>4</v>
      </c>
      <c r="B23" s="6" t="s">
        <v>8</v>
      </c>
      <c r="C23" s="6" t="n">
        <v>13</v>
      </c>
      <c r="D23" s="6" t="s">
        <v>6</v>
      </c>
      <c r="E23" s="6" t="s">
        <v>170</v>
      </c>
      <c r="F23" s="6" t="s">
        <v>82</v>
      </c>
      <c r="G23" s="6" t="s">
        <v>74</v>
      </c>
      <c r="H23" s="6" t="s">
        <v>75</v>
      </c>
      <c r="I23" s="6" t="s">
        <v>25</v>
      </c>
      <c r="J23" s="6" t="s">
        <v>25</v>
      </c>
      <c r="K23" s="6" t="s">
        <v>25</v>
      </c>
      <c r="L23" s="6" t="s">
        <v>25</v>
      </c>
      <c r="M23" s="6" t="s">
        <v>25</v>
      </c>
      <c r="N23" s="6" t="s">
        <v>25</v>
      </c>
      <c r="O23" s="6" t="s">
        <v>25</v>
      </c>
      <c r="P23" s="6" t="s">
        <v>25</v>
      </c>
      <c r="Q23" s="6" t="s">
        <v>25</v>
      </c>
      <c r="R23" s="6" t="s">
        <v>25</v>
      </c>
      <c r="S23" s="6" t="s">
        <v>25</v>
      </c>
      <c r="T23" s="6" t="s">
        <v>25</v>
      </c>
      <c r="U23" s="6" t="s">
        <v>25</v>
      </c>
      <c r="V23" s="6" t="s">
        <v>25</v>
      </c>
      <c r="W23" s="6" t="s">
        <v>25</v>
      </c>
      <c r="X23" s="6" t="s">
        <v>25</v>
      </c>
      <c r="Y23" s="6" t="s">
        <v>25</v>
      </c>
      <c r="Z23" s="6" t="s">
        <v>25</v>
      </c>
      <c r="AA23" s="6" t="s">
        <v>25</v>
      </c>
      <c r="AB23" s="6" t="s">
        <v>25</v>
      </c>
      <c r="AC23" s="6" t="s">
        <v>25</v>
      </c>
      <c r="AD23" s="6" t="s">
        <v>25</v>
      </c>
      <c r="AE23" s="6" t="s">
        <v>25</v>
      </c>
      <c r="AF23" s="6" t="s">
        <v>25</v>
      </c>
      <c r="AG23" s="6" t="s">
        <v>25</v>
      </c>
      <c r="AH23" s="6" t="s">
        <v>25</v>
      </c>
      <c r="AI23" s="6" t="s">
        <v>25</v>
      </c>
    </row>
    <row r="24">
      <c r="A24" s="6" t="s">
        <v>4</v>
      </c>
      <c r="B24" s="6" t="s">
        <v>8</v>
      </c>
      <c r="C24" s="6" t="n">
        <v>13</v>
      </c>
      <c r="D24" s="6" t="s">
        <v>6</v>
      </c>
      <c r="E24" s="6" t="s">
        <v>170</v>
      </c>
      <c r="F24" s="6" t="s">
        <v>82</v>
      </c>
      <c r="G24" s="6" t="s">
        <v>76</v>
      </c>
      <c r="H24" s="6" t="s">
        <v>77</v>
      </c>
      <c r="I24" s="6" t="s">
        <v>25</v>
      </c>
      <c r="J24" s="6" t="s">
        <v>25</v>
      </c>
      <c r="K24" s="6" t="s">
        <v>25</v>
      </c>
      <c r="L24" s="6" t="s">
        <v>25</v>
      </c>
      <c r="M24" s="6" t="s">
        <v>25</v>
      </c>
      <c r="N24" s="6" t="s">
        <v>25</v>
      </c>
      <c r="O24" s="6" t="s">
        <v>25</v>
      </c>
      <c r="P24" s="6" t="s">
        <v>25</v>
      </c>
      <c r="Q24" s="6" t="s">
        <v>25</v>
      </c>
      <c r="R24" s="6" t="s">
        <v>25</v>
      </c>
      <c r="S24" s="6" t="s">
        <v>25</v>
      </c>
      <c r="T24" s="6" t="s">
        <v>25</v>
      </c>
      <c r="U24" s="6" t="s">
        <v>25</v>
      </c>
      <c r="V24" s="6" t="s">
        <v>25</v>
      </c>
      <c r="W24" s="6" t="s">
        <v>25</v>
      </c>
      <c r="X24" s="6" t="s">
        <v>25</v>
      </c>
      <c r="Y24" s="6" t="s">
        <v>25</v>
      </c>
      <c r="Z24" s="6" t="s">
        <v>25</v>
      </c>
      <c r="AA24" s="6" t="s">
        <v>25</v>
      </c>
      <c r="AB24" s="6" t="s">
        <v>25</v>
      </c>
      <c r="AC24" s="6" t="s">
        <v>25</v>
      </c>
      <c r="AD24" s="6" t="s">
        <v>25</v>
      </c>
      <c r="AE24" s="6" t="s">
        <v>25</v>
      </c>
      <c r="AF24" s="6" t="s">
        <v>25</v>
      </c>
      <c r="AG24" s="6" t="s">
        <v>25</v>
      </c>
      <c r="AH24" s="6" t="s">
        <v>25</v>
      </c>
      <c r="AI24" s="6" t="s">
        <v>25</v>
      </c>
    </row>
    <row r="25">
      <c r="A25" s="6" t="s">
        <v>4</v>
      </c>
      <c r="B25" s="6" t="s">
        <v>8</v>
      </c>
      <c r="C25" s="6" t="n">
        <v>13</v>
      </c>
      <c r="D25" s="6" t="s">
        <v>6</v>
      </c>
      <c r="E25" s="6" t="s">
        <v>170</v>
      </c>
      <c r="F25" s="6" t="s">
        <v>82</v>
      </c>
      <c r="G25" s="6" t="s">
        <v>83</v>
      </c>
      <c r="H25" s="6" t="s">
        <v>84</v>
      </c>
      <c r="I25" s="6" t="s">
        <v>25</v>
      </c>
      <c r="J25" s="6" t="s">
        <v>25</v>
      </c>
      <c r="K25" s="6" t="s">
        <v>25</v>
      </c>
      <c r="L25" s="6" t="s">
        <v>25</v>
      </c>
      <c r="M25" s="6" t="s">
        <v>25</v>
      </c>
      <c r="N25" s="6" t="s">
        <v>25</v>
      </c>
      <c r="O25" s="6" t="s">
        <v>25</v>
      </c>
      <c r="P25" s="6" t="s">
        <v>25</v>
      </c>
      <c r="Q25" s="6" t="s">
        <v>25</v>
      </c>
      <c r="R25" s="6" t="s">
        <v>25</v>
      </c>
      <c r="S25" s="6" t="s">
        <v>25</v>
      </c>
      <c r="T25" s="6" t="s">
        <v>25</v>
      </c>
      <c r="U25" s="6" t="s">
        <v>25</v>
      </c>
      <c r="V25" s="6" t="s">
        <v>25</v>
      </c>
      <c r="W25" s="6" t="s">
        <v>25</v>
      </c>
      <c r="X25" s="6" t="s">
        <v>25</v>
      </c>
      <c r="Y25" s="6" t="s">
        <v>25</v>
      </c>
      <c r="Z25" s="6" t="s">
        <v>25</v>
      </c>
      <c r="AA25" s="6" t="s">
        <v>25</v>
      </c>
      <c r="AB25" s="6" t="s">
        <v>25</v>
      </c>
      <c r="AC25" s="6" t="s">
        <v>25</v>
      </c>
      <c r="AD25" s="6" t="s">
        <v>25</v>
      </c>
      <c r="AE25" s="6" t="s">
        <v>25</v>
      </c>
      <c r="AF25" s="6" t="s">
        <v>25</v>
      </c>
      <c r="AG25" s="6" t="s">
        <v>25</v>
      </c>
      <c r="AH25" s="6" t="s">
        <v>25</v>
      </c>
      <c r="AI25" s="6" t="s">
        <v>25</v>
      </c>
    </row>
    <row r="26">
      <c r="A26" s="6" t="s">
        <v>4</v>
      </c>
      <c r="B26" s="6" t="s">
        <v>8</v>
      </c>
      <c r="C26" s="6" t="n">
        <v>13</v>
      </c>
      <c r="D26" s="6" t="s">
        <v>6</v>
      </c>
      <c r="E26" s="6" t="s">
        <v>170</v>
      </c>
      <c r="F26" s="6" t="s">
        <v>82</v>
      </c>
      <c r="G26" s="6" t="s">
        <v>85</v>
      </c>
      <c r="H26" s="6" t="s">
        <v>86</v>
      </c>
      <c r="I26" s="6" t="s">
        <v>25</v>
      </c>
      <c r="J26" s="6" t="s">
        <v>25</v>
      </c>
      <c r="K26" s="6" t="s">
        <v>25</v>
      </c>
      <c r="L26" s="6" t="s">
        <v>25</v>
      </c>
      <c r="M26" s="6" t="s">
        <v>25</v>
      </c>
      <c r="N26" s="6" t="s">
        <v>25</v>
      </c>
      <c r="O26" s="6" t="s">
        <v>25</v>
      </c>
      <c r="P26" s="6" t="s">
        <v>25</v>
      </c>
      <c r="Q26" s="6" t="s">
        <v>25</v>
      </c>
      <c r="R26" s="6" t="s">
        <v>25</v>
      </c>
      <c r="S26" s="6" t="s">
        <v>25</v>
      </c>
      <c r="T26" s="6" t="s">
        <v>25</v>
      </c>
      <c r="U26" s="6" t="s">
        <v>25</v>
      </c>
      <c r="V26" s="6" t="s">
        <v>25</v>
      </c>
      <c r="W26" s="6" t="s">
        <v>25</v>
      </c>
      <c r="X26" s="6" t="s">
        <v>25</v>
      </c>
      <c r="Y26" s="6" t="s">
        <v>25</v>
      </c>
      <c r="Z26" s="6" t="s">
        <v>25</v>
      </c>
      <c r="AA26" s="6" t="s">
        <v>25</v>
      </c>
      <c r="AB26" s="6" t="s">
        <v>25</v>
      </c>
      <c r="AC26" s="6" t="s">
        <v>25</v>
      </c>
      <c r="AD26" s="6" t="s">
        <v>25</v>
      </c>
      <c r="AE26" s="6" t="s">
        <v>25</v>
      </c>
      <c r="AF26" s="6" t="s">
        <v>25</v>
      </c>
      <c r="AG26" s="6" t="s">
        <v>25</v>
      </c>
      <c r="AH26" s="6" t="s">
        <v>25</v>
      </c>
      <c r="AI26" s="6" t="s">
        <v>25</v>
      </c>
    </row>
    <row r="27">
      <c r="A27" s="6" t="s">
        <v>4</v>
      </c>
      <c r="B27" s="6" t="s">
        <v>8</v>
      </c>
      <c r="C27" s="6" t="n">
        <v>13</v>
      </c>
      <c r="D27" s="6" t="s">
        <v>6</v>
      </c>
      <c r="E27" s="6" t="s">
        <v>170</v>
      </c>
      <c r="F27" s="6" t="s">
        <v>82</v>
      </c>
      <c r="G27" s="6" t="s">
        <v>87</v>
      </c>
      <c r="H27" s="6" t="s">
        <v>88</v>
      </c>
      <c r="I27" s="6" t="s">
        <v>25</v>
      </c>
      <c r="J27" s="6" t="s">
        <v>25</v>
      </c>
      <c r="K27" s="6" t="s">
        <v>25</v>
      </c>
      <c r="L27" s="6" t="s">
        <v>25</v>
      </c>
      <c r="M27" s="6" t="s">
        <v>25</v>
      </c>
      <c r="N27" s="6" t="s">
        <v>25</v>
      </c>
      <c r="O27" s="6" t="s">
        <v>25</v>
      </c>
      <c r="P27" s="6" t="s">
        <v>25</v>
      </c>
      <c r="Q27" s="6" t="s">
        <v>25</v>
      </c>
      <c r="R27" s="6" t="s">
        <v>25</v>
      </c>
      <c r="S27" s="6" t="s">
        <v>25</v>
      </c>
      <c r="T27" s="6" t="s">
        <v>25</v>
      </c>
      <c r="U27" s="6" t="s">
        <v>25</v>
      </c>
      <c r="V27" s="6" t="s">
        <v>25</v>
      </c>
      <c r="W27" s="6" t="s">
        <v>25</v>
      </c>
      <c r="X27" s="6" t="s">
        <v>25</v>
      </c>
      <c r="Y27" s="6" t="s">
        <v>25</v>
      </c>
      <c r="Z27" s="6" t="s">
        <v>25</v>
      </c>
      <c r="AA27" s="6" t="s">
        <v>25</v>
      </c>
      <c r="AB27" s="6" t="s">
        <v>25</v>
      </c>
      <c r="AC27" s="6" t="s">
        <v>25</v>
      </c>
      <c r="AD27" s="6" t="s">
        <v>25</v>
      </c>
      <c r="AE27" s="6" t="s">
        <v>25</v>
      </c>
      <c r="AF27" s="6" t="s">
        <v>25</v>
      </c>
      <c r="AG27" s="6" t="s">
        <v>25</v>
      </c>
      <c r="AH27" s="6" t="s">
        <v>25</v>
      </c>
      <c r="AI27" s="6" t="s">
        <v>25</v>
      </c>
    </row>
    <row r="28">
      <c r="A28" s="6" t="s">
        <v>4</v>
      </c>
      <c r="B28" s="6" t="s">
        <v>8</v>
      </c>
      <c r="C28" s="6" t="n">
        <v>13</v>
      </c>
      <c r="D28" s="6" t="s">
        <v>6</v>
      </c>
      <c r="E28" s="6" t="s">
        <v>170</v>
      </c>
      <c r="F28" s="6" t="s">
        <v>82</v>
      </c>
      <c r="G28" s="6" t="s">
        <v>89</v>
      </c>
      <c r="H28" s="6" t="s">
        <v>90</v>
      </c>
      <c r="I28" s="6" t="s">
        <v>25</v>
      </c>
      <c r="J28" s="6" t="s">
        <v>25</v>
      </c>
      <c r="K28" s="6" t="s">
        <v>25</v>
      </c>
      <c r="L28" s="6" t="s">
        <v>25</v>
      </c>
      <c r="M28" s="6" t="s">
        <v>25</v>
      </c>
      <c r="N28" s="6" t="s">
        <v>25</v>
      </c>
      <c r="O28" s="6" t="s">
        <v>25</v>
      </c>
      <c r="P28" s="6" t="s">
        <v>25</v>
      </c>
      <c r="Q28" s="6" t="s">
        <v>25</v>
      </c>
      <c r="R28" s="6" t="s">
        <v>25</v>
      </c>
      <c r="S28" s="6" t="s">
        <v>25</v>
      </c>
      <c r="T28" s="6" t="s">
        <v>25</v>
      </c>
      <c r="U28" s="6" t="s">
        <v>25</v>
      </c>
      <c r="V28" s="6" t="s">
        <v>25</v>
      </c>
      <c r="W28" s="6" t="s">
        <v>25</v>
      </c>
      <c r="X28" s="6" t="s">
        <v>25</v>
      </c>
      <c r="Y28" s="6" t="s">
        <v>25</v>
      </c>
      <c r="Z28" s="6" t="s">
        <v>25</v>
      </c>
      <c r="AA28" s="6" t="s">
        <v>25</v>
      </c>
      <c r="AB28" s="6" t="s">
        <v>25</v>
      </c>
      <c r="AC28" s="6" t="s">
        <v>25</v>
      </c>
      <c r="AD28" s="6" t="s">
        <v>25</v>
      </c>
      <c r="AE28" s="6" t="s">
        <v>25</v>
      </c>
      <c r="AF28" s="6" t="s">
        <v>25</v>
      </c>
      <c r="AG28" s="6" t="s">
        <v>25</v>
      </c>
      <c r="AH28" s="6" t="s">
        <v>25</v>
      </c>
      <c r="AI28" s="6" t="s">
        <v>25</v>
      </c>
    </row>
    <row r="29">
      <c r="A29" s="6" t="s">
        <v>4</v>
      </c>
      <c r="B29" s="6" t="s">
        <v>8</v>
      </c>
      <c r="C29" s="6" t="n">
        <v>13</v>
      </c>
      <c r="D29" s="6" t="s">
        <v>6</v>
      </c>
      <c r="E29" s="6" t="s">
        <v>170</v>
      </c>
      <c r="F29" s="6" t="s">
        <v>82</v>
      </c>
      <c r="G29" s="6" t="s">
        <v>91</v>
      </c>
      <c r="H29" s="6" t="s">
        <v>92</v>
      </c>
      <c r="I29" s="6" t="s">
        <v>25</v>
      </c>
      <c r="J29" s="6" t="s">
        <v>25</v>
      </c>
      <c r="K29" s="6" t="s">
        <v>25</v>
      </c>
      <c r="L29" s="6" t="s">
        <v>25</v>
      </c>
      <c r="M29" s="6" t="s">
        <v>25</v>
      </c>
      <c r="N29" s="6" t="s">
        <v>25</v>
      </c>
      <c r="O29" s="6" t="s">
        <v>25</v>
      </c>
      <c r="P29" s="6" t="s">
        <v>25</v>
      </c>
      <c r="Q29" s="6" t="s">
        <v>25</v>
      </c>
      <c r="R29" s="6" t="s">
        <v>25</v>
      </c>
      <c r="S29" s="6" t="s">
        <v>25</v>
      </c>
      <c r="T29" s="6" t="s">
        <v>25</v>
      </c>
      <c r="U29" s="6" t="s">
        <v>25</v>
      </c>
      <c r="V29" s="6" t="s">
        <v>25</v>
      </c>
      <c r="W29" s="6" t="s">
        <v>25</v>
      </c>
      <c r="X29" s="6" t="s">
        <v>25</v>
      </c>
      <c r="Y29" s="6" t="s">
        <v>25</v>
      </c>
      <c r="Z29" s="6" t="s">
        <v>25</v>
      </c>
      <c r="AA29" s="6" t="s">
        <v>25</v>
      </c>
      <c r="AB29" s="6" t="s">
        <v>25</v>
      </c>
      <c r="AC29" s="6" t="s">
        <v>25</v>
      </c>
      <c r="AD29" s="6" t="s">
        <v>25</v>
      </c>
      <c r="AE29" s="6" t="s">
        <v>25</v>
      </c>
      <c r="AF29" s="6" t="s">
        <v>25</v>
      </c>
      <c r="AG29" s="6" t="s">
        <v>25</v>
      </c>
      <c r="AH29" s="6" t="s">
        <v>25</v>
      </c>
      <c r="AI29" s="6" t="s">
        <v>25</v>
      </c>
    </row>
    <row r="30">
      <c r="A30" s="6" t="s">
        <v>4</v>
      </c>
      <c r="B30" s="6" t="s">
        <v>8</v>
      </c>
      <c r="C30" s="6" t="n">
        <v>13</v>
      </c>
      <c r="D30" s="6" t="s">
        <v>6</v>
      </c>
      <c r="E30" s="6" t="s">
        <v>171</v>
      </c>
      <c r="F30" s="6" t="s">
        <v>25</v>
      </c>
      <c r="G30" s="6" t="s">
        <v>25</v>
      </c>
      <c r="H30" s="6" t="s">
        <v>25</v>
      </c>
      <c r="I30" s="6" t="s">
        <v>141</v>
      </c>
      <c r="J30" s="6" t="s">
        <v>172</v>
      </c>
      <c r="K30" s="6" t="s">
        <v>173</v>
      </c>
      <c r="L30" s="6" t="s">
        <v>174</v>
      </c>
      <c r="M30" s="6" t="s">
        <v>175</v>
      </c>
      <c r="N30" s="6" t="s">
        <v>176</v>
      </c>
      <c r="O30" s="6" t="s">
        <v>177</v>
      </c>
      <c r="P30" s="6" t="s">
        <v>178</v>
      </c>
      <c r="Q30" s="6" t="s">
        <v>179</v>
      </c>
      <c r="R30" s="6" t="s">
        <v>180</v>
      </c>
      <c r="S30" s="6" t="s">
        <v>25</v>
      </c>
      <c r="T30" s="6" t="s">
        <v>25</v>
      </c>
      <c r="U30" s="6" t="s">
        <v>25</v>
      </c>
      <c r="V30" s="6" t="s">
        <v>25</v>
      </c>
      <c r="W30" s="6" t="s">
        <v>25</v>
      </c>
      <c r="X30" s="6" t="s">
        <v>25</v>
      </c>
      <c r="Y30" s="6" t="s">
        <v>25</v>
      </c>
      <c r="Z30" s="6" t="s">
        <v>25</v>
      </c>
      <c r="AA30" s="6" t="s">
        <v>25</v>
      </c>
      <c r="AB30" s="6" t="s">
        <v>25</v>
      </c>
      <c r="AC30" s="6" t="s">
        <v>25</v>
      </c>
      <c r="AD30" s="6" t="s">
        <v>25</v>
      </c>
      <c r="AE30" s="6" t="s">
        <v>25</v>
      </c>
      <c r="AF30" s="6" t="s">
        <v>25</v>
      </c>
      <c r="AG30" s="6" t="s">
        <v>25</v>
      </c>
      <c r="AH30" s="6" t="s">
        <v>25</v>
      </c>
      <c r="AI30" s="6" t="s">
        <v>25</v>
      </c>
    </row>
    <row r="31">
      <c r="A31" s="6" t="s">
        <v>4</v>
      </c>
      <c r="B31" s="6" t="s">
        <v>8</v>
      </c>
      <c r="C31" s="6" t="n">
        <v>13</v>
      </c>
      <c r="D31" s="6" t="s">
        <v>6</v>
      </c>
      <c r="E31" s="6" t="s">
        <v>171</v>
      </c>
      <c r="F31" s="6" t="s">
        <v>25</v>
      </c>
      <c r="G31" s="6" t="s">
        <v>25</v>
      </c>
      <c r="H31" s="6" t="s">
        <v>25</v>
      </c>
      <c r="I31" s="6" t="s">
        <v>181</v>
      </c>
      <c r="J31" s="6" t="s">
        <v>182</v>
      </c>
      <c r="K31" s="6" t="s">
        <v>183</v>
      </c>
      <c r="L31" s="6" t="s">
        <v>184</v>
      </c>
      <c r="M31" s="6" t="s">
        <v>185</v>
      </c>
      <c r="N31" s="6" t="s">
        <v>176</v>
      </c>
      <c r="O31" s="6" t="s">
        <v>177</v>
      </c>
      <c r="P31" s="6" t="s">
        <v>186</v>
      </c>
      <c r="Q31" s="6" t="s">
        <v>187</v>
      </c>
      <c r="R31" s="6" t="s">
        <v>180</v>
      </c>
      <c r="S31" s="6" t="s">
        <v>25</v>
      </c>
      <c r="T31" s="6" t="s">
        <v>25</v>
      </c>
      <c r="U31" s="6" t="s">
        <v>25</v>
      </c>
      <c r="V31" s="6" t="s">
        <v>25</v>
      </c>
      <c r="W31" s="6" t="s">
        <v>25</v>
      </c>
      <c r="X31" s="6" t="s">
        <v>25</v>
      </c>
      <c r="Y31" s="6" t="s">
        <v>25</v>
      </c>
      <c r="Z31" s="6" t="s">
        <v>25</v>
      </c>
      <c r="AA31" s="6" t="s">
        <v>25</v>
      </c>
      <c r="AB31" s="6" t="s">
        <v>25</v>
      </c>
      <c r="AC31" s="6" t="s">
        <v>25</v>
      </c>
      <c r="AD31" s="6" t="s">
        <v>25</v>
      </c>
      <c r="AE31" s="6" t="s">
        <v>25</v>
      </c>
      <c r="AF31" s="6" t="s">
        <v>25</v>
      </c>
      <c r="AG31" s="6" t="s">
        <v>25</v>
      </c>
      <c r="AH31" s="6" t="s">
        <v>25</v>
      </c>
      <c r="AI31" s="6" t="s">
        <v>25</v>
      </c>
    </row>
    <row r="32">
      <c r="A32" s="6" t="s">
        <v>4</v>
      </c>
      <c r="B32" s="6" t="s">
        <v>8</v>
      </c>
      <c r="C32" s="6" t="n">
        <v>13</v>
      </c>
      <c r="D32" s="6" t="s">
        <v>6</v>
      </c>
      <c r="E32" s="6" t="s">
        <v>171</v>
      </c>
      <c r="F32" s="6" t="s">
        <v>25</v>
      </c>
      <c r="G32" s="6" t="s">
        <v>25</v>
      </c>
      <c r="H32" s="6" t="s">
        <v>25</v>
      </c>
      <c r="I32" s="6" t="s">
        <v>188</v>
      </c>
      <c r="J32" s="6" t="s">
        <v>189</v>
      </c>
      <c r="K32" s="6" t="s">
        <v>183</v>
      </c>
      <c r="L32" s="6" t="s">
        <v>190</v>
      </c>
      <c r="M32" s="6" t="s">
        <v>191</v>
      </c>
      <c r="N32" s="6" t="s">
        <v>176</v>
      </c>
      <c r="O32" s="6" t="s">
        <v>177</v>
      </c>
      <c r="P32" s="6" t="s">
        <v>192</v>
      </c>
      <c r="Q32" s="6" t="s">
        <v>193</v>
      </c>
      <c r="R32" s="6" t="s">
        <v>180</v>
      </c>
      <c r="S32" s="6" t="s">
        <v>25</v>
      </c>
      <c r="T32" s="6" t="s">
        <v>25</v>
      </c>
      <c r="U32" s="6" t="s">
        <v>25</v>
      </c>
      <c r="V32" s="6" t="s">
        <v>25</v>
      </c>
      <c r="W32" s="6" t="s">
        <v>25</v>
      </c>
      <c r="X32" s="6" t="s">
        <v>25</v>
      </c>
      <c r="Y32" s="6" t="s">
        <v>25</v>
      </c>
      <c r="Z32" s="6" t="s">
        <v>25</v>
      </c>
      <c r="AA32" s="6" t="s">
        <v>25</v>
      </c>
      <c r="AB32" s="6" t="s">
        <v>25</v>
      </c>
      <c r="AC32" s="6" t="s">
        <v>25</v>
      </c>
      <c r="AD32" s="6" t="s">
        <v>25</v>
      </c>
      <c r="AE32" s="6" t="s">
        <v>25</v>
      </c>
      <c r="AF32" s="6" t="s">
        <v>25</v>
      </c>
      <c r="AG32" s="6" t="s">
        <v>25</v>
      </c>
      <c r="AH32" s="6" t="s">
        <v>25</v>
      </c>
      <c r="AI32" s="6" t="s">
        <v>25</v>
      </c>
    </row>
    <row r="33">
      <c r="A33" s="6" t="s">
        <v>4</v>
      </c>
      <c r="B33" s="6" t="s">
        <v>8</v>
      </c>
      <c r="C33" s="6" t="n">
        <v>13</v>
      </c>
      <c r="D33" s="6" t="s">
        <v>6</v>
      </c>
      <c r="E33" s="6" t="s">
        <v>171</v>
      </c>
      <c r="F33" s="6" t="s">
        <v>25</v>
      </c>
      <c r="G33" s="6" t="s">
        <v>25</v>
      </c>
      <c r="H33" s="6" t="s">
        <v>25</v>
      </c>
      <c r="I33" s="6" t="s">
        <v>194</v>
      </c>
      <c r="J33" s="6" t="s">
        <v>195</v>
      </c>
      <c r="K33" s="6" t="s">
        <v>196</v>
      </c>
      <c r="L33" s="6" t="s">
        <v>197</v>
      </c>
      <c r="M33" s="6" t="s">
        <v>198</v>
      </c>
      <c r="N33" s="6" t="s">
        <v>176</v>
      </c>
      <c r="O33" s="6" t="s">
        <v>177</v>
      </c>
      <c r="P33" s="6" t="s">
        <v>199</v>
      </c>
      <c r="Q33" s="6" t="s">
        <v>200</v>
      </c>
      <c r="R33" s="6" t="s">
        <v>180</v>
      </c>
      <c r="S33" s="6" t="s">
        <v>25</v>
      </c>
      <c r="T33" s="6" t="s">
        <v>25</v>
      </c>
      <c r="U33" s="6" t="s">
        <v>25</v>
      </c>
      <c r="V33" s="6" t="s">
        <v>25</v>
      </c>
      <c r="W33" s="6" t="s">
        <v>25</v>
      </c>
      <c r="X33" s="6" t="s">
        <v>25</v>
      </c>
      <c r="Y33" s="6" t="s">
        <v>25</v>
      </c>
      <c r="Z33" s="6" t="s">
        <v>25</v>
      </c>
      <c r="AA33" s="6" t="s">
        <v>25</v>
      </c>
      <c r="AB33" s="6" t="s">
        <v>25</v>
      </c>
      <c r="AC33" s="6" t="s">
        <v>25</v>
      </c>
      <c r="AD33" s="6" t="s">
        <v>25</v>
      </c>
      <c r="AE33" s="6" t="s">
        <v>25</v>
      </c>
      <c r="AF33" s="6" t="s">
        <v>25</v>
      </c>
      <c r="AG33" s="6" t="s">
        <v>25</v>
      </c>
      <c r="AH33" s="6" t="s">
        <v>25</v>
      </c>
      <c r="AI33" s="6" t="s">
        <v>25</v>
      </c>
    </row>
    <row r="34">
      <c r="A34" s="6" t="s">
        <v>4</v>
      </c>
      <c r="B34" s="6" t="s">
        <v>8</v>
      </c>
      <c r="C34" s="6" t="n">
        <v>13</v>
      </c>
      <c r="D34" s="6" t="s">
        <v>6</v>
      </c>
      <c r="E34" s="6" t="s">
        <v>171</v>
      </c>
      <c r="F34" s="6" t="s">
        <v>25</v>
      </c>
      <c r="G34" s="6" t="s">
        <v>25</v>
      </c>
      <c r="H34" s="6" t="s">
        <v>25</v>
      </c>
      <c r="I34" s="6" t="s">
        <v>201</v>
      </c>
      <c r="J34" s="6" t="s">
        <v>202</v>
      </c>
      <c r="K34" s="6" t="s">
        <v>173</v>
      </c>
      <c r="L34" s="6" t="s">
        <v>174</v>
      </c>
      <c r="M34" s="6" t="s">
        <v>175</v>
      </c>
      <c r="N34" s="6" t="s">
        <v>176</v>
      </c>
      <c r="O34" s="6" t="s">
        <v>177</v>
      </c>
      <c r="P34" s="6" t="s">
        <v>178</v>
      </c>
      <c r="Q34" s="6" t="s">
        <v>179</v>
      </c>
      <c r="R34" s="6" t="s">
        <v>180</v>
      </c>
      <c r="S34" s="6" t="s">
        <v>25</v>
      </c>
      <c r="T34" s="6" t="s">
        <v>25</v>
      </c>
      <c r="U34" s="6" t="s">
        <v>25</v>
      </c>
      <c r="V34" s="6" t="s">
        <v>25</v>
      </c>
      <c r="W34" s="6" t="s">
        <v>25</v>
      </c>
      <c r="X34" s="6" t="s">
        <v>25</v>
      </c>
      <c r="Y34" s="6" t="s">
        <v>25</v>
      </c>
      <c r="Z34" s="6" t="s">
        <v>25</v>
      </c>
      <c r="AA34" s="6" t="s">
        <v>25</v>
      </c>
      <c r="AB34" s="6" t="s">
        <v>25</v>
      </c>
      <c r="AC34" s="6" t="s">
        <v>25</v>
      </c>
      <c r="AD34" s="6" t="s">
        <v>25</v>
      </c>
      <c r="AE34" s="6" t="s">
        <v>25</v>
      </c>
      <c r="AF34" s="6" t="s">
        <v>25</v>
      </c>
      <c r="AG34" s="6" t="s">
        <v>25</v>
      </c>
      <c r="AH34" s="6" t="s">
        <v>25</v>
      </c>
      <c r="AI34" s="6" t="s">
        <v>25</v>
      </c>
    </row>
    <row r="35">
      <c r="A35" s="6" t="s">
        <v>4</v>
      </c>
      <c r="B35" s="6" t="s">
        <v>8</v>
      </c>
      <c r="C35" s="6" t="n">
        <v>13</v>
      </c>
      <c r="D35" s="6" t="s">
        <v>6</v>
      </c>
      <c r="E35" s="6" t="s">
        <v>203</v>
      </c>
      <c r="F35" s="6" t="s">
        <v>25</v>
      </c>
      <c r="G35" s="6" t="s">
        <v>7</v>
      </c>
      <c r="H35" s="6" t="s">
        <v>204</v>
      </c>
      <c r="I35" s="6" t="s">
        <v>25</v>
      </c>
      <c r="J35" s="6" t="s">
        <v>25</v>
      </c>
      <c r="K35" s="6" t="s">
        <v>25</v>
      </c>
      <c r="L35" s="6" t="s">
        <v>25</v>
      </c>
      <c r="M35" s="6" t="s">
        <v>25</v>
      </c>
      <c r="N35" s="6" t="s">
        <v>25</v>
      </c>
      <c r="O35" s="6" t="s">
        <v>25</v>
      </c>
      <c r="P35" s="6" t="s">
        <v>25</v>
      </c>
      <c r="Q35" s="6" t="s">
        <v>25</v>
      </c>
      <c r="R35" s="6" t="s">
        <v>25</v>
      </c>
      <c r="S35" s="6" t="s">
        <v>205</v>
      </c>
      <c r="T35" s="6" t="s">
        <v>25</v>
      </c>
      <c r="U35" s="6" t="s">
        <v>25</v>
      </c>
      <c r="V35" s="6" t="s">
        <v>25</v>
      </c>
      <c r="W35" s="6" t="s">
        <v>25</v>
      </c>
      <c r="X35" s="6" t="s">
        <v>25</v>
      </c>
      <c r="Y35" s="6" t="s">
        <v>25</v>
      </c>
      <c r="Z35" s="6" t="s">
        <v>25</v>
      </c>
      <c r="AA35" s="6" t="s">
        <v>25</v>
      </c>
      <c r="AB35" s="6" t="s">
        <v>25</v>
      </c>
      <c r="AC35" s="6" t="s">
        <v>25</v>
      </c>
      <c r="AD35" s="6" t="s">
        <v>25</v>
      </c>
      <c r="AE35" s="6" t="s">
        <v>25</v>
      </c>
      <c r="AF35" s="6" t="s">
        <v>25</v>
      </c>
      <c r="AG35" s="6" t="s">
        <v>25</v>
      </c>
      <c r="AH35" s="6" t="s">
        <v>25</v>
      </c>
      <c r="AI35" s="6" t="s">
        <v>25</v>
      </c>
    </row>
    <row r="36">
      <c r="A36" s="6" t="s">
        <v>4</v>
      </c>
      <c r="B36" s="6" t="s">
        <v>8</v>
      </c>
      <c r="C36" s="6" t="n">
        <v>13</v>
      </c>
      <c r="D36" s="6" t="s">
        <v>6</v>
      </c>
      <c r="E36" s="6" t="s">
        <v>203</v>
      </c>
      <c r="F36" s="6" t="s">
        <v>25</v>
      </c>
      <c r="G36" s="6" t="s">
        <v>206</v>
      </c>
      <c r="H36" s="6" t="s">
        <v>207</v>
      </c>
      <c r="I36" s="6" t="s">
        <v>25</v>
      </c>
      <c r="J36" s="6" t="s">
        <v>25</v>
      </c>
      <c r="K36" s="6" t="s">
        <v>25</v>
      </c>
      <c r="L36" s="6" t="s">
        <v>25</v>
      </c>
      <c r="M36" s="6" t="s">
        <v>25</v>
      </c>
      <c r="N36" s="6" t="s">
        <v>25</v>
      </c>
      <c r="O36" s="6" t="s">
        <v>25</v>
      </c>
      <c r="P36" s="6" t="s">
        <v>25</v>
      </c>
      <c r="Q36" s="6" t="s">
        <v>25</v>
      </c>
      <c r="R36" s="6" t="s">
        <v>25</v>
      </c>
      <c r="S36" s="6" t="s">
        <v>205</v>
      </c>
      <c r="T36" s="6" t="s">
        <v>25</v>
      </c>
      <c r="U36" s="6" t="s">
        <v>25</v>
      </c>
      <c r="V36" s="6" t="s">
        <v>25</v>
      </c>
      <c r="W36" s="6" t="s">
        <v>25</v>
      </c>
      <c r="X36" s="6" t="s">
        <v>25</v>
      </c>
      <c r="Y36" s="6" t="s">
        <v>25</v>
      </c>
      <c r="Z36" s="6" t="s">
        <v>25</v>
      </c>
      <c r="AA36" s="6" t="s">
        <v>25</v>
      </c>
      <c r="AB36" s="6" t="s">
        <v>25</v>
      </c>
      <c r="AC36" s="6" t="s">
        <v>25</v>
      </c>
      <c r="AD36" s="6" t="s">
        <v>25</v>
      </c>
      <c r="AE36" s="6" t="s">
        <v>25</v>
      </c>
      <c r="AF36" s="6" t="s">
        <v>25</v>
      </c>
      <c r="AG36" s="6" t="s">
        <v>25</v>
      </c>
      <c r="AH36" s="6" t="s">
        <v>25</v>
      </c>
      <c r="AI36" s="6" t="s">
        <v>25</v>
      </c>
    </row>
    <row r="37">
      <c r="A37" s="6" t="s">
        <v>4</v>
      </c>
      <c r="B37" s="6" t="s">
        <v>8</v>
      </c>
      <c r="C37" s="6" t="n">
        <v>13</v>
      </c>
      <c r="D37" s="6" t="s">
        <v>6</v>
      </c>
      <c r="E37" s="6" t="s">
        <v>203</v>
      </c>
      <c r="F37" s="6" t="s">
        <v>25</v>
      </c>
      <c r="G37" s="6" t="s">
        <v>5</v>
      </c>
      <c r="H37" s="6" t="s">
        <v>6</v>
      </c>
      <c r="I37" s="6" t="s">
        <v>25</v>
      </c>
      <c r="J37" s="6" t="s">
        <v>25</v>
      </c>
      <c r="K37" s="6" t="s">
        <v>25</v>
      </c>
      <c r="L37" s="6" t="s">
        <v>25</v>
      </c>
      <c r="M37" s="6" t="s">
        <v>25</v>
      </c>
      <c r="N37" s="6" t="s">
        <v>25</v>
      </c>
      <c r="O37" s="6" t="s">
        <v>25</v>
      </c>
      <c r="P37" s="6" t="s">
        <v>25</v>
      </c>
      <c r="Q37" s="6" t="s">
        <v>25</v>
      </c>
      <c r="R37" s="6" t="s">
        <v>25</v>
      </c>
      <c r="S37" s="6" t="s">
        <v>205</v>
      </c>
      <c r="T37" s="6" t="s">
        <v>25</v>
      </c>
      <c r="U37" s="6" t="s">
        <v>25</v>
      </c>
      <c r="V37" s="6" t="s">
        <v>25</v>
      </c>
      <c r="W37" s="6" t="s">
        <v>25</v>
      </c>
      <c r="X37" s="6" t="s">
        <v>25</v>
      </c>
      <c r="Y37" s="6" t="s">
        <v>25</v>
      </c>
      <c r="Z37" s="6" t="s">
        <v>25</v>
      </c>
      <c r="AA37" s="6" t="s">
        <v>25</v>
      </c>
      <c r="AB37" s="6" t="s">
        <v>25</v>
      </c>
      <c r="AC37" s="6" t="s">
        <v>25</v>
      </c>
      <c r="AD37" s="6" t="s">
        <v>25</v>
      </c>
      <c r="AE37" s="6" t="s">
        <v>25</v>
      </c>
      <c r="AF37" s="6" t="s">
        <v>25</v>
      </c>
      <c r="AG37" s="6" t="s">
        <v>25</v>
      </c>
      <c r="AH37" s="6" t="s">
        <v>25</v>
      </c>
      <c r="AI37" s="6" t="s">
        <v>25</v>
      </c>
    </row>
    <row r="38">
      <c r="A38" s="6" t="s">
        <v>4</v>
      </c>
      <c r="B38" s="6" t="s">
        <v>8</v>
      </c>
      <c r="C38" s="6" t="n">
        <v>13</v>
      </c>
      <c r="D38" s="6" t="s">
        <v>6</v>
      </c>
      <c r="E38" s="6" t="s">
        <v>203</v>
      </c>
      <c r="F38" s="6" t="s">
        <v>25</v>
      </c>
      <c r="G38" s="6" t="s">
        <v>208</v>
      </c>
      <c r="H38" s="6" t="s">
        <v>180</v>
      </c>
      <c r="I38" s="6" t="s">
        <v>25</v>
      </c>
      <c r="J38" s="6" t="s">
        <v>25</v>
      </c>
      <c r="K38" s="6" t="s">
        <v>25</v>
      </c>
      <c r="L38" s="6" t="s">
        <v>25</v>
      </c>
      <c r="M38" s="6" t="s">
        <v>25</v>
      </c>
      <c r="N38" s="6" t="s">
        <v>25</v>
      </c>
      <c r="O38" s="6" t="s">
        <v>25</v>
      </c>
      <c r="P38" s="6" t="s">
        <v>25</v>
      </c>
      <c r="Q38" s="6" t="s">
        <v>25</v>
      </c>
      <c r="R38" s="6" t="s">
        <v>25</v>
      </c>
      <c r="S38" s="6" t="s">
        <v>205</v>
      </c>
      <c r="T38" s="6" t="s">
        <v>25</v>
      </c>
      <c r="U38" s="6" t="s">
        <v>25</v>
      </c>
      <c r="V38" s="6" t="s">
        <v>25</v>
      </c>
      <c r="W38" s="6" t="s">
        <v>25</v>
      </c>
      <c r="X38" s="6" t="s">
        <v>25</v>
      </c>
      <c r="Y38" s="6" t="s">
        <v>25</v>
      </c>
      <c r="Z38" s="6" t="s">
        <v>25</v>
      </c>
      <c r="AA38" s="6" t="s">
        <v>25</v>
      </c>
      <c r="AB38" s="6" t="s">
        <v>25</v>
      </c>
      <c r="AC38" s="6" t="s">
        <v>25</v>
      </c>
      <c r="AD38" s="6" t="s">
        <v>25</v>
      </c>
      <c r="AE38" s="6" t="s">
        <v>25</v>
      </c>
      <c r="AF38" s="6" t="s">
        <v>25</v>
      </c>
      <c r="AG38" s="6" t="s">
        <v>25</v>
      </c>
      <c r="AH38" s="6" t="s">
        <v>25</v>
      </c>
      <c r="AI38" s="6" t="s">
        <v>25</v>
      </c>
    </row>
    <row r="39">
      <c r="A39" s="6" t="s">
        <v>4</v>
      </c>
      <c r="B39" s="6" t="s">
        <v>8</v>
      </c>
      <c r="C39" s="6" t="n">
        <v>13</v>
      </c>
      <c r="D39" s="6" t="s">
        <v>6</v>
      </c>
      <c r="E39" s="6" t="s">
        <v>203</v>
      </c>
      <c r="F39" s="6" t="s">
        <v>25</v>
      </c>
      <c r="G39" s="6" t="s">
        <v>209</v>
      </c>
      <c r="H39" s="6" t="s">
        <v>210</v>
      </c>
      <c r="I39" s="6" t="s">
        <v>25</v>
      </c>
      <c r="J39" s="6" t="s">
        <v>25</v>
      </c>
      <c r="K39" s="6" t="s">
        <v>25</v>
      </c>
      <c r="L39" s="6" t="s">
        <v>25</v>
      </c>
      <c r="M39" s="6" t="s">
        <v>25</v>
      </c>
      <c r="N39" s="6" t="s">
        <v>25</v>
      </c>
      <c r="O39" s="6" t="s">
        <v>25</v>
      </c>
      <c r="P39" s="6" t="s">
        <v>25</v>
      </c>
      <c r="Q39" s="6" t="s">
        <v>25</v>
      </c>
      <c r="R39" s="6" t="s">
        <v>25</v>
      </c>
      <c r="S39" s="6" t="s">
        <v>205</v>
      </c>
      <c r="T39" s="6" t="s">
        <v>25</v>
      </c>
      <c r="U39" s="6" t="s">
        <v>25</v>
      </c>
      <c r="V39" s="6" t="s">
        <v>25</v>
      </c>
      <c r="W39" s="6" t="s">
        <v>25</v>
      </c>
      <c r="X39" s="6" t="s">
        <v>25</v>
      </c>
      <c r="Y39" s="6" t="s">
        <v>25</v>
      </c>
      <c r="Z39" s="6" t="s">
        <v>25</v>
      </c>
      <c r="AA39" s="6" t="s">
        <v>25</v>
      </c>
      <c r="AB39" s="6" t="s">
        <v>25</v>
      </c>
      <c r="AC39" s="6" t="s">
        <v>25</v>
      </c>
      <c r="AD39" s="6" t="s">
        <v>25</v>
      </c>
      <c r="AE39" s="6" t="s">
        <v>25</v>
      </c>
      <c r="AF39" s="6" t="s">
        <v>25</v>
      </c>
      <c r="AG39" s="6" t="s">
        <v>25</v>
      </c>
      <c r="AH39" s="6" t="s">
        <v>25</v>
      </c>
      <c r="AI39" s="6" t="s">
        <v>25</v>
      </c>
    </row>
    <row r="40">
      <c r="A40" s="6" t="s">
        <v>4</v>
      </c>
      <c r="B40" s="6" t="s">
        <v>8</v>
      </c>
      <c r="C40" s="6" t="n">
        <v>13</v>
      </c>
      <c r="D40" s="6" t="s">
        <v>6</v>
      </c>
      <c r="E40" s="6" t="s">
        <v>203</v>
      </c>
      <c r="F40" s="6" t="s">
        <v>25</v>
      </c>
      <c r="G40" s="6" t="s">
        <v>211</v>
      </c>
      <c r="H40" s="6" t="s">
        <v>212</v>
      </c>
      <c r="I40" s="6" t="s">
        <v>25</v>
      </c>
      <c r="J40" s="6" t="s">
        <v>25</v>
      </c>
      <c r="K40" s="6" t="s">
        <v>25</v>
      </c>
      <c r="L40" s="6" t="s">
        <v>25</v>
      </c>
      <c r="M40" s="6" t="s">
        <v>25</v>
      </c>
      <c r="N40" s="6" t="s">
        <v>25</v>
      </c>
      <c r="O40" s="6" t="s">
        <v>25</v>
      </c>
      <c r="P40" s="6" t="s">
        <v>25</v>
      </c>
      <c r="Q40" s="6" t="s">
        <v>25</v>
      </c>
      <c r="R40" s="6" t="s">
        <v>25</v>
      </c>
      <c r="S40" s="6" t="s">
        <v>205</v>
      </c>
      <c r="T40" s="6" t="s">
        <v>25</v>
      </c>
      <c r="U40" s="6" t="s">
        <v>25</v>
      </c>
      <c r="V40" s="6" t="s">
        <v>25</v>
      </c>
      <c r="W40" s="6" t="s">
        <v>25</v>
      </c>
      <c r="X40" s="6" t="s">
        <v>25</v>
      </c>
      <c r="Y40" s="6" t="s">
        <v>25</v>
      </c>
      <c r="Z40" s="6" t="s">
        <v>25</v>
      </c>
      <c r="AA40" s="6" t="s">
        <v>25</v>
      </c>
      <c r="AB40" s="6" t="s">
        <v>25</v>
      </c>
      <c r="AC40" s="6" t="s">
        <v>25</v>
      </c>
      <c r="AD40" s="6" t="s">
        <v>25</v>
      </c>
      <c r="AE40" s="6" t="s">
        <v>25</v>
      </c>
      <c r="AF40" s="6" t="s">
        <v>25</v>
      </c>
      <c r="AG40" s="6" t="s">
        <v>25</v>
      </c>
      <c r="AH40" s="6" t="s">
        <v>25</v>
      </c>
      <c r="AI40" s="6" t="s">
        <v>25</v>
      </c>
    </row>
    <row r="41">
      <c r="A41" s="6" t="s">
        <v>4</v>
      </c>
      <c r="B41" s="6" t="s">
        <v>8</v>
      </c>
      <c r="C41" s="6" t="n">
        <v>13</v>
      </c>
      <c r="D41" s="6" t="s">
        <v>6</v>
      </c>
      <c r="E41" s="6" t="s">
        <v>203</v>
      </c>
      <c r="F41" s="6" t="s">
        <v>25</v>
      </c>
      <c r="G41" s="6" t="s">
        <v>213</v>
      </c>
      <c r="H41" s="6" t="s">
        <v>214</v>
      </c>
      <c r="I41" s="6" t="s">
        <v>25</v>
      </c>
      <c r="J41" s="6" t="s">
        <v>25</v>
      </c>
      <c r="K41" s="6" t="s">
        <v>25</v>
      </c>
      <c r="L41" s="6" t="s">
        <v>25</v>
      </c>
      <c r="M41" s="6" t="s">
        <v>25</v>
      </c>
      <c r="N41" s="6" t="s">
        <v>25</v>
      </c>
      <c r="O41" s="6" t="s">
        <v>25</v>
      </c>
      <c r="P41" s="6" t="s">
        <v>25</v>
      </c>
      <c r="Q41" s="6" t="s">
        <v>25</v>
      </c>
      <c r="R41" s="6" t="s">
        <v>25</v>
      </c>
      <c r="S41" s="6" t="s">
        <v>205</v>
      </c>
      <c r="T41" s="6" t="s">
        <v>25</v>
      </c>
      <c r="U41" s="6" t="s">
        <v>25</v>
      </c>
      <c r="V41" s="6" t="s">
        <v>25</v>
      </c>
      <c r="W41" s="6" t="s">
        <v>25</v>
      </c>
      <c r="X41" s="6" t="s">
        <v>25</v>
      </c>
      <c r="Y41" s="6" t="s">
        <v>25</v>
      </c>
      <c r="Z41" s="6" t="s">
        <v>25</v>
      </c>
      <c r="AA41" s="6" t="s">
        <v>25</v>
      </c>
      <c r="AB41" s="6" t="s">
        <v>25</v>
      </c>
      <c r="AC41" s="6" t="s">
        <v>25</v>
      </c>
      <c r="AD41" s="6" t="s">
        <v>25</v>
      </c>
      <c r="AE41" s="6" t="s">
        <v>25</v>
      </c>
      <c r="AF41" s="6" t="s">
        <v>25</v>
      </c>
      <c r="AG41" s="6" t="s">
        <v>25</v>
      </c>
      <c r="AH41" s="6" t="s">
        <v>25</v>
      </c>
      <c r="AI41" s="6" t="s">
        <v>25</v>
      </c>
    </row>
    <row r="42">
      <c r="A42" s="6" t="s">
        <v>4</v>
      </c>
      <c r="B42" s="6" t="s">
        <v>8</v>
      </c>
      <c r="C42" s="6" t="n">
        <v>13</v>
      </c>
      <c r="D42" s="6" t="s">
        <v>6</v>
      </c>
      <c r="E42" s="6" t="s">
        <v>203</v>
      </c>
      <c r="F42" s="6" t="s">
        <v>25</v>
      </c>
      <c r="G42" s="6" t="s">
        <v>215</v>
      </c>
      <c r="H42" s="6" t="s">
        <v>216</v>
      </c>
      <c r="I42" s="6" t="s">
        <v>25</v>
      </c>
      <c r="J42" s="6" t="s">
        <v>25</v>
      </c>
      <c r="K42" s="6" t="s">
        <v>25</v>
      </c>
      <c r="L42" s="6" t="s">
        <v>25</v>
      </c>
      <c r="M42" s="6" t="s">
        <v>25</v>
      </c>
      <c r="N42" s="6" t="s">
        <v>25</v>
      </c>
      <c r="O42" s="6" t="s">
        <v>25</v>
      </c>
      <c r="P42" s="6" t="s">
        <v>25</v>
      </c>
      <c r="Q42" s="6" t="s">
        <v>25</v>
      </c>
      <c r="R42" s="6" t="s">
        <v>25</v>
      </c>
      <c r="S42" s="6" t="s">
        <v>205</v>
      </c>
      <c r="T42" s="6" t="s">
        <v>25</v>
      </c>
      <c r="U42" s="6" t="s">
        <v>25</v>
      </c>
      <c r="V42" s="6" t="s">
        <v>25</v>
      </c>
      <c r="W42" s="6" t="s">
        <v>25</v>
      </c>
      <c r="X42" s="6" t="s">
        <v>25</v>
      </c>
      <c r="Y42" s="6" t="s">
        <v>25</v>
      </c>
      <c r="Z42" s="6" t="s">
        <v>25</v>
      </c>
      <c r="AA42" s="6" t="s">
        <v>25</v>
      </c>
      <c r="AB42" s="6" t="s">
        <v>25</v>
      </c>
      <c r="AC42" s="6" t="s">
        <v>25</v>
      </c>
      <c r="AD42" s="6" t="s">
        <v>25</v>
      </c>
      <c r="AE42" s="6" t="s">
        <v>25</v>
      </c>
      <c r="AF42" s="6" t="s">
        <v>25</v>
      </c>
      <c r="AG42" s="6" t="s">
        <v>25</v>
      </c>
      <c r="AH42" s="6" t="s">
        <v>25</v>
      </c>
      <c r="AI42" s="6" t="s">
        <v>25</v>
      </c>
    </row>
    <row r="43">
      <c r="A43" s="6" t="s">
        <v>4</v>
      </c>
      <c r="B43" s="6" t="s">
        <v>8</v>
      </c>
      <c r="C43" s="6" t="n">
        <v>13</v>
      </c>
      <c r="D43" s="6" t="s">
        <v>6</v>
      </c>
      <c r="E43" s="6" t="s">
        <v>203</v>
      </c>
      <c r="F43" s="6" t="s">
        <v>25</v>
      </c>
      <c r="G43" s="6" t="s">
        <v>217</v>
      </c>
      <c r="H43" s="6" t="s">
        <v>75</v>
      </c>
      <c r="I43" s="6" t="s">
        <v>25</v>
      </c>
      <c r="J43" s="6" t="s">
        <v>25</v>
      </c>
      <c r="K43" s="6" t="s">
        <v>25</v>
      </c>
      <c r="L43" s="6" t="s">
        <v>25</v>
      </c>
      <c r="M43" s="6" t="s">
        <v>25</v>
      </c>
      <c r="N43" s="6" t="s">
        <v>25</v>
      </c>
      <c r="O43" s="6" t="s">
        <v>25</v>
      </c>
      <c r="P43" s="6" t="s">
        <v>25</v>
      </c>
      <c r="Q43" s="6" t="s">
        <v>25</v>
      </c>
      <c r="R43" s="6" t="s">
        <v>25</v>
      </c>
      <c r="S43" s="6" t="s">
        <v>205</v>
      </c>
      <c r="T43" s="6" t="s">
        <v>25</v>
      </c>
      <c r="U43" s="6" t="s">
        <v>25</v>
      </c>
      <c r="V43" s="6" t="s">
        <v>25</v>
      </c>
      <c r="W43" s="6" t="s">
        <v>25</v>
      </c>
      <c r="X43" s="6" t="s">
        <v>25</v>
      </c>
      <c r="Y43" s="6" t="s">
        <v>25</v>
      </c>
      <c r="Z43" s="6" t="s">
        <v>25</v>
      </c>
      <c r="AA43" s="6" t="s">
        <v>25</v>
      </c>
      <c r="AB43" s="6" t="s">
        <v>25</v>
      </c>
      <c r="AC43" s="6" t="s">
        <v>25</v>
      </c>
      <c r="AD43" s="6" t="s">
        <v>25</v>
      </c>
      <c r="AE43" s="6" t="s">
        <v>25</v>
      </c>
      <c r="AF43" s="6" t="s">
        <v>25</v>
      </c>
      <c r="AG43" s="6" t="s">
        <v>25</v>
      </c>
      <c r="AH43" s="6" t="s">
        <v>25</v>
      </c>
      <c r="AI43" s="6" t="s">
        <v>25</v>
      </c>
    </row>
    <row r="44">
      <c r="A44" s="6" t="s">
        <v>4</v>
      </c>
      <c r="B44" s="6" t="s">
        <v>8</v>
      </c>
      <c r="C44" s="6" t="n">
        <v>13</v>
      </c>
      <c r="D44" s="6" t="s">
        <v>6</v>
      </c>
      <c r="E44" s="6" t="s">
        <v>203</v>
      </c>
      <c r="F44" s="6" t="s">
        <v>25</v>
      </c>
      <c r="G44" s="6" t="s">
        <v>218</v>
      </c>
      <c r="H44" s="6" t="s">
        <v>180</v>
      </c>
      <c r="I44" s="6" t="s">
        <v>25</v>
      </c>
      <c r="J44" s="6" t="s">
        <v>25</v>
      </c>
      <c r="K44" s="6" t="s">
        <v>25</v>
      </c>
      <c r="L44" s="6" t="s">
        <v>25</v>
      </c>
      <c r="M44" s="6" t="s">
        <v>25</v>
      </c>
      <c r="N44" s="6" t="s">
        <v>25</v>
      </c>
      <c r="O44" s="6" t="s">
        <v>25</v>
      </c>
      <c r="P44" s="6" t="s">
        <v>25</v>
      </c>
      <c r="Q44" s="6" t="s">
        <v>25</v>
      </c>
      <c r="R44" s="6" t="s">
        <v>25</v>
      </c>
      <c r="S44" s="6" t="s">
        <v>205</v>
      </c>
      <c r="T44" s="6" t="s">
        <v>25</v>
      </c>
      <c r="U44" s="6" t="s">
        <v>25</v>
      </c>
      <c r="V44" s="6" t="s">
        <v>25</v>
      </c>
      <c r="W44" s="6" t="s">
        <v>25</v>
      </c>
      <c r="X44" s="6" t="s">
        <v>25</v>
      </c>
      <c r="Y44" s="6" t="s">
        <v>25</v>
      </c>
      <c r="Z44" s="6" t="s">
        <v>25</v>
      </c>
      <c r="AA44" s="6" t="s">
        <v>25</v>
      </c>
      <c r="AB44" s="6" t="s">
        <v>25</v>
      </c>
      <c r="AC44" s="6" t="s">
        <v>25</v>
      </c>
      <c r="AD44" s="6" t="s">
        <v>25</v>
      </c>
      <c r="AE44" s="6" t="s">
        <v>25</v>
      </c>
      <c r="AF44" s="6" t="s">
        <v>25</v>
      </c>
      <c r="AG44" s="6" t="s">
        <v>25</v>
      </c>
      <c r="AH44" s="6" t="s">
        <v>25</v>
      </c>
      <c r="AI44" s="6" t="s">
        <v>25</v>
      </c>
    </row>
    <row r="45">
      <c r="A45" s="6" t="s">
        <v>4</v>
      </c>
      <c r="B45" s="6" t="s">
        <v>8</v>
      </c>
      <c r="C45" s="6" t="n">
        <v>13</v>
      </c>
      <c r="D45" s="6" t="s">
        <v>6</v>
      </c>
      <c r="E45" s="6" t="s">
        <v>203</v>
      </c>
      <c r="F45" s="6" t="s">
        <v>25</v>
      </c>
      <c r="G45" s="6" t="s">
        <v>219</v>
      </c>
      <c r="H45" s="6" t="s">
        <v>220</v>
      </c>
      <c r="I45" s="6" t="s">
        <v>25</v>
      </c>
      <c r="J45" s="6" t="s">
        <v>25</v>
      </c>
      <c r="K45" s="6" t="s">
        <v>25</v>
      </c>
      <c r="L45" s="6" t="s">
        <v>25</v>
      </c>
      <c r="M45" s="6" t="s">
        <v>25</v>
      </c>
      <c r="N45" s="6" t="s">
        <v>25</v>
      </c>
      <c r="O45" s="6" t="s">
        <v>25</v>
      </c>
      <c r="P45" s="6" t="s">
        <v>25</v>
      </c>
      <c r="Q45" s="6" t="s">
        <v>25</v>
      </c>
      <c r="R45" s="6" t="s">
        <v>25</v>
      </c>
      <c r="S45" s="6" t="s">
        <v>205</v>
      </c>
      <c r="T45" s="6" t="s">
        <v>25</v>
      </c>
      <c r="U45" s="6" t="s">
        <v>25</v>
      </c>
      <c r="V45" s="6" t="s">
        <v>25</v>
      </c>
      <c r="W45" s="6" t="s">
        <v>25</v>
      </c>
      <c r="X45" s="6" t="s">
        <v>25</v>
      </c>
      <c r="Y45" s="6" t="s">
        <v>25</v>
      </c>
      <c r="Z45" s="6" t="s">
        <v>25</v>
      </c>
      <c r="AA45" s="6" t="s">
        <v>25</v>
      </c>
      <c r="AB45" s="6" t="s">
        <v>25</v>
      </c>
      <c r="AC45" s="6" t="s">
        <v>25</v>
      </c>
      <c r="AD45" s="6" t="s">
        <v>25</v>
      </c>
      <c r="AE45" s="6" t="s">
        <v>25</v>
      </c>
      <c r="AF45" s="6" t="s">
        <v>25</v>
      </c>
      <c r="AG45" s="6" t="s">
        <v>25</v>
      </c>
      <c r="AH45" s="6" t="s">
        <v>25</v>
      </c>
      <c r="AI45" s="6" t="s">
        <v>25</v>
      </c>
    </row>
    <row r="46">
      <c r="A46" s="6" t="s">
        <v>4</v>
      </c>
      <c r="B46" s="6" t="s">
        <v>8</v>
      </c>
      <c r="C46" s="6" t="n">
        <v>13</v>
      </c>
      <c r="D46" s="6" t="s">
        <v>6</v>
      </c>
      <c r="E46" s="6" t="s">
        <v>203</v>
      </c>
      <c r="F46" s="6" t="s">
        <v>25</v>
      </c>
      <c r="G46" s="6" t="s">
        <v>221</v>
      </c>
      <c r="H46" s="6" t="s">
        <v>222</v>
      </c>
      <c r="I46" s="6" t="s">
        <v>25</v>
      </c>
      <c r="J46" s="6" t="s">
        <v>25</v>
      </c>
      <c r="K46" s="6" t="s">
        <v>25</v>
      </c>
      <c r="L46" s="6" t="s">
        <v>25</v>
      </c>
      <c r="M46" s="6" t="s">
        <v>25</v>
      </c>
      <c r="N46" s="6" t="s">
        <v>25</v>
      </c>
      <c r="O46" s="6" t="s">
        <v>25</v>
      </c>
      <c r="P46" s="6" t="s">
        <v>25</v>
      </c>
      <c r="Q46" s="6" t="s">
        <v>25</v>
      </c>
      <c r="R46" s="6" t="s">
        <v>25</v>
      </c>
      <c r="S46" s="6" t="s">
        <v>205</v>
      </c>
      <c r="T46" s="6" t="s">
        <v>25</v>
      </c>
      <c r="U46" s="6" t="s">
        <v>25</v>
      </c>
      <c r="V46" s="6" t="s">
        <v>25</v>
      </c>
      <c r="W46" s="6" t="s">
        <v>25</v>
      </c>
      <c r="X46" s="6" t="s">
        <v>25</v>
      </c>
      <c r="Y46" s="6" t="s">
        <v>25</v>
      </c>
      <c r="Z46" s="6" t="s">
        <v>25</v>
      </c>
      <c r="AA46" s="6" t="s">
        <v>25</v>
      </c>
      <c r="AB46" s="6" t="s">
        <v>25</v>
      </c>
      <c r="AC46" s="6" t="s">
        <v>25</v>
      </c>
      <c r="AD46" s="6" t="s">
        <v>25</v>
      </c>
      <c r="AE46" s="6" t="s">
        <v>25</v>
      </c>
      <c r="AF46" s="6" t="s">
        <v>25</v>
      </c>
      <c r="AG46" s="6" t="s">
        <v>25</v>
      </c>
      <c r="AH46" s="6" t="s">
        <v>25</v>
      </c>
      <c r="AI46" s="6" t="s">
        <v>25</v>
      </c>
    </row>
    <row r="47">
      <c r="A47" s="6" t="s">
        <v>4</v>
      </c>
      <c r="B47" s="6" t="s">
        <v>8</v>
      </c>
      <c r="C47" s="6" t="n">
        <v>13</v>
      </c>
      <c r="D47" s="6" t="s">
        <v>6</v>
      </c>
      <c r="E47" s="6" t="s">
        <v>203</v>
      </c>
      <c r="F47" s="6" t="s">
        <v>25</v>
      </c>
      <c r="G47" s="6" t="s">
        <v>223</v>
      </c>
      <c r="H47" s="6" t="s">
        <v>224</v>
      </c>
      <c r="I47" s="6" t="s">
        <v>25</v>
      </c>
      <c r="J47" s="6" t="s">
        <v>25</v>
      </c>
      <c r="K47" s="6" t="s">
        <v>25</v>
      </c>
      <c r="L47" s="6" t="s">
        <v>25</v>
      </c>
      <c r="M47" s="6" t="s">
        <v>25</v>
      </c>
      <c r="N47" s="6" t="s">
        <v>25</v>
      </c>
      <c r="O47" s="6" t="s">
        <v>25</v>
      </c>
      <c r="P47" s="6" t="s">
        <v>25</v>
      </c>
      <c r="Q47" s="6" t="s">
        <v>25</v>
      </c>
      <c r="R47" s="6" t="s">
        <v>25</v>
      </c>
      <c r="S47" s="6" t="s">
        <v>205</v>
      </c>
      <c r="T47" s="6" t="s">
        <v>25</v>
      </c>
      <c r="U47" s="6" t="s">
        <v>25</v>
      </c>
      <c r="V47" s="6" t="s">
        <v>25</v>
      </c>
      <c r="W47" s="6" t="s">
        <v>25</v>
      </c>
      <c r="X47" s="6" t="s">
        <v>25</v>
      </c>
      <c r="Y47" s="6" t="s">
        <v>25</v>
      </c>
      <c r="Z47" s="6" t="s">
        <v>25</v>
      </c>
      <c r="AA47" s="6" t="s">
        <v>25</v>
      </c>
      <c r="AB47" s="6" t="s">
        <v>25</v>
      </c>
      <c r="AC47" s="6" t="s">
        <v>25</v>
      </c>
      <c r="AD47" s="6" t="s">
        <v>25</v>
      </c>
      <c r="AE47" s="6" t="s">
        <v>25</v>
      </c>
      <c r="AF47" s="6" t="s">
        <v>25</v>
      </c>
      <c r="AG47" s="6" t="s">
        <v>25</v>
      </c>
      <c r="AH47" s="6" t="s">
        <v>25</v>
      </c>
      <c r="AI47" s="6" t="s">
        <v>25</v>
      </c>
    </row>
    <row r="48">
      <c r="A48" s="6" t="s">
        <v>4</v>
      </c>
      <c r="B48" s="6" t="s">
        <v>8</v>
      </c>
      <c r="C48" s="6" t="n">
        <v>13</v>
      </c>
      <c r="D48" s="6" t="s">
        <v>6</v>
      </c>
      <c r="E48" s="6" t="s">
        <v>203</v>
      </c>
      <c r="F48" s="6" t="s">
        <v>25</v>
      </c>
      <c r="G48" s="6" t="s">
        <v>225</v>
      </c>
      <c r="H48" s="6" t="s">
        <v>220</v>
      </c>
      <c r="I48" s="6" t="s">
        <v>25</v>
      </c>
      <c r="J48" s="6" t="s">
        <v>25</v>
      </c>
      <c r="K48" s="6" t="s">
        <v>25</v>
      </c>
      <c r="L48" s="6" t="s">
        <v>25</v>
      </c>
      <c r="M48" s="6" t="s">
        <v>25</v>
      </c>
      <c r="N48" s="6" t="s">
        <v>25</v>
      </c>
      <c r="O48" s="6" t="s">
        <v>25</v>
      </c>
      <c r="P48" s="6" t="s">
        <v>25</v>
      </c>
      <c r="Q48" s="6" t="s">
        <v>25</v>
      </c>
      <c r="R48" s="6" t="s">
        <v>25</v>
      </c>
      <c r="S48" s="6" t="s">
        <v>205</v>
      </c>
      <c r="T48" s="6" t="s">
        <v>25</v>
      </c>
      <c r="U48" s="6" t="s">
        <v>25</v>
      </c>
      <c r="V48" s="6" t="s">
        <v>25</v>
      </c>
      <c r="W48" s="6" t="s">
        <v>25</v>
      </c>
      <c r="X48" s="6" t="s">
        <v>25</v>
      </c>
      <c r="Y48" s="6" t="s">
        <v>25</v>
      </c>
      <c r="Z48" s="6" t="s">
        <v>25</v>
      </c>
      <c r="AA48" s="6" t="s">
        <v>25</v>
      </c>
      <c r="AB48" s="6" t="s">
        <v>25</v>
      </c>
      <c r="AC48" s="6" t="s">
        <v>25</v>
      </c>
      <c r="AD48" s="6" t="s">
        <v>25</v>
      </c>
      <c r="AE48" s="6" t="s">
        <v>25</v>
      </c>
      <c r="AF48" s="6" t="s">
        <v>25</v>
      </c>
      <c r="AG48" s="6" t="s">
        <v>25</v>
      </c>
      <c r="AH48" s="6" t="s">
        <v>25</v>
      </c>
      <c r="AI48" s="6" t="s">
        <v>25</v>
      </c>
    </row>
    <row r="49">
      <c r="A49" s="6" t="s">
        <v>4</v>
      </c>
      <c r="B49" s="6" t="s">
        <v>8</v>
      </c>
      <c r="C49" s="6" t="n">
        <v>13</v>
      </c>
      <c r="D49" s="6" t="s">
        <v>6</v>
      </c>
      <c r="E49" s="6" t="s">
        <v>226</v>
      </c>
      <c r="F49" s="6" t="s">
        <v>25</v>
      </c>
      <c r="G49" s="6" t="s">
        <v>25</v>
      </c>
      <c r="H49" s="6" t="s">
        <v>25</v>
      </c>
      <c r="I49" s="6" t="s">
        <v>25</v>
      </c>
      <c r="J49" s="6" t="s">
        <v>172</v>
      </c>
      <c r="K49" s="6" t="s">
        <v>25</v>
      </c>
      <c r="L49" s="6" t="s">
        <v>25</v>
      </c>
      <c r="M49" s="6" t="s">
        <v>25</v>
      </c>
      <c r="N49" s="6" t="s">
        <v>25</v>
      </c>
      <c r="O49" s="6" t="s">
        <v>25</v>
      </c>
      <c r="P49" s="6" t="s">
        <v>25</v>
      </c>
      <c r="Q49" s="6" t="s">
        <v>25</v>
      </c>
      <c r="R49" s="6" t="s">
        <v>25</v>
      </c>
      <c r="S49" s="6" t="s">
        <v>25</v>
      </c>
      <c r="T49" s="6" t="s">
        <v>127</v>
      </c>
      <c r="U49" s="6" t="s">
        <v>227</v>
      </c>
      <c r="V49" s="6" t="s">
        <v>228</v>
      </c>
      <c r="W49" s="6" t="s">
        <v>229</v>
      </c>
      <c r="X49" s="6" t="s">
        <v>166</v>
      </c>
      <c r="Y49" s="6" t="s">
        <v>230</v>
      </c>
      <c r="Z49" s="6" t="s">
        <v>166</v>
      </c>
      <c r="AA49" s="6" t="s">
        <v>231</v>
      </c>
      <c r="AB49" s="6" t="s">
        <v>166</v>
      </c>
      <c r="AC49" s="6" t="s">
        <v>232</v>
      </c>
      <c r="AD49" s="6" t="s">
        <v>166</v>
      </c>
      <c r="AE49" s="6" t="s">
        <v>25</v>
      </c>
      <c r="AF49" s="6" t="s">
        <v>25</v>
      </c>
      <c r="AG49" s="6" t="s">
        <v>25</v>
      </c>
      <c r="AH49" s="6" t="s">
        <v>25</v>
      </c>
      <c r="AI49" s="6" t="s">
        <v>25</v>
      </c>
    </row>
    <row r="50">
      <c r="A50" s="6" t="s">
        <v>4</v>
      </c>
      <c r="B50" s="6" t="s">
        <v>8</v>
      </c>
      <c r="C50" s="6" t="n">
        <v>13</v>
      </c>
      <c r="D50" s="6" t="s">
        <v>6</v>
      </c>
      <c r="E50" s="6" t="s">
        <v>226</v>
      </c>
      <c r="F50" s="6" t="s">
        <v>25</v>
      </c>
      <c r="G50" s="6" t="s">
        <v>25</v>
      </c>
      <c r="H50" s="6" t="s">
        <v>25</v>
      </c>
      <c r="I50" s="6" t="s">
        <v>25</v>
      </c>
      <c r="J50" s="6" t="s">
        <v>172</v>
      </c>
      <c r="K50" s="6" t="s">
        <v>25</v>
      </c>
      <c r="L50" s="6" t="s">
        <v>25</v>
      </c>
      <c r="M50" s="6" t="s">
        <v>25</v>
      </c>
      <c r="N50" s="6" t="s">
        <v>25</v>
      </c>
      <c r="O50" s="6" t="s">
        <v>25</v>
      </c>
      <c r="P50" s="6" t="s">
        <v>25</v>
      </c>
      <c r="Q50" s="6" t="s">
        <v>25</v>
      </c>
      <c r="R50" s="6" t="s">
        <v>25</v>
      </c>
      <c r="S50" s="6" t="s">
        <v>25</v>
      </c>
      <c r="T50" s="6" t="s">
        <v>128</v>
      </c>
      <c r="U50" s="6" t="s">
        <v>233</v>
      </c>
      <c r="V50" s="6" t="s">
        <v>234</v>
      </c>
      <c r="W50" s="6" t="s">
        <v>235</v>
      </c>
      <c r="X50" s="6" t="s">
        <v>166</v>
      </c>
      <c r="Y50" s="6" t="s">
        <v>236</v>
      </c>
      <c r="Z50" s="6" t="s">
        <v>166</v>
      </c>
      <c r="AA50" s="6" t="s">
        <v>237</v>
      </c>
      <c r="AB50" s="6" t="s">
        <v>166</v>
      </c>
      <c r="AC50" s="6" t="s">
        <v>238</v>
      </c>
      <c r="AD50" s="6" t="s">
        <v>166</v>
      </c>
      <c r="AE50" s="6" t="s">
        <v>25</v>
      </c>
      <c r="AF50" s="6" t="s">
        <v>25</v>
      </c>
      <c r="AG50" s="6" t="s">
        <v>25</v>
      </c>
      <c r="AH50" s="6" t="s">
        <v>25</v>
      </c>
      <c r="AI50" s="6" t="s">
        <v>25</v>
      </c>
    </row>
    <row r="51">
      <c r="A51" s="6" t="s">
        <v>4</v>
      </c>
      <c r="B51" s="6" t="s">
        <v>8</v>
      </c>
      <c r="C51" s="6" t="n">
        <v>13</v>
      </c>
      <c r="D51" s="6" t="s">
        <v>6</v>
      </c>
      <c r="E51" s="6" t="s">
        <v>226</v>
      </c>
      <c r="F51" s="6" t="s">
        <v>25</v>
      </c>
      <c r="G51" s="6" t="s">
        <v>25</v>
      </c>
      <c r="H51" s="6" t="s">
        <v>25</v>
      </c>
      <c r="I51" s="6" t="s">
        <v>25</v>
      </c>
      <c r="J51" s="6" t="s">
        <v>172</v>
      </c>
      <c r="K51" s="6" t="s">
        <v>25</v>
      </c>
      <c r="L51" s="6" t="s">
        <v>25</v>
      </c>
      <c r="M51" s="6" t="s">
        <v>25</v>
      </c>
      <c r="N51" s="6" t="s">
        <v>25</v>
      </c>
      <c r="O51" s="6" t="s">
        <v>25</v>
      </c>
      <c r="P51" s="6" t="s">
        <v>25</v>
      </c>
      <c r="Q51" s="6" t="s">
        <v>25</v>
      </c>
      <c r="R51" s="6" t="s">
        <v>25</v>
      </c>
      <c r="S51" s="6" t="s">
        <v>25</v>
      </c>
      <c r="T51" s="6" t="s">
        <v>129</v>
      </c>
      <c r="U51" s="6" t="s">
        <v>239</v>
      </c>
      <c r="V51" s="6" t="s">
        <v>240</v>
      </c>
      <c r="W51" s="6" t="s">
        <v>241</v>
      </c>
      <c r="X51" s="6" t="s">
        <v>166</v>
      </c>
      <c r="Y51" s="6" t="s">
        <v>242</v>
      </c>
      <c r="Z51" s="6" t="s">
        <v>166</v>
      </c>
      <c r="AA51" s="6" t="s">
        <v>243</v>
      </c>
      <c r="AB51" s="6" t="s">
        <v>166</v>
      </c>
      <c r="AC51" s="6" t="s">
        <v>244</v>
      </c>
      <c r="AD51" s="6" t="s">
        <v>166</v>
      </c>
      <c r="AE51" s="6" t="s">
        <v>25</v>
      </c>
      <c r="AF51" s="6" t="s">
        <v>25</v>
      </c>
      <c r="AG51" s="6" t="s">
        <v>25</v>
      </c>
      <c r="AH51" s="6" t="s">
        <v>25</v>
      </c>
      <c r="AI51" s="6" t="s">
        <v>25</v>
      </c>
    </row>
    <row r="52">
      <c r="A52" s="6" t="s">
        <v>4</v>
      </c>
      <c r="B52" s="6" t="s">
        <v>8</v>
      </c>
      <c r="C52" s="6" t="n">
        <v>13</v>
      </c>
      <c r="D52" s="6" t="s">
        <v>6</v>
      </c>
      <c r="E52" s="6" t="s">
        <v>226</v>
      </c>
      <c r="F52" s="6" t="s">
        <v>25</v>
      </c>
      <c r="G52" s="6" t="s">
        <v>25</v>
      </c>
      <c r="H52" s="6" t="s">
        <v>25</v>
      </c>
      <c r="I52" s="6" t="s">
        <v>25</v>
      </c>
      <c r="J52" s="6" t="s">
        <v>172</v>
      </c>
      <c r="K52" s="6" t="s">
        <v>25</v>
      </c>
      <c r="L52" s="6" t="s">
        <v>25</v>
      </c>
      <c r="M52" s="6" t="s">
        <v>25</v>
      </c>
      <c r="N52" s="6" t="s">
        <v>25</v>
      </c>
      <c r="O52" s="6" t="s">
        <v>25</v>
      </c>
      <c r="P52" s="6" t="s">
        <v>25</v>
      </c>
      <c r="Q52" s="6" t="s">
        <v>25</v>
      </c>
      <c r="R52" s="6" t="s">
        <v>25</v>
      </c>
      <c r="S52" s="6" t="s">
        <v>25</v>
      </c>
      <c r="T52" s="6" t="s">
        <v>130</v>
      </c>
      <c r="U52" s="6" t="s">
        <v>245</v>
      </c>
      <c r="V52" s="6" t="s">
        <v>246</v>
      </c>
      <c r="W52" s="6" t="s">
        <v>247</v>
      </c>
      <c r="X52" s="6" t="s">
        <v>166</v>
      </c>
      <c r="Y52" s="6" t="s">
        <v>248</v>
      </c>
      <c r="Z52" s="6" t="s">
        <v>166</v>
      </c>
      <c r="AA52" s="6" t="s">
        <v>249</v>
      </c>
      <c r="AB52" s="6" t="s">
        <v>166</v>
      </c>
      <c r="AC52" s="6" t="s">
        <v>250</v>
      </c>
      <c r="AD52" s="6" t="s">
        <v>166</v>
      </c>
      <c r="AE52" s="6" t="s">
        <v>25</v>
      </c>
      <c r="AF52" s="6" t="s">
        <v>25</v>
      </c>
      <c r="AG52" s="6" t="s">
        <v>25</v>
      </c>
      <c r="AH52" s="6" t="s">
        <v>25</v>
      </c>
      <c r="AI52" s="6" t="s">
        <v>25</v>
      </c>
    </row>
    <row r="53">
      <c r="A53" s="6" t="s">
        <v>4</v>
      </c>
      <c r="B53" s="6" t="s">
        <v>8</v>
      </c>
      <c r="C53" s="6" t="n">
        <v>13</v>
      </c>
      <c r="D53" s="6" t="s">
        <v>6</v>
      </c>
      <c r="E53" s="6" t="s">
        <v>226</v>
      </c>
      <c r="F53" s="6" t="s">
        <v>25</v>
      </c>
      <c r="G53" s="6" t="s">
        <v>25</v>
      </c>
      <c r="H53" s="6" t="s">
        <v>25</v>
      </c>
      <c r="I53" s="6" t="s">
        <v>25</v>
      </c>
      <c r="J53" s="6" t="s">
        <v>172</v>
      </c>
      <c r="K53" s="6" t="s">
        <v>25</v>
      </c>
      <c r="L53" s="6" t="s">
        <v>25</v>
      </c>
      <c r="M53" s="6" t="s">
        <v>25</v>
      </c>
      <c r="N53" s="6" t="s">
        <v>25</v>
      </c>
      <c r="O53" s="6" t="s">
        <v>25</v>
      </c>
      <c r="P53" s="6" t="s">
        <v>25</v>
      </c>
      <c r="Q53" s="6" t="s">
        <v>25</v>
      </c>
      <c r="R53" s="6" t="s">
        <v>25</v>
      </c>
      <c r="S53" s="6" t="s">
        <v>25</v>
      </c>
      <c r="T53" s="6" t="s">
        <v>131</v>
      </c>
      <c r="U53" s="6" t="s">
        <v>251</v>
      </c>
      <c r="V53" s="6" t="s">
        <v>252</v>
      </c>
      <c r="W53" s="6" t="s">
        <v>253</v>
      </c>
      <c r="X53" s="6" t="s">
        <v>166</v>
      </c>
      <c r="Y53" s="6" t="s">
        <v>254</v>
      </c>
      <c r="Z53" s="6" t="s">
        <v>166</v>
      </c>
      <c r="AA53" s="6" t="s">
        <v>255</v>
      </c>
      <c r="AB53" s="6" t="s">
        <v>166</v>
      </c>
      <c r="AC53" s="6" t="s">
        <v>256</v>
      </c>
      <c r="AD53" s="6" t="s">
        <v>166</v>
      </c>
      <c r="AE53" s="6" t="s">
        <v>25</v>
      </c>
      <c r="AF53" s="6" t="s">
        <v>25</v>
      </c>
      <c r="AG53" s="6" t="s">
        <v>25</v>
      </c>
      <c r="AH53" s="6" t="s">
        <v>25</v>
      </c>
      <c r="AI53" s="6" t="s">
        <v>25</v>
      </c>
    </row>
    <row r="54">
      <c r="A54" s="6" t="s">
        <v>4</v>
      </c>
      <c r="B54" s="6" t="s">
        <v>8</v>
      </c>
      <c r="C54" s="6" t="n">
        <v>13</v>
      </c>
      <c r="D54" s="6" t="s">
        <v>6</v>
      </c>
      <c r="E54" s="6" t="s">
        <v>226</v>
      </c>
      <c r="F54" s="6" t="s">
        <v>25</v>
      </c>
      <c r="G54" s="6" t="s">
        <v>25</v>
      </c>
      <c r="H54" s="6" t="s">
        <v>25</v>
      </c>
      <c r="I54" s="6" t="s">
        <v>25</v>
      </c>
      <c r="J54" s="6" t="s">
        <v>172</v>
      </c>
      <c r="K54" s="6" t="s">
        <v>25</v>
      </c>
      <c r="L54" s="6" t="s">
        <v>25</v>
      </c>
      <c r="M54" s="6" t="s">
        <v>25</v>
      </c>
      <c r="N54" s="6" t="s">
        <v>25</v>
      </c>
      <c r="O54" s="6" t="s">
        <v>25</v>
      </c>
      <c r="P54" s="6" t="s">
        <v>25</v>
      </c>
      <c r="Q54" s="6" t="s">
        <v>25</v>
      </c>
      <c r="R54" s="6" t="s">
        <v>25</v>
      </c>
      <c r="S54" s="6" t="s">
        <v>25</v>
      </c>
      <c r="T54" s="6" t="s">
        <v>132</v>
      </c>
      <c r="U54" s="6" t="s">
        <v>257</v>
      </c>
      <c r="V54" s="6" t="s">
        <v>258</v>
      </c>
      <c r="W54" s="6" t="s">
        <v>259</v>
      </c>
      <c r="X54" s="6" t="s">
        <v>166</v>
      </c>
      <c r="Y54" s="6" t="s">
        <v>260</v>
      </c>
      <c r="Z54" s="6" t="s">
        <v>166</v>
      </c>
      <c r="AA54" s="6" t="s">
        <v>261</v>
      </c>
      <c r="AB54" s="6" t="s">
        <v>166</v>
      </c>
      <c r="AC54" s="6" t="s">
        <v>262</v>
      </c>
      <c r="AD54" s="6" t="s">
        <v>166</v>
      </c>
      <c r="AE54" s="6" t="s">
        <v>25</v>
      </c>
      <c r="AF54" s="6" t="s">
        <v>25</v>
      </c>
      <c r="AG54" s="6" t="s">
        <v>25</v>
      </c>
      <c r="AH54" s="6" t="s">
        <v>25</v>
      </c>
      <c r="AI54" s="6" t="s">
        <v>25</v>
      </c>
    </row>
    <row r="55">
      <c r="A55" s="6" t="s">
        <v>4</v>
      </c>
      <c r="B55" s="6" t="s">
        <v>8</v>
      </c>
      <c r="C55" s="6" t="n">
        <v>13</v>
      </c>
      <c r="D55" s="6" t="s">
        <v>6</v>
      </c>
      <c r="E55" s="6" t="s">
        <v>226</v>
      </c>
      <c r="F55" s="6" t="s">
        <v>25</v>
      </c>
      <c r="G55" s="6" t="s">
        <v>25</v>
      </c>
      <c r="H55" s="6" t="s">
        <v>25</v>
      </c>
      <c r="I55" s="6" t="s">
        <v>25</v>
      </c>
      <c r="J55" s="6" t="s">
        <v>172</v>
      </c>
      <c r="K55" s="6" t="s">
        <v>25</v>
      </c>
      <c r="L55" s="6" t="s">
        <v>25</v>
      </c>
      <c r="M55" s="6" t="s">
        <v>25</v>
      </c>
      <c r="N55" s="6" t="s">
        <v>25</v>
      </c>
      <c r="O55" s="6" t="s">
        <v>25</v>
      </c>
      <c r="P55" s="6" t="s">
        <v>25</v>
      </c>
      <c r="Q55" s="6" t="s">
        <v>25</v>
      </c>
      <c r="R55" s="6" t="s">
        <v>25</v>
      </c>
      <c r="S55" s="6" t="s">
        <v>25</v>
      </c>
      <c r="T55" s="6" t="s">
        <v>133</v>
      </c>
      <c r="U55" s="6" t="s">
        <v>263</v>
      </c>
      <c r="V55" s="6" t="s">
        <v>264</v>
      </c>
      <c r="W55" s="6" t="s">
        <v>265</v>
      </c>
      <c r="X55" s="6" t="s">
        <v>166</v>
      </c>
      <c r="Y55" s="6" t="s">
        <v>266</v>
      </c>
      <c r="Z55" s="6" t="s">
        <v>166</v>
      </c>
      <c r="AA55" s="6" t="s">
        <v>267</v>
      </c>
      <c r="AB55" s="6" t="s">
        <v>166</v>
      </c>
      <c r="AC55" s="6" t="s">
        <v>268</v>
      </c>
      <c r="AD55" s="6" t="s">
        <v>166</v>
      </c>
      <c r="AE55" s="6" t="s">
        <v>25</v>
      </c>
      <c r="AF55" s="6" t="s">
        <v>25</v>
      </c>
      <c r="AG55" s="6" t="s">
        <v>25</v>
      </c>
      <c r="AH55" s="6" t="s">
        <v>25</v>
      </c>
      <c r="AI55" s="6" t="s">
        <v>25</v>
      </c>
    </row>
    <row r="56">
      <c r="A56" s="6" t="s">
        <v>4</v>
      </c>
      <c r="B56" s="6" t="s">
        <v>8</v>
      </c>
      <c r="C56" s="6" t="n">
        <v>13</v>
      </c>
      <c r="D56" s="6" t="s">
        <v>6</v>
      </c>
      <c r="E56" s="6" t="s">
        <v>226</v>
      </c>
      <c r="F56" s="6" t="s">
        <v>25</v>
      </c>
      <c r="G56" s="6" t="s">
        <v>25</v>
      </c>
      <c r="H56" s="6" t="s">
        <v>25</v>
      </c>
      <c r="I56" s="6" t="s">
        <v>25</v>
      </c>
      <c r="J56" s="6" t="s">
        <v>172</v>
      </c>
      <c r="K56" s="6" t="s">
        <v>25</v>
      </c>
      <c r="L56" s="6" t="s">
        <v>25</v>
      </c>
      <c r="M56" s="6" t="s">
        <v>25</v>
      </c>
      <c r="N56" s="6" t="s">
        <v>25</v>
      </c>
      <c r="O56" s="6" t="s">
        <v>25</v>
      </c>
      <c r="P56" s="6" t="s">
        <v>25</v>
      </c>
      <c r="Q56" s="6" t="s">
        <v>25</v>
      </c>
      <c r="R56" s="6" t="s">
        <v>25</v>
      </c>
      <c r="S56" s="6" t="s">
        <v>25</v>
      </c>
      <c r="T56" s="6" t="s">
        <v>134</v>
      </c>
      <c r="U56" s="6" t="s">
        <v>269</v>
      </c>
      <c r="V56" s="6" t="s">
        <v>270</v>
      </c>
      <c r="W56" s="6" t="s">
        <v>271</v>
      </c>
      <c r="X56" s="6" t="s">
        <v>166</v>
      </c>
      <c r="Y56" s="6" t="s">
        <v>272</v>
      </c>
      <c r="Z56" s="6" t="s">
        <v>166</v>
      </c>
      <c r="AA56" s="6" t="s">
        <v>273</v>
      </c>
      <c r="AB56" s="6" t="s">
        <v>166</v>
      </c>
      <c r="AC56" s="6" t="s">
        <v>274</v>
      </c>
      <c r="AD56" s="6" t="s">
        <v>166</v>
      </c>
      <c r="AE56" s="6" t="s">
        <v>25</v>
      </c>
      <c r="AF56" s="6" t="s">
        <v>25</v>
      </c>
      <c r="AG56" s="6" t="s">
        <v>25</v>
      </c>
      <c r="AH56" s="6" t="s">
        <v>25</v>
      </c>
      <c r="AI56" s="6" t="s">
        <v>25</v>
      </c>
    </row>
    <row r="57">
      <c r="A57" s="6" t="s">
        <v>4</v>
      </c>
      <c r="B57" s="6" t="s">
        <v>8</v>
      </c>
      <c r="C57" s="6" t="n">
        <v>13</v>
      </c>
      <c r="D57" s="6" t="s">
        <v>6</v>
      </c>
      <c r="E57" s="6" t="s">
        <v>226</v>
      </c>
      <c r="F57" s="6" t="s">
        <v>25</v>
      </c>
      <c r="G57" s="6" t="s">
        <v>25</v>
      </c>
      <c r="H57" s="6" t="s">
        <v>25</v>
      </c>
      <c r="I57" s="6" t="s">
        <v>25</v>
      </c>
      <c r="J57" s="6" t="s">
        <v>172</v>
      </c>
      <c r="K57" s="6" t="s">
        <v>25</v>
      </c>
      <c r="L57" s="6" t="s">
        <v>25</v>
      </c>
      <c r="M57" s="6" t="s">
        <v>25</v>
      </c>
      <c r="N57" s="6" t="s">
        <v>25</v>
      </c>
      <c r="O57" s="6" t="s">
        <v>25</v>
      </c>
      <c r="P57" s="6" t="s">
        <v>25</v>
      </c>
      <c r="Q57" s="6" t="s">
        <v>25</v>
      </c>
      <c r="R57" s="6" t="s">
        <v>25</v>
      </c>
      <c r="S57" s="6" t="s">
        <v>25</v>
      </c>
      <c r="T57" s="6" t="s">
        <v>135</v>
      </c>
      <c r="U57" s="6" t="s">
        <v>275</v>
      </c>
      <c r="V57" s="6" t="s">
        <v>276</v>
      </c>
      <c r="W57" s="6" t="s">
        <v>277</v>
      </c>
      <c r="X57" s="6" t="s">
        <v>166</v>
      </c>
      <c r="Y57" s="6" t="s">
        <v>278</v>
      </c>
      <c r="Z57" s="6" t="s">
        <v>166</v>
      </c>
      <c r="AA57" s="6" t="s">
        <v>279</v>
      </c>
      <c r="AB57" s="6" t="s">
        <v>166</v>
      </c>
      <c r="AC57" s="6" t="s">
        <v>280</v>
      </c>
      <c r="AD57" s="6" t="s">
        <v>166</v>
      </c>
      <c r="AE57" s="6" t="s">
        <v>25</v>
      </c>
      <c r="AF57" s="6" t="s">
        <v>25</v>
      </c>
      <c r="AG57" s="6" t="s">
        <v>25</v>
      </c>
      <c r="AH57" s="6" t="s">
        <v>25</v>
      </c>
      <c r="AI57" s="6" t="s">
        <v>25</v>
      </c>
    </row>
    <row r="58">
      <c r="A58" s="6" t="s">
        <v>4</v>
      </c>
      <c r="B58" s="6" t="s">
        <v>8</v>
      </c>
      <c r="C58" s="6" t="n">
        <v>13</v>
      </c>
      <c r="D58" s="6" t="s">
        <v>6</v>
      </c>
      <c r="E58" s="6" t="s">
        <v>226</v>
      </c>
      <c r="F58" s="6" t="s">
        <v>25</v>
      </c>
      <c r="G58" s="6" t="s">
        <v>25</v>
      </c>
      <c r="H58" s="6" t="s">
        <v>25</v>
      </c>
      <c r="I58" s="6" t="s">
        <v>25</v>
      </c>
      <c r="J58" s="6" t="s">
        <v>172</v>
      </c>
      <c r="K58" s="6" t="s">
        <v>25</v>
      </c>
      <c r="L58" s="6" t="s">
        <v>25</v>
      </c>
      <c r="M58" s="6" t="s">
        <v>25</v>
      </c>
      <c r="N58" s="6" t="s">
        <v>25</v>
      </c>
      <c r="O58" s="6" t="s">
        <v>25</v>
      </c>
      <c r="P58" s="6" t="s">
        <v>25</v>
      </c>
      <c r="Q58" s="6" t="s">
        <v>25</v>
      </c>
      <c r="R58" s="6" t="s">
        <v>25</v>
      </c>
      <c r="S58" s="6" t="s">
        <v>25</v>
      </c>
      <c r="T58" s="6" t="s">
        <v>136</v>
      </c>
      <c r="U58" s="6" t="s">
        <v>281</v>
      </c>
      <c r="V58" s="6" t="s">
        <v>282</v>
      </c>
      <c r="W58" s="6" t="s">
        <v>283</v>
      </c>
      <c r="X58" s="6" t="s">
        <v>166</v>
      </c>
      <c r="Y58" s="6" t="s">
        <v>284</v>
      </c>
      <c r="Z58" s="6" t="s">
        <v>166</v>
      </c>
      <c r="AA58" s="6" t="s">
        <v>285</v>
      </c>
      <c r="AB58" s="6" t="s">
        <v>166</v>
      </c>
      <c r="AC58" s="6" t="s">
        <v>286</v>
      </c>
      <c r="AD58" s="6" t="s">
        <v>166</v>
      </c>
      <c r="AE58" s="6" t="s">
        <v>25</v>
      </c>
      <c r="AF58" s="6" t="s">
        <v>25</v>
      </c>
      <c r="AG58" s="6" t="s">
        <v>25</v>
      </c>
      <c r="AH58" s="6" t="s">
        <v>25</v>
      </c>
      <c r="AI58" s="6" t="s">
        <v>25</v>
      </c>
    </row>
    <row r="59">
      <c r="A59" s="6" t="s">
        <v>4</v>
      </c>
      <c r="B59" s="6" t="s">
        <v>8</v>
      </c>
      <c r="C59" s="6" t="n">
        <v>13</v>
      </c>
      <c r="D59" s="6" t="s">
        <v>6</v>
      </c>
      <c r="E59" s="6" t="s">
        <v>226</v>
      </c>
      <c r="F59" s="6" t="s">
        <v>25</v>
      </c>
      <c r="G59" s="6" t="s">
        <v>25</v>
      </c>
      <c r="H59" s="6" t="s">
        <v>25</v>
      </c>
      <c r="I59" s="6" t="s">
        <v>25</v>
      </c>
      <c r="J59" s="6" t="s">
        <v>172</v>
      </c>
      <c r="K59" s="6" t="s">
        <v>25</v>
      </c>
      <c r="L59" s="6" t="s">
        <v>25</v>
      </c>
      <c r="M59" s="6" t="s">
        <v>25</v>
      </c>
      <c r="N59" s="6" t="s">
        <v>25</v>
      </c>
      <c r="O59" s="6" t="s">
        <v>25</v>
      </c>
      <c r="P59" s="6" t="s">
        <v>25</v>
      </c>
      <c r="Q59" s="6" t="s">
        <v>25</v>
      </c>
      <c r="R59" s="6" t="s">
        <v>25</v>
      </c>
      <c r="S59" s="6" t="s">
        <v>25</v>
      </c>
      <c r="T59" s="6" t="s">
        <v>137</v>
      </c>
      <c r="U59" s="6" t="s">
        <v>287</v>
      </c>
      <c r="V59" s="6" t="s">
        <v>288</v>
      </c>
      <c r="W59" s="6" t="s">
        <v>289</v>
      </c>
      <c r="X59" s="6" t="s">
        <v>166</v>
      </c>
      <c r="Y59" s="6" t="s">
        <v>290</v>
      </c>
      <c r="Z59" s="6" t="s">
        <v>166</v>
      </c>
      <c r="AA59" s="6" t="s">
        <v>291</v>
      </c>
      <c r="AB59" s="6" t="s">
        <v>166</v>
      </c>
      <c r="AC59" s="6" t="s">
        <v>292</v>
      </c>
      <c r="AD59" s="6" t="s">
        <v>166</v>
      </c>
      <c r="AE59" s="6" t="s">
        <v>25</v>
      </c>
      <c r="AF59" s="6" t="s">
        <v>25</v>
      </c>
      <c r="AG59" s="6" t="s">
        <v>25</v>
      </c>
      <c r="AH59" s="6" t="s">
        <v>25</v>
      </c>
      <c r="AI59" s="6" t="s">
        <v>25</v>
      </c>
    </row>
    <row r="60">
      <c r="A60" s="6" t="s">
        <v>4</v>
      </c>
      <c r="B60" s="6" t="s">
        <v>8</v>
      </c>
      <c r="C60" s="6" t="n">
        <v>13</v>
      </c>
      <c r="D60" s="6" t="s">
        <v>6</v>
      </c>
      <c r="E60" s="6" t="s">
        <v>226</v>
      </c>
      <c r="F60" s="6" t="s">
        <v>25</v>
      </c>
      <c r="G60" s="6" t="s">
        <v>25</v>
      </c>
      <c r="H60" s="6" t="s">
        <v>25</v>
      </c>
      <c r="I60" s="6" t="s">
        <v>25</v>
      </c>
      <c r="J60" s="6" t="s">
        <v>172</v>
      </c>
      <c r="K60" s="6" t="s">
        <v>25</v>
      </c>
      <c r="L60" s="6" t="s">
        <v>25</v>
      </c>
      <c r="M60" s="6" t="s">
        <v>25</v>
      </c>
      <c r="N60" s="6" t="s">
        <v>25</v>
      </c>
      <c r="O60" s="6" t="s">
        <v>25</v>
      </c>
      <c r="P60" s="6" t="s">
        <v>25</v>
      </c>
      <c r="Q60" s="6" t="s">
        <v>25</v>
      </c>
      <c r="R60" s="6" t="s">
        <v>25</v>
      </c>
      <c r="S60" s="6" t="s">
        <v>25</v>
      </c>
      <c r="T60" s="6" t="s">
        <v>138</v>
      </c>
      <c r="U60" s="6" t="s">
        <v>293</v>
      </c>
      <c r="V60" s="6" t="s">
        <v>294</v>
      </c>
      <c r="W60" s="6" t="s">
        <v>295</v>
      </c>
      <c r="X60" s="6" t="s">
        <v>166</v>
      </c>
      <c r="Y60" s="6" t="s">
        <v>296</v>
      </c>
      <c r="Z60" s="6" t="s">
        <v>166</v>
      </c>
      <c r="AA60" s="6" t="s">
        <v>297</v>
      </c>
      <c r="AB60" s="6" t="s">
        <v>166</v>
      </c>
      <c r="AC60" s="6" t="s">
        <v>298</v>
      </c>
      <c r="AD60" s="6" t="s">
        <v>166</v>
      </c>
      <c r="AE60" s="6" t="s">
        <v>25</v>
      </c>
      <c r="AF60" s="6" t="s">
        <v>25</v>
      </c>
      <c r="AG60" s="6" t="s">
        <v>25</v>
      </c>
      <c r="AH60" s="6" t="s">
        <v>25</v>
      </c>
      <c r="AI60" s="6" t="s">
        <v>25</v>
      </c>
    </row>
    <row r="61">
      <c r="A61" s="6" t="s">
        <v>4</v>
      </c>
      <c r="B61" s="6" t="s">
        <v>8</v>
      </c>
      <c r="C61" s="6" t="n">
        <v>13</v>
      </c>
      <c r="D61" s="6" t="s">
        <v>6</v>
      </c>
      <c r="E61" s="6" t="s">
        <v>226</v>
      </c>
      <c r="F61" s="6" t="s">
        <v>25</v>
      </c>
      <c r="G61" s="6" t="s">
        <v>25</v>
      </c>
      <c r="H61" s="6" t="s">
        <v>25</v>
      </c>
      <c r="I61" s="6" t="s">
        <v>25</v>
      </c>
      <c r="J61" s="6" t="s">
        <v>182</v>
      </c>
      <c r="K61" s="6" t="s">
        <v>25</v>
      </c>
      <c r="L61" s="6" t="s">
        <v>25</v>
      </c>
      <c r="M61" s="6" t="s">
        <v>25</v>
      </c>
      <c r="N61" s="6" t="s">
        <v>25</v>
      </c>
      <c r="O61" s="6" t="s">
        <v>25</v>
      </c>
      <c r="P61" s="6" t="s">
        <v>25</v>
      </c>
      <c r="Q61" s="6" t="s">
        <v>25</v>
      </c>
      <c r="R61" s="6" t="s">
        <v>25</v>
      </c>
      <c r="S61" s="6" t="s">
        <v>25</v>
      </c>
      <c r="T61" s="6" t="s">
        <v>127</v>
      </c>
      <c r="U61" s="6" t="s">
        <v>227</v>
      </c>
      <c r="V61" s="6" t="s">
        <v>228</v>
      </c>
      <c r="W61" s="6" t="s">
        <v>299</v>
      </c>
      <c r="X61" s="6" t="s">
        <v>166</v>
      </c>
      <c r="Y61" s="6" t="s">
        <v>300</v>
      </c>
      <c r="Z61" s="6" t="s">
        <v>166</v>
      </c>
      <c r="AA61" s="6" t="s">
        <v>301</v>
      </c>
      <c r="AB61" s="6" t="s">
        <v>166</v>
      </c>
      <c r="AC61" s="6" t="s">
        <v>302</v>
      </c>
      <c r="AD61" s="6" t="s">
        <v>166</v>
      </c>
      <c r="AE61" s="6" t="s">
        <v>25</v>
      </c>
      <c r="AF61" s="6" t="s">
        <v>25</v>
      </c>
      <c r="AG61" s="6" t="s">
        <v>25</v>
      </c>
      <c r="AH61" s="6" t="s">
        <v>25</v>
      </c>
      <c r="AI61" s="6" t="s">
        <v>25</v>
      </c>
    </row>
    <row r="62">
      <c r="A62" s="6" t="s">
        <v>4</v>
      </c>
      <c r="B62" s="6" t="s">
        <v>8</v>
      </c>
      <c r="C62" s="6" t="n">
        <v>13</v>
      </c>
      <c r="D62" s="6" t="s">
        <v>6</v>
      </c>
      <c r="E62" s="6" t="s">
        <v>226</v>
      </c>
      <c r="F62" s="6" t="s">
        <v>25</v>
      </c>
      <c r="G62" s="6" t="s">
        <v>25</v>
      </c>
      <c r="H62" s="6" t="s">
        <v>25</v>
      </c>
      <c r="I62" s="6" t="s">
        <v>25</v>
      </c>
      <c r="J62" s="6" t="s">
        <v>182</v>
      </c>
      <c r="K62" s="6" t="s">
        <v>25</v>
      </c>
      <c r="L62" s="6" t="s">
        <v>25</v>
      </c>
      <c r="M62" s="6" t="s">
        <v>25</v>
      </c>
      <c r="N62" s="6" t="s">
        <v>25</v>
      </c>
      <c r="O62" s="6" t="s">
        <v>25</v>
      </c>
      <c r="P62" s="6" t="s">
        <v>25</v>
      </c>
      <c r="Q62" s="6" t="s">
        <v>25</v>
      </c>
      <c r="R62" s="6" t="s">
        <v>25</v>
      </c>
      <c r="S62" s="6" t="s">
        <v>25</v>
      </c>
      <c r="T62" s="6" t="s">
        <v>128</v>
      </c>
      <c r="U62" s="6" t="s">
        <v>233</v>
      </c>
      <c r="V62" s="6" t="s">
        <v>234</v>
      </c>
      <c r="W62" s="6" t="s">
        <v>303</v>
      </c>
      <c r="X62" s="6" t="s">
        <v>166</v>
      </c>
      <c r="Y62" s="6" t="s">
        <v>304</v>
      </c>
      <c r="Z62" s="6" t="s">
        <v>166</v>
      </c>
      <c r="AA62" s="6" t="s">
        <v>305</v>
      </c>
      <c r="AB62" s="6" t="s">
        <v>166</v>
      </c>
      <c r="AC62" s="6" t="s">
        <v>306</v>
      </c>
      <c r="AD62" s="6" t="s">
        <v>166</v>
      </c>
      <c r="AE62" s="6" t="s">
        <v>25</v>
      </c>
      <c r="AF62" s="6" t="s">
        <v>25</v>
      </c>
      <c r="AG62" s="6" t="s">
        <v>25</v>
      </c>
      <c r="AH62" s="6" t="s">
        <v>25</v>
      </c>
      <c r="AI62" s="6" t="s">
        <v>25</v>
      </c>
    </row>
    <row r="63">
      <c r="A63" s="6" t="s">
        <v>4</v>
      </c>
      <c r="B63" s="6" t="s">
        <v>8</v>
      </c>
      <c r="C63" s="6" t="n">
        <v>13</v>
      </c>
      <c r="D63" s="6" t="s">
        <v>6</v>
      </c>
      <c r="E63" s="6" t="s">
        <v>226</v>
      </c>
      <c r="F63" s="6" t="s">
        <v>25</v>
      </c>
      <c r="G63" s="6" t="s">
        <v>25</v>
      </c>
      <c r="H63" s="6" t="s">
        <v>25</v>
      </c>
      <c r="I63" s="6" t="s">
        <v>25</v>
      </c>
      <c r="J63" s="6" t="s">
        <v>182</v>
      </c>
      <c r="K63" s="6" t="s">
        <v>25</v>
      </c>
      <c r="L63" s="6" t="s">
        <v>25</v>
      </c>
      <c r="M63" s="6" t="s">
        <v>25</v>
      </c>
      <c r="N63" s="6" t="s">
        <v>25</v>
      </c>
      <c r="O63" s="6" t="s">
        <v>25</v>
      </c>
      <c r="P63" s="6" t="s">
        <v>25</v>
      </c>
      <c r="Q63" s="6" t="s">
        <v>25</v>
      </c>
      <c r="R63" s="6" t="s">
        <v>25</v>
      </c>
      <c r="S63" s="6" t="s">
        <v>25</v>
      </c>
      <c r="T63" s="6" t="s">
        <v>129</v>
      </c>
      <c r="U63" s="6" t="s">
        <v>239</v>
      </c>
      <c r="V63" s="6" t="s">
        <v>240</v>
      </c>
      <c r="W63" s="6" t="s">
        <v>307</v>
      </c>
      <c r="X63" s="6" t="s">
        <v>168</v>
      </c>
      <c r="Y63" s="6" t="s">
        <v>308</v>
      </c>
      <c r="Z63" s="6" t="s">
        <v>166</v>
      </c>
      <c r="AA63" s="6" t="s">
        <v>309</v>
      </c>
      <c r="AB63" s="6" t="s">
        <v>166</v>
      </c>
      <c r="AC63" s="6" t="s">
        <v>310</v>
      </c>
      <c r="AD63" s="6" t="s">
        <v>166</v>
      </c>
      <c r="AE63" s="6" t="s">
        <v>25</v>
      </c>
      <c r="AF63" s="6" t="s">
        <v>25</v>
      </c>
      <c r="AG63" s="6" t="s">
        <v>25</v>
      </c>
      <c r="AH63" s="6" t="s">
        <v>25</v>
      </c>
      <c r="AI63" s="6" t="s">
        <v>25</v>
      </c>
    </row>
    <row r="64">
      <c r="A64" s="6" t="s">
        <v>4</v>
      </c>
      <c r="B64" s="6" t="s">
        <v>8</v>
      </c>
      <c r="C64" s="6" t="n">
        <v>13</v>
      </c>
      <c r="D64" s="6" t="s">
        <v>6</v>
      </c>
      <c r="E64" s="6" t="s">
        <v>226</v>
      </c>
      <c r="F64" s="6" t="s">
        <v>25</v>
      </c>
      <c r="G64" s="6" t="s">
        <v>25</v>
      </c>
      <c r="H64" s="6" t="s">
        <v>25</v>
      </c>
      <c r="I64" s="6" t="s">
        <v>25</v>
      </c>
      <c r="J64" s="6" t="s">
        <v>182</v>
      </c>
      <c r="K64" s="6" t="s">
        <v>25</v>
      </c>
      <c r="L64" s="6" t="s">
        <v>25</v>
      </c>
      <c r="M64" s="6" t="s">
        <v>25</v>
      </c>
      <c r="N64" s="6" t="s">
        <v>25</v>
      </c>
      <c r="O64" s="6" t="s">
        <v>25</v>
      </c>
      <c r="P64" s="6" t="s">
        <v>25</v>
      </c>
      <c r="Q64" s="6" t="s">
        <v>25</v>
      </c>
      <c r="R64" s="6" t="s">
        <v>25</v>
      </c>
      <c r="S64" s="6" t="s">
        <v>25</v>
      </c>
      <c r="T64" s="6" t="s">
        <v>130</v>
      </c>
      <c r="U64" s="6" t="s">
        <v>245</v>
      </c>
      <c r="V64" s="6" t="s">
        <v>246</v>
      </c>
      <c r="W64" s="6" t="s">
        <v>311</v>
      </c>
      <c r="X64" s="6" t="s">
        <v>166</v>
      </c>
      <c r="Y64" s="6" t="s">
        <v>312</v>
      </c>
      <c r="Z64" s="6" t="s">
        <v>166</v>
      </c>
      <c r="AA64" s="6" t="s">
        <v>313</v>
      </c>
      <c r="AB64" s="6" t="s">
        <v>166</v>
      </c>
      <c r="AC64" s="6" t="s">
        <v>314</v>
      </c>
      <c r="AD64" s="6" t="s">
        <v>166</v>
      </c>
      <c r="AE64" s="6" t="s">
        <v>25</v>
      </c>
      <c r="AF64" s="6" t="s">
        <v>25</v>
      </c>
      <c r="AG64" s="6" t="s">
        <v>25</v>
      </c>
      <c r="AH64" s="6" t="s">
        <v>25</v>
      </c>
      <c r="AI64" s="6" t="s">
        <v>25</v>
      </c>
    </row>
    <row r="65">
      <c r="A65" s="6" t="s">
        <v>4</v>
      </c>
      <c r="B65" s="6" t="s">
        <v>8</v>
      </c>
      <c r="C65" s="6" t="n">
        <v>13</v>
      </c>
      <c r="D65" s="6" t="s">
        <v>6</v>
      </c>
      <c r="E65" s="6" t="s">
        <v>226</v>
      </c>
      <c r="F65" s="6" t="s">
        <v>25</v>
      </c>
      <c r="G65" s="6" t="s">
        <v>25</v>
      </c>
      <c r="H65" s="6" t="s">
        <v>25</v>
      </c>
      <c r="I65" s="6" t="s">
        <v>25</v>
      </c>
      <c r="J65" s="6" t="s">
        <v>182</v>
      </c>
      <c r="K65" s="6" t="s">
        <v>25</v>
      </c>
      <c r="L65" s="6" t="s">
        <v>25</v>
      </c>
      <c r="M65" s="6" t="s">
        <v>25</v>
      </c>
      <c r="N65" s="6" t="s">
        <v>25</v>
      </c>
      <c r="O65" s="6" t="s">
        <v>25</v>
      </c>
      <c r="P65" s="6" t="s">
        <v>25</v>
      </c>
      <c r="Q65" s="6" t="s">
        <v>25</v>
      </c>
      <c r="R65" s="6" t="s">
        <v>25</v>
      </c>
      <c r="S65" s="6" t="s">
        <v>25</v>
      </c>
      <c r="T65" s="6" t="s">
        <v>131</v>
      </c>
      <c r="U65" s="6" t="s">
        <v>251</v>
      </c>
      <c r="V65" s="6" t="s">
        <v>252</v>
      </c>
      <c r="W65" s="6" t="s">
        <v>315</v>
      </c>
      <c r="X65" s="6" t="s">
        <v>166</v>
      </c>
      <c r="Y65" s="6" t="s">
        <v>316</v>
      </c>
      <c r="Z65" s="6" t="s">
        <v>166</v>
      </c>
      <c r="AA65" s="6" t="s">
        <v>317</v>
      </c>
      <c r="AB65" s="6" t="s">
        <v>166</v>
      </c>
      <c r="AC65" s="6" t="s">
        <v>318</v>
      </c>
      <c r="AD65" s="6" t="s">
        <v>166</v>
      </c>
      <c r="AE65" s="6" t="s">
        <v>25</v>
      </c>
      <c r="AF65" s="6" t="s">
        <v>25</v>
      </c>
      <c r="AG65" s="6" t="s">
        <v>25</v>
      </c>
      <c r="AH65" s="6" t="s">
        <v>25</v>
      </c>
      <c r="AI65" s="6" t="s">
        <v>25</v>
      </c>
    </row>
    <row r="66">
      <c r="A66" s="6" t="s">
        <v>4</v>
      </c>
      <c r="B66" s="6" t="s">
        <v>8</v>
      </c>
      <c r="C66" s="6" t="n">
        <v>13</v>
      </c>
      <c r="D66" s="6" t="s">
        <v>6</v>
      </c>
      <c r="E66" s="6" t="s">
        <v>226</v>
      </c>
      <c r="F66" s="6" t="s">
        <v>25</v>
      </c>
      <c r="G66" s="6" t="s">
        <v>25</v>
      </c>
      <c r="H66" s="6" t="s">
        <v>25</v>
      </c>
      <c r="I66" s="6" t="s">
        <v>25</v>
      </c>
      <c r="J66" s="6" t="s">
        <v>182</v>
      </c>
      <c r="K66" s="6" t="s">
        <v>25</v>
      </c>
      <c r="L66" s="6" t="s">
        <v>25</v>
      </c>
      <c r="M66" s="6" t="s">
        <v>25</v>
      </c>
      <c r="N66" s="6" t="s">
        <v>25</v>
      </c>
      <c r="O66" s="6" t="s">
        <v>25</v>
      </c>
      <c r="P66" s="6" t="s">
        <v>25</v>
      </c>
      <c r="Q66" s="6" t="s">
        <v>25</v>
      </c>
      <c r="R66" s="6" t="s">
        <v>25</v>
      </c>
      <c r="S66" s="6" t="s">
        <v>25</v>
      </c>
      <c r="T66" s="6" t="s">
        <v>132</v>
      </c>
      <c r="U66" s="6" t="s">
        <v>257</v>
      </c>
      <c r="V66" s="6" t="s">
        <v>258</v>
      </c>
      <c r="W66" s="6" t="s">
        <v>319</v>
      </c>
      <c r="X66" s="6" t="s">
        <v>166</v>
      </c>
      <c r="Y66" s="6" t="s">
        <v>320</v>
      </c>
      <c r="Z66" s="6" t="s">
        <v>166</v>
      </c>
      <c r="AA66" s="6" t="s">
        <v>321</v>
      </c>
      <c r="AB66" s="6" t="s">
        <v>166</v>
      </c>
      <c r="AC66" s="6" t="s">
        <v>322</v>
      </c>
      <c r="AD66" s="6" t="s">
        <v>166</v>
      </c>
      <c r="AE66" s="6" t="s">
        <v>25</v>
      </c>
      <c r="AF66" s="6" t="s">
        <v>25</v>
      </c>
      <c r="AG66" s="6" t="s">
        <v>25</v>
      </c>
      <c r="AH66" s="6" t="s">
        <v>25</v>
      </c>
      <c r="AI66" s="6" t="s">
        <v>25</v>
      </c>
    </row>
    <row r="67">
      <c r="A67" s="6" t="s">
        <v>4</v>
      </c>
      <c r="B67" s="6" t="s">
        <v>8</v>
      </c>
      <c r="C67" s="6" t="n">
        <v>13</v>
      </c>
      <c r="D67" s="6" t="s">
        <v>6</v>
      </c>
      <c r="E67" s="6" t="s">
        <v>226</v>
      </c>
      <c r="F67" s="6" t="s">
        <v>25</v>
      </c>
      <c r="G67" s="6" t="s">
        <v>25</v>
      </c>
      <c r="H67" s="6" t="s">
        <v>25</v>
      </c>
      <c r="I67" s="6" t="s">
        <v>25</v>
      </c>
      <c r="J67" s="6" t="s">
        <v>182</v>
      </c>
      <c r="K67" s="6" t="s">
        <v>25</v>
      </c>
      <c r="L67" s="6" t="s">
        <v>25</v>
      </c>
      <c r="M67" s="6" t="s">
        <v>25</v>
      </c>
      <c r="N67" s="6" t="s">
        <v>25</v>
      </c>
      <c r="O67" s="6" t="s">
        <v>25</v>
      </c>
      <c r="P67" s="6" t="s">
        <v>25</v>
      </c>
      <c r="Q67" s="6" t="s">
        <v>25</v>
      </c>
      <c r="R67" s="6" t="s">
        <v>25</v>
      </c>
      <c r="S67" s="6" t="s">
        <v>25</v>
      </c>
      <c r="T67" s="6" t="s">
        <v>133</v>
      </c>
      <c r="U67" s="6" t="s">
        <v>263</v>
      </c>
      <c r="V67" s="6" t="s">
        <v>264</v>
      </c>
      <c r="W67" s="6" t="s">
        <v>323</v>
      </c>
      <c r="X67" s="6" t="s">
        <v>168</v>
      </c>
      <c r="Y67" s="6" t="s">
        <v>324</v>
      </c>
      <c r="Z67" s="6" t="s">
        <v>166</v>
      </c>
      <c r="AA67" s="6" t="s">
        <v>325</v>
      </c>
      <c r="AB67" s="6" t="s">
        <v>166</v>
      </c>
      <c r="AC67" s="6" t="s">
        <v>326</v>
      </c>
      <c r="AD67" s="6" t="s">
        <v>166</v>
      </c>
      <c r="AE67" s="6" t="s">
        <v>25</v>
      </c>
      <c r="AF67" s="6" t="s">
        <v>25</v>
      </c>
      <c r="AG67" s="6" t="s">
        <v>25</v>
      </c>
      <c r="AH67" s="6" t="s">
        <v>25</v>
      </c>
      <c r="AI67" s="6" t="s">
        <v>25</v>
      </c>
    </row>
    <row r="68">
      <c r="A68" s="6" t="s">
        <v>4</v>
      </c>
      <c r="B68" s="6" t="s">
        <v>8</v>
      </c>
      <c r="C68" s="6" t="n">
        <v>13</v>
      </c>
      <c r="D68" s="6" t="s">
        <v>6</v>
      </c>
      <c r="E68" s="6" t="s">
        <v>226</v>
      </c>
      <c r="F68" s="6" t="s">
        <v>25</v>
      </c>
      <c r="G68" s="6" t="s">
        <v>25</v>
      </c>
      <c r="H68" s="6" t="s">
        <v>25</v>
      </c>
      <c r="I68" s="6" t="s">
        <v>25</v>
      </c>
      <c r="J68" s="6" t="s">
        <v>182</v>
      </c>
      <c r="K68" s="6" t="s">
        <v>25</v>
      </c>
      <c r="L68" s="6" t="s">
        <v>25</v>
      </c>
      <c r="M68" s="6" t="s">
        <v>25</v>
      </c>
      <c r="N68" s="6" t="s">
        <v>25</v>
      </c>
      <c r="O68" s="6" t="s">
        <v>25</v>
      </c>
      <c r="P68" s="6" t="s">
        <v>25</v>
      </c>
      <c r="Q68" s="6" t="s">
        <v>25</v>
      </c>
      <c r="R68" s="6" t="s">
        <v>25</v>
      </c>
      <c r="S68" s="6" t="s">
        <v>25</v>
      </c>
      <c r="T68" s="6" t="s">
        <v>134</v>
      </c>
      <c r="U68" s="6" t="s">
        <v>269</v>
      </c>
      <c r="V68" s="6" t="s">
        <v>270</v>
      </c>
      <c r="W68" s="6" t="s">
        <v>327</v>
      </c>
      <c r="X68" s="6" t="s">
        <v>166</v>
      </c>
      <c r="Y68" s="6" t="s">
        <v>328</v>
      </c>
      <c r="Z68" s="6" t="s">
        <v>166</v>
      </c>
      <c r="AA68" s="6" t="s">
        <v>329</v>
      </c>
      <c r="AB68" s="6" t="s">
        <v>166</v>
      </c>
      <c r="AC68" s="6" t="s">
        <v>330</v>
      </c>
      <c r="AD68" s="6" t="s">
        <v>166</v>
      </c>
      <c r="AE68" s="6" t="s">
        <v>25</v>
      </c>
      <c r="AF68" s="6" t="s">
        <v>25</v>
      </c>
      <c r="AG68" s="6" t="s">
        <v>25</v>
      </c>
      <c r="AH68" s="6" t="s">
        <v>25</v>
      </c>
      <c r="AI68" s="6" t="s">
        <v>25</v>
      </c>
    </row>
    <row r="69">
      <c r="A69" s="6" t="s">
        <v>4</v>
      </c>
      <c r="B69" s="6" t="s">
        <v>8</v>
      </c>
      <c r="C69" s="6" t="n">
        <v>13</v>
      </c>
      <c r="D69" s="6" t="s">
        <v>6</v>
      </c>
      <c r="E69" s="6" t="s">
        <v>226</v>
      </c>
      <c r="F69" s="6" t="s">
        <v>25</v>
      </c>
      <c r="G69" s="6" t="s">
        <v>25</v>
      </c>
      <c r="H69" s="6" t="s">
        <v>25</v>
      </c>
      <c r="I69" s="6" t="s">
        <v>25</v>
      </c>
      <c r="J69" s="6" t="s">
        <v>182</v>
      </c>
      <c r="K69" s="6" t="s">
        <v>25</v>
      </c>
      <c r="L69" s="6" t="s">
        <v>25</v>
      </c>
      <c r="M69" s="6" t="s">
        <v>25</v>
      </c>
      <c r="N69" s="6" t="s">
        <v>25</v>
      </c>
      <c r="O69" s="6" t="s">
        <v>25</v>
      </c>
      <c r="P69" s="6" t="s">
        <v>25</v>
      </c>
      <c r="Q69" s="6" t="s">
        <v>25</v>
      </c>
      <c r="R69" s="6" t="s">
        <v>25</v>
      </c>
      <c r="S69" s="6" t="s">
        <v>25</v>
      </c>
      <c r="T69" s="6" t="s">
        <v>135</v>
      </c>
      <c r="U69" s="6" t="s">
        <v>275</v>
      </c>
      <c r="V69" s="6" t="s">
        <v>276</v>
      </c>
      <c r="W69" s="6" t="s">
        <v>331</v>
      </c>
      <c r="X69" s="6" t="s">
        <v>166</v>
      </c>
      <c r="Y69" s="6" t="s">
        <v>332</v>
      </c>
      <c r="Z69" s="6" t="s">
        <v>166</v>
      </c>
      <c r="AA69" s="6" t="s">
        <v>333</v>
      </c>
      <c r="AB69" s="6" t="s">
        <v>166</v>
      </c>
      <c r="AC69" s="6" t="s">
        <v>334</v>
      </c>
      <c r="AD69" s="6" t="s">
        <v>166</v>
      </c>
      <c r="AE69" s="6" t="s">
        <v>25</v>
      </c>
      <c r="AF69" s="6" t="s">
        <v>25</v>
      </c>
      <c r="AG69" s="6" t="s">
        <v>25</v>
      </c>
      <c r="AH69" s="6" t="s">
        <v>25</v>
      </c>
      <c r="AI69" s="6" t="s">
        <v>25</v>
      </c>
    </row>
    <row r="70">
      <c r="A70" s="6" t="s">
        <v>4</v>
      </c>
      <c r="B70" s="6" t="s">
        <v>8</v>
      </c>
      <c r="C70" s="6" t="n">
        <v>13</v>
      </c>
      <c r="D70" s="6" t="s">
        <v>6</v>
      </c>
      <c r="E70" s="6" t="s">
        <v>226</v>
      </c>
      <c r="F70" s="6" t="s">
        <v>25</v>
      </c>
      <c r="G70" s="6" t="s">
        <v>25</v>
      </c>
      <c r="H70" s="6" t="s">
        <v>25</v>
      </c>
      <c r="I70" s="6" t="s">
        <v>25</v>
      </c>
      <c r="J70" s="6" t="s">
        <v>182</v>
      </c>
      <c r="K70" s="6" t="s">
        <v>25</v>
      </c>
      <c r="L70" s="6" t="s">
        <v>25</v>
      </c>
      <c r="M70" s="6" t="s">
        <v>25</v>
      </c>
      <c r="N70" s="6" t="s">
        <v>25</v>
      </c>
      <c r="O70" s="6" t="s">
        <v>25</v>
      </c>
      <c r="P70" s="6" t="s">
        <v>25</v>
      </c>
      <c r="Q70" s="6" t="s">
        <v>25</v>
      </c>
      <c r="R70" s="6" t="s">
        <v>25</v>
      </c>
      <c r="S70" s="6" t="s">
        <v>25</v>
      </c>
      <c r="T70" s="6" t="s">
        <v>136</v>
      </c>
      <c r="U70" s="6" t="s">
        <v>281</v>
      </c>
      <c r="V70" s="6" t="s">
        <v>282</v>
      </c>
      <c r="W70" s="6" t="s">
        <v>335</v>
      </c>
      <c r="X70" s="6" t="s">
        <v>166</v>
      </c>
      <c r="Y70" s="6" t="s">
        <v>336</v>
      </c>
      <c r="Z70" s="6" t="s">
        <v>166</v>
      </c>
      <c r="AA70" s="6" t="s">
        <v>337</v>
      </c>
      <c r="AB70" s="6" t="s">
        <v>166</v>
      </c>
      <c r="AC70" s="6" t="s">
        <v>338</v>
      </c>
      <c r="AD70" s="6" t="s">
        <v>166</v>
      </c>
      <c r="AE70" s="6" t="s">
        <v>25</v>
      </c>
      <c r="AF70" s="6" t="s">
        <v>25</v>
      </c>
      <c r="AG70" s="6" t="s">
        <v>25</v>
      </c>
      <c r="AH70" s="6" t="s">
        <v>25</v>
      </c>
      <c r="AI70" s="6" t="s">
        <v>25</v>
      </c>
    </row>
    <row r="71">
      <c r="A71" s="6" t="s">
        <v>4</v>
      </c>
      <c r="B71" s="6" t="s">
        <v>8</v>
      </c>
      <c r="C71" s="6" t="n">
        <v>13</v>
      </c>
      <c r="D71" s="6" t="s">
        <v>6</v>
      </c>
      <c r="E71" s="6" t="s">
        <v>226</v>
      </c>
      <c r="F71" s="6" t="s">
        <v>25</v>
      </c>
      <c r="G71" s="6" t="s">
        <v>25</v>
      </c>
      <c r="H71" s="6" t="s">
        <v>25</v>
      </c>
      <c r="I71" s="6" t="s">
        <v>25</v>
      </c>
      <c r="J71" s="6" t="s">
        <v>182</v>
      </c>
      <c r="K71" s="6" t="s">
        <v>25</v>
      </c>
      <c r="L71" s="6" t="s">
        <v>25</v>
      </c>
      <c r="M71" s="6" t="s">
        <v>25</v>
      </c>
      <c r="N71" s="6" t="s">
        <v>25</v>
      </c>
      <c r="O71" s="6" t="s">
        <v>25</v>
      </c>
      <c r="P71" s="6" t="s">
        <v>25</v>
      </c>
      <c r="Q71" s="6" t="s">
        <v>25</v>
      </c>
      <c r="R71" s="6" t="s">
        <v>25</v>
      </c>
      <c r="S71" s="6" t="s">
        <v>25</v>
      </c>
      <c r="T71" s="6" t="s">
        <v>137</v>
      </c>
      <c r="U71" s="6" t="s">
        <v>287</v>
      </c>
      <c r="V71" s="6" t="s">
        <v>288</v>
      </c>
      <c r="W71" s="6" t="s">
        <v>339</v>
      </c>
      <c r="X71" s="6" t="s">
        <v>166</v>
      </c>
      <c r="Y71" s="6" t="s">
        <v>340</v>
      </c>
      <c r="Z71" s="6" t="s">
        <v>166</v>
      </c>
      <c r="AA71" s="6" t="s">
        <v>341</v>
      </c>
      <c r="AB71" s="6" t="s">
        <v>166</v>
      </c>
      <c r="AC71" s="6" t="s">
        <v>342</v>
      </c>
      <c r="AD71" s="6" t="s">
        <v>166</v>
      </c>
      <c r="AE71" s="6" t="s">
        <v>25</v>
      </c>
      <c r="AF71" s="6" t="s">
        <v>25</v>
      </c>
      <c r="AG71" s="6" t="s">
        <v>25</v>
      </c>
      <c r="AH71" s="6" t="s">
        <v>25</v>
      </c>
      <c r="AI71" s="6" t="s">
        <v>25</v>
      </c>
    </row>
    <row r="72">
      <c r="A72" s="6" t="s">
        <v>4</v>
      </c>
      <c r="B72" s="6" t="s">
        <v>8</v>
      </c>
      <c r="C72" s="6" t="n">
        <v>13</v>
      </c>
      <c r="D72" s="6" t="s">
        <v>6</v>
      </c>
      <c r="E72" s="6" t="s">
        <v>226</v>
      </c>
      <c r="F72" s="6" t="s">
        <v>25</v>
      </c>
      <c r="G72" s="6" t="s">
        <v>25</v>
      </c>
      <c r="H72" s="6" t="s">
        <v>25</v>
      </c>
      <c r="I72" s="6" t="s">
        <v>25</v>
      </c>
      <c r="J72" s="6" t="s">
        <v>182</v>
      </c>
      <c r="K72" s="6" t="s">
        <v>25</v>
      </c>
      <c r="L72" s="6" t="s">
        <v>25</v>
      </c>
      <c r="M72" s="6" t="s">
        <v>25</v>
      </c>
      <c r="N72" s="6" t="s">
        <v>25</v>
      </c>
      <c r="O72" s="6" t="s">
        <v>25</v>
      </c>
      <c r="P72" s="6" t="s">
        <v>25</v>
      </c>
      <c r="Q72" s="6" t="s">
        <v>25</v>
      </c>
      <c r="R72" s="6" t="s">
        <v>25</v>
      </c>
      <c r="S72" s="6" t="s">
        <v>25</v>
      </c>
      <c r="T72" s="6" t="s">
        <v>138</v>
      </c>
      <c r="U72" s="6" t="s">
        <v>293</v>
      </c>
      <c r="V72" s="6" t="s">
        <v>294</v>
      </c>
      <c r="W72" s="6" t="s">
        <v>343</v>
      </c>
      <c r="X72" s="6" t="s">
        <v>166</v>
      </c>
      <c r="Y72" s="6" t="s">
        <v>344</v>
      </c>
      <c r="Z72" s="6" t="s">
        <v>166</v>
      </c>
      <c r="AA72" s="6" t="s">
        <v>345</v>
      </c>
      <c r="AB72" s="6" t="s">
        <v>166</v>
      </c>
      <c r="AC72" s="6" t="s">
        <v>346</v>
      </c>
      <c r="AD72" s="6" t="s">
        <v>166</v>
      </c>
      <c r="AE72" s="6" t="s">
        <v>25</v>
      </c>
      <c r="AF72" s="6" t="s">
        <v>25</v>
      </c>
      <c r="AG72" s="6" t="s">
        <v>25</v>
      </c>
      <c r="AH72" s="6" t="s">
        <v>25</v>
      </c>
      <c r="AI72" s="6" t="s">
        <v>25</v>
      </c>
    </row>
    <row r="73">
      <c r="A73" s="6" t="s">
        <v>4</v>
      </c>
      <c r="B73" s="6" t="s">
        <v>8</v>
      </c>
      <c r="C73" s="6" t="n">
        <v>13</v>
      </c>
      <c r="D73" s="6" t="s">
        <v>6</v>
      </c>
      <c r="E73" s="6" t="s">
        <v>226</v>
      </c>
      <c r="F73" s="6" t="s">
        <v>25</v>
      </c>
      <c r="G73" s="6" t="s">
        <v>25</v>
      </c>
      <c r="H73" s="6" t="s">
        <v>25</v>
      </c>
      <c r="I73" s="6" t="s">
        <v>25</v>
      </c>
      <c r="J73" s="6" t="s">
        <v>189</v>
      </c>
      <c r="K73" s="6" t="s">
        <v>25</v>
      </c>
      <c r="L73" s="6" t="s">
        <v>25</v>
      </c>
      <c r="M73" s="6" t="s">
        <v>25</v>
      </c>
      <c r="N73" s="6" t="s">
        <v>25</v>
      </c>
      <c r="O73" s="6" t="s">
        <v>25</v>
      </c>
      <c r="P73" s="6" t="s">
        <v>25</v>
      </c>
      <c r="Q73" s="6" t="s">
        <v>25</v>
      </c>
      <c r="R73" s="6" t="s">
        <v>25</v>
      </c>
      <c r="S73" s="6" t="s">
        <v>25</v>
      </c>
      <c r="T73" s="6" t="s">
        <v>127</v>
      </c>
      <c r="U73" s="6" t="s">
        <v>227</v>
      </c>
      <c r="V73" s="6" t="s">
        <v>228</v>
      </c>
      <c r="W73" s="6" t="s">
        <v>347</v>
      </c>
      <c r="X73" s="6" t="s">
        <v>166</v>
      </c>
      <c r="Y73" s="6" t="s">
        <v>348</v>
      </c>
      <c r="Z73" s="6" t="s">
        <v>166</v>
      </c>
      <c r="AA73" s="6" t="s">
        <v>349</v>
      </c>
      <c r="AB73" s="6" t="s">
        <v>166</v>
      </c>
      <c r="AC73" s="6" t="s">
        <v>350</v>
      </c>
      <c r="AD73" s="6" t="s">
        <v>166</v>
      </c>
      <c r="AE73" s="6" t="s">
        <v>25</v>
      </c>
      <c r="AF73" s="6" t="s">
        <v>25</v>
      </c>
      <c r="AG73" s="6" t="s">
        <v>25</v>
      </c>
      <c r="AH73" s="6" t="s">
        <v>25</v>
      </c>
      <c r="AI73" s="6" t="s">
        <v>25</v>
      </c>
    </row>
    <row r="74">
      <c r="A74" s="6" t="s">
        <v>4</v>
      </c>
      <c r="B74" s="6" t="s">
        <v>8</v>
      </c>
      <c r="C74" s="6" t="n">
        <v>13</v>
      </c>
      <c r="D74" s="6" t="s">
        <v>6</v>
      </c>
      <c r="E74" s="6" t="s">
        <v>226</v>
      </c>
      <c r="F74" s="6" t="s">
        <v>25</v>
      </c>
      <c r="G74" s="6" t="s">
        <v>25</v>
      </c>
      <c r="H74" s="6" t="s">
        <v>25</v>
      </c>
      <c r="I74" s="6" t="s">
        <v>25</v>
      </c>
      <c r="J74" s="6" t="s">
        <v>189</v>
      </c>
      <c r="K74" s="6" t="s">
        <v>25</v>
      </c>
      <c r="L74" s="6" t="s">
        <v>25</v>
      </c>
      <c r="M74" s="6" t="s">
        <v>25</v>
      </c>
      <c r="N74" s="6" t="s">
        <v>25</v>
      </c>
      <c r="O74" s="6" t="s">
        <v>25</v>
      </c>
      <c r="P74" s="6" t="s">
        <v>25</v>
      </c>
      <c r="Q74" s="6" t="s">
        <v>25</v>
      </c>
      <c r="R74" s="6" t="s">
        <v>25</v>
      </c>
      <c r="S74" s="6" t="s">
        <v>25</v>
      </c>
      <c r="T74" s="6" t="s">
        <v>128</v>
      </c>
      <c r="U74" s="6" t="s">
        <v>233</v>
      </c>
      <c r="V74" s="6" t="s">
        <v>234</v>
      </c>
      <c r="W74" s="6" t="s">
        <v>351</v>
      </c>
      <c r="X74" s="6" t="s">
        <v>166</v>
      </c>
      <c r="Y74" s="6" t="s">
        <v>352</v>
      </c>
      <c r="Z74" s="6" t="s">
        <v>166</v>
      </c>
      <c r="AA74" s="6" t="s">
        <v>353</v>
      </c>
      <c r="AB74" s="6" t="s">
        <v>166</v>
      </c>
      <c r="AC74" s="6" t="s">
        <v>354</v>
      </c>
      <c r="AD74" s="6" t="s">
        <v>166</v>
      </c>
      <c r="AE74" s="6" t="s">
        <v>25</v>
      </c>
      <c r="AF74" s="6" t="s">
        <v>25</v>
      </c>
      <c r="AG74" s="6" t="s">
        <v>25</v>
      </c>
      <c r="AH74" s="6" t="s">
        <v>25</v>
      </c>
      <c r="AI74" s="6" t="s">
        <v>25</v>
      </c>
    </row>
    <row r="75">
      <c r="A75" s="6" t="s">
        <v>4</v>
      </c>
      <c r="B75" s="6" t="s">
        <v>8</v>
      </c>
      <c r="C75" s="6" t="n">
        <v>13</v>
      </c>
      <c r="D75" s="6" t="s">
        <v>6</v>
      </c>
      <c r="E75" s="6" t="s">
        <v>226</v>
      </c>
      <c r="F75" s="6" t="s">
        <v>25</v>
      </c>
      <c r="G75" s="6" t="s">
        <v>25</v>
      </c>
      <c r="H75" s="6" t="s">
        <v>25</v>
      </c>
      <c r="I75" s="6" t="s">
        <v>25</v>
      </c>
      <c r="J75" s="6" t="s">
        <v>189</v>
      </c>
      <c r="K75" s="6" t="s">
        <v>25</v>
      </c>
      <c r="L75" s="6" t="s">
        <v>25</v>
      </c>
      <c r="M75" s="6" t="s">
        <v>25</v>
      </c>
      <c r="N75" s="6" t="s">
        <v>25</v>
      </c>
      <c r="O75" s="6" t="s">
        <v>25</v>
      </c>
      <c r="P75" s="6" t="s">
        <v>25</v>
      </c>
      <c r="Q75" s="6" t="s">
        <v>25</v>
      </c>
      <c r="R75" s="6" t="s">
        <v>25</v>
      </c>
      <c r="S75" s="6" t="s">
        <v>25</v>
      </c>
      <c r="T75" s="6" t="s">
        <v>129</v>
      </c>
      <c r="U75" s="6" t="s">
        <v>239</v>
      </c>
      <c r="V75" s="6" t="s">
        <v>240</v>
      </c>
      <c r="W75" s="6" t="s">
        <v>355</v>
      </c>
      <c r="X75" s="6" t="s">
        <v>167</v>
      </c>
      <c r="Y75" s="6" t="s">
        <v>356</v>
      </c>
      <c r="Z75" s="6" t="s">
        <v>166</v>
      </c>
      <c r="AA75" s="6" t="s">
        <v>357</v>
      </c>
      <c r="AB75" s="6" t="s">
        <v>166</v>
      </c>
      <c r="AC75" s="6" t="s">
        <v>358</v>
      </c>
      <c r="AD75" s="6" t="s">
        <v>166</v>
      </c>
      <c r="AE75" s="6" t="s">
        <v>25</v>
      </c>
      <c r="AF75" s="6" t="s">
        <v>25</v>
      </c>
      <c r="AG75" s="6" t="s">
        <v>25</v>
      </c>
      <c r="AH75" s="6" t="s">
        <v>25</v>
      </c>
      <c r="AI75" s="6" t="s">
        <v>25</v>
      </c>
    </row>
    <row r="76">
      <c r="A76" s="6" t="s">
        <v>4</v>
      </c>
      <c r="B76" s="6" t="s">
        <v>8</v>
      </c>
      <c r="C76" s="6" t="n">
        <v>13</v>
      </c>
      <c r="D76" s="6" t="s">
        <v>6</v>
      </c>
      <c r="E76" s="6" t="s">
        <v>226</v>
      </c>
      <c r="F76" s="6" t="s">
        <v>25</v>
      </c>
      <c r="G76" s="6" t="s">
        <v>25</v>
      </c>
      <c r="H76" s="6" t="s">
        <v>25</v>
      </c>
      <c r="I76" s="6" t="s">
        <v>25</v>
      </c>
      <c r="J76" s="6" t="s">
        <v>189</v>
      </c>
      <c r="K76" s="6" t="s">
        <v>25</v>
      </c>
      <c r="L76" s="6" t="s">
        <v>25</v>
      </c>
      <c r="M76" s="6" t="s">
        <v>25</v>
      </c>
      <c r="N76" s="6" t="s">
        <v>25</v>
      </c>
      <c r="O76" s="6" t="s">
        <v>25</v>
      </c>
      <c r="P76" s="6" t="s">
        <v>25</v>
      </c>
      <c r="Q76" s="6" t="s">
        <v>25</v>
      </c>
      <c r="R76" s="6" t="s">
        <v>25</v>
      </c>
      <c r="S76" s="6" t="s">
        <v>25</v>
      </c>
      <c r="T76" s="6" t="s">
        <v>130</v>
      </c>
      <c r="U76" s="6" t="s">
        <v>245</v>
      </c>
      <c r="V76" s="6" t="s">
        <v>246</v>
      </c>
      <c r="W76" s="6" t="s">
        <v>359</v>
      </c>
      <c r="X76" s="6" t="s">
        <v>166</v>
      </c>
      <c r="Y76" s="6" t="s">
        <v>360</v>
      </c>
      <c r="Z76" s="6" t="s">
        <v>166</v>
      </c>
      <c r="AA76" s="6" t="s">
        <v>361</v>
      </c>
      <c r="AB76" s="6" t="s">
        <v>166</v>
      </c>
      <c r="AC76" s="6" t="s">
        <v>362</v>
      </c>
      <c r="AD76" s="6" t="s">
        <v>166</v>
      </c>
      <c r="AE76" s="6" t="s">
        <v>25</v>
      </c>
      <c r="AF76" s="6" t="s">
        <v>25</v>
      </c>
      <c r="AG76" s="6" t="s">
        <v>25</v>
      </c>
      <c r="AH76" s="6" t="s">
        <v>25</v>
      </c>
      <c r="AI76" s="6" t="s">
        <v>25</v>
      </c>
    </row>
    <row r="77">
      <c r="A77" s="6" t="s">
        <v>4</v>
      </c>
      <c r="B77" s="6" t="s">
        <v>8</v>
      </c>
      <c r="C77" s="6" t="n">
        <v>13</v>
      </c>
      <c r="D77" s="6" t="s">
        <v>6</v>
      </c>
      <c r="E77" s="6" t="s">
        <v>226</v>
      </c>
      <c r="F77" s="6" t="s">
        <v>25</v>
      </c>
      <c r="G77" s="6" t="s">
        <v>25</v>
      </c>
      <c r="H77" s="6" t="s">
        <v>25</v>
      </c>
      <c r="I77" s="6" t="s">
        <v>25</v>
      </c>
      <c r="J77" s="6" t="s">
        <v>189</v>
      </c>
      <c r="K77" s="6" t="s">
        <v>25</v>
      </c>
      <c r="L77" s="6" t="s">
        <v>25</v>
      </c>
      <c r="M77" s="6" t="s">
        <v>25</v>
      </c>
      <c r="N77" s="6" t="s">
        <v>25</v>
      </c>
      <c r="O77" s="6" t="s">
        <v>25</v>
      </c>
      <c r="P77" s="6" t="s">
        <v>25</v>
      </c>
      <c r="Q77" s="6" t="s">
        <v>25</v>
      </c>
      <c r="R77" s="6" t="s">
        <v>25</v>
      </c>
      <c r="S77" s="6" t="s">
        <v>25</v>
      </c>
      <c r="T77" s="6" t="s">
        <v>131</v>
      </c>
      <c r="U77" s="6" t="s">
        <v>251</v>
      </c>
      <c r="V77" s="6" t="s">
        <v>252</v>
      </c>
      <c r="W77" s="6" t="s">
        <v>363</v>
      </c>
      <c r="X77" s="6" t="s">
        <v>166</v>
      </c>
      <c r="Y77" s="6" t="s">
        <v>364</v>
      </c>
      <c r="Z77" s="6" t="s">
        <v>166</v>
      </c>
      <c r="AA77" s="6" t="s">
        <v>365</v>
      </c>
      <c r="AB77" s="6" t="s">
        <v>166</v>
      </c>
      <c r="AC77" s="6" t="s">
        <v>366</v>
      </c>
      <c r="AD77" s="6" t="s">
        <v>166</v>
      </c>
      <c r="AE77" s="6" t="s">
        <v>25</v>
      </c>
      <c r="AF77" s="6" t="s">
        <v>25</v>
      </c>
      <c r="AG77" s="6" t="s">
        <v>25</v>
      </c>
      <c r="AH77" s="6" t="s">
        <v>25</v>
      </c>
      <c r="AI77" s="6" t="s">
        <v>25</v>
      </c>
    </row>
    <row r="78">
      <c r="A78" s="6" t="s">
        <v>4</v>
      </c>
      <c r="B78" s="6" t="s">
        <v>8</v>
      </c>
      <c r="C78" s="6" t="n">
        <v>13</v>
      </c>
      <c r="D78" s="6" t="s">
        <v>6</v>
      </c>
      <c r="E78" s="6" t="s">
        <v>226</v>
      </c>
      <c r="F78" s="6" t="s">
        <v>25</v>
      </c>
      <c r="G78" s="6" t="s">
        <v>25</v>
      </c>
      <c r="H78" s="6" t="s">
        <v>25</v>
      </c>
      <c r="I78" s="6" t="s">
        <v>25</v>
      </c>
      <c r="J78" s="6" t="s">
        <v>189</v>
      </c>
      <c r="K78" s="6" t="s">
        <v>25</v>
      </c>
      <c r="L78" s="6" t="s">
        <v>25</v>
      </c>
      <c r="M78" s="6" t="s">
        <v>25</v>
      </c>
      <c r="N78" s="6" t="s">
        <v>25</v>
      </c>
      <c r="O78" s="6" t="s">
        <v>25</v>
      </c>
      <c r="P78" s="6" t="s">
        <v>25</v>
      </c>
      <c r="Q78" s="6" t="s">
        <v>25</v>
      </c>
      <c r="R78" s="6" t="s">
        <v>25</v>
      </c>
      <c r="S78" s="6" t="s">
        <v>25</v>
      </c>
      <c r="T78" s="6" t="s">
        <v>132</v>
      </c>
      <c r="U78" s="6" t="s">
        <v>257</v>
      </c>
      <c r="V78" s="6" t="s">
        <v>258</v>
      </c>
      <c r="W78" s="6" t="s">
        <v>367</v>
      </c>
      <c r="X78" s="6" t="s">
        <v>166</v>
      </c>
      <c r="Y78" s="6" t="s">
        <v>368</v>
      </c>
      <c r="Z78" s="6" t="s">
        <v>166</v>
      </c>
      <c r="AA78" s="6" t="s">
        <v>369</v>
      </c>
      <c r="AB78" s="6" t="s">
        <v>166</v>
      </c>
      <c r="AC78" s="6" t="s">
        <v>370</v>
      </c>
      <c r="AD78" s="6" t="s">
        <v>166</v>
      </c>
      <c r="AE78" s="6" t="s">
        <v>25</v>
      </c>
      <c r="AF78" s="6" t="s">
        <v>25</v>
      </c>
      <c r="AG78" s="6" t="s">
        <v>25</v>
      </c>
      <c r="AH78" s="6" t="s">
        <v>25</v>
      </c>
      <c r="AI78" s="6" t="s">
        <v>25</v>
      </c>
    </row>
    <row r="79">
      <c r="A79" s="6" t="s">
        <v>4</v>
      </c>
      <c r="B79" s="6" t="s">
        <v>8</v>
      </c>
      <c r="C79" s="6" t="n">
        <v>13</v>
      </c>
      <c r="D79" s="6" t="s">
        <v>6</v>
      </c>
      <c r="E79" s="6" t="s">
        <v>226</v>
      </c>
      <c r="F79" s="6" t="s">
        <v>25</v>
      </c>
      <c r="G79" s="6" t="s">
        <v>25</v>
      </c>
      <c r="H79" s="6" t="s">
        <v>25</v>
      </c>
      <c r="I79" s="6" t="s">
        <v>25</v>
      </c>
      <c r="J79" s="6" t="s">
        <v>189</v>
      </c>
      <c r="K79" s="6" t="s">
        <v>25</v>
      </c>
      <c r="L79" s="6" t="s">
        <v>25</v>
      </c>
      <c r="M79" s="6" t="s">
        <v>25</v>
      </c>
      <c r="N79" s="6" t="s">
        <v>25</v>
      </c>
      <c r="O79" s="6" t="s">
        <v>25</v>
      </c>
      <c r="P79" s="6" t="s">
        <v>25</v>
      </c>
      <c r="Q79" s="6" t="s">
        <v>25</v>
      </c>
      <c r="R79" s="6" t="s">
        <v>25</v>
      </c>
      <c r="S79" s="6" t="s">
        <v>25</v>
      </c>
      <c r="T79" s="6" t="s">
        <v>133</v>
      </c>
      <c r="U79" s="6" t="s">
        <v>263</v>
      </c>
      <c r="V79" s="6" t="s">
        <v>264</v>
      </c>
      <c r="W79" s="6" t="s">
        <v>371</v>
      </c>
      <c r="X79" s="6" t="s">
        <v>167</v>
      </c>
      <c r="Y79" s="6" t="s">
        <v>372</v>
      </c>
      <c r="Z79" s="6" t="s">
        <v>166</v>
      </c>
      <c r="AA79" s="6" t="s">
        <v>373</v>
      </c>
      <c r="AB79" s="6" t="s">
        <v>166</v>
      </c>
      <c r="AC79" s="6" t="s">
        <v>374</v>
      </c>
      <c r="AD79" s="6" t="s">
        <v>166</v>
      </c>
      <c r="AE79" s="6" t="s">
        <v>25</v>
      </c>
      <c r="AF79" s="6" t="s">
        <v>25</v>
      </c>
      <c r="AG79" s="6" t="s">
        <v>25</v>
      </c>
      <c r="AH79" s="6" t="s">
        <v>25</v>
      </c>
      <c r="AI79" s="6" t="s">
        <v>25</v>
      </c>
    </row>
    <row r="80">
      <c r="A80" s="6" t="s">
        <v>4</v>
      </c>
      <c r="B80" s="6" t="s">
        <v>8</v>
      </c>
      <c r="C80" s="6" t="n">
        <v>13</v>
      </c>
      <c r="D80" s="6" t="s">
        <v>6</v>
      </c>
      <c r="E80" s="6" t="s">
        <v>226</v>
      </c>
      <c r="F80" s="6" t="s">
        <v>25</v>
      </c>
      <c r="G80" s="6" t="s">
        <v>25</v>
      </c>
      <c r="H80" s="6" t="s">
        <v>25</v>
      </c>
      <c r="I80" s="6" t="s">
        <v>25</v>
      </c>
      <c r="J80" s="6" t="s">
        <v>189</v>
      </c>
      <c r="K80" s="6" t="s">
        <v>25</v>
      </c>
      <c r="L80" s="6" t="s">
        <v>25</v>
      </c>
      <c r="M80" s="6" t="s">
        <v>25</v>
      </c>
      <c r="N80" s="6" t="s">
        <v>25</v>
      </c>
      <c r="O80" s="6" t="s">
        <v>25</v>
      </c>
      <c r="P80" s="6" t="s">
        <v>25</v>
      </c>
      <c r="Q80" s="6" t="s">
        <v>25</v>
      </c>
      <c r="R80" s="6" t="s">
        <v>25</v>
      </c>
      <c r="S80" s="6" t="s">
        <v>25</v>
      </c>
      <c r="T80" s="6" t="s">
        <v>134</v>
      </c>
      <c r="U80" s="6" t="s">
        <v>269</v>
      </c>
      <c r="V80" s="6" t="s">
        <v>270</v>
      </c>
      <c r="W80" s="6" t="s">
        <v>375</v>
      </c>
      <c r="X80" s="6" t="s">
        <v>166</v>
      </c>
      <c r="Y80" s="6" t="s">
        <v>376</v>
      </c>
      <c r="Z80" s="6" t="s">
        <v>166</v>
      </c>
      <c r="AA80" s="6" t="s">
        <v>377</v>
      </c>
      <c r="AB80" s="6" t="s">
        <v>166</v>
      </c>
      <c r="AC80" s="6" t="s">
        <v>378</v>
      </c>
      <c r="AD80" s="6" t="s">
        <v>166</v>
      </c>
      <c r="AE80" s="6" t="s">
        <v>25</v>
      </c>
      <c r="AF80" s="6" t="s">
        <v>25</v>
      </c>
      <c r="AG80" s="6" t="s">
        <v>25</v>
      </c>
      <c r="AH80" s="6" t="s">
        <v>25</v>
      </c>
      <c r="AI80" s="6" t="s">
        <v>25</v>
      </c>
    </row>
    <row r="81">
      <c r="A81" s="6" t="s">
        <v>4</v>
      </c>
      <c r="B81" s="6" t="s">
        <v>8</v>
      </c>
      <c r="C81" s="6" t="n">
        <v>13</v>
      </c>
      <c r="D81" s="6" t="s">
        <v>6</v>
      </c>
      <c r="E81" s="6" t="s">
        <v>226</v>
      </c>
      <c r="F81" s="6" t="s">
        <v>25</v>
      </c>
      <c r="G81" s="6" t="s">
        <v>25</v>
      </c>
      <c r="H81" s="6" t="s">
        <v>25</v>
      </c>
      <c r="I81" s="6" t="s">
        <v>25</v>
      </c>
      <c r="J81" s="6" t="s">
        <v>189</v>
      </c>
      <c r="K81" s="6" t="s">
        <v>25</v>
      </c>
      <c r="L81" s="6" t="s">
        <v>25</v>
      </c>
      <c r="M81" s="6" t="s">
        <v>25</v>
      </c>
      <c r="N81" s="6" t="s">
        <v>25</v>
      </c>
      <c r="O81" s="6" t="s">
        <v>25</v>
      </c>
      <c r="P81" s="6" t="s">
        <v>25</v>
      </c>
      <c r="Q81" s="6" t="s">
        <v>25</v>
      </c>
      <c r="R81" s="6" t="s">
        <v>25</v>
      </c>
      <c r="S81" s="6" t="s">
        <v>25</v>
      </c>
      <c r="T81" s="6" t="s">
        <v>135</v>
      </c>
      <c r="U81" s="6" t="s">
        <v>275</v>
      </c>
      <c r="V81" s="6" t="s">
        <v>276</v>
      </c>
      <c r="W81" s="6" t="s">
        <v>379</v>
      </c>
      <c r="X81" s="6" t="s">
        <v>166</v>
      </c>
      <c r="Y81" s="6" t="s">
        <v>380</v>
      </c>
      <c r="Z81" s="6" t="s">
        <v>166</v>
      </c>
      <c r="AA81" s="6" t="s">
        <v>381</v>
      </c>
      <c r="AB81" s="6" t="s">
        <v>166</v>
      </c>
      <c r="AC81" s="6" t="s">
        <v>382</v>
      </c>
      <c r="AD81" s="6" t="s">
        <v>166</v>
      </c>
      <c r="AE81" s="6" t="s">
        <v>25</v>
      </c>
      <c r="AF81" s="6" t="s">
        <v>25</v>
      </c>
      <c r="AG81" s="6" t="s">
        <v>25</v>
      </c>
      <c r="AH81" s="6" t="s">
        <v>25</v>
      </c>
      <c r="AI81" s="6" t="s">
        <v>25</v>
      </c>
    </row>
    <row r="82">
      <c r="A82" s="6" t="s">
        <v>4</v>
      </c>
      <c r="B82" s="6" t="s">
        <v>8</v>
      </c>
      <c r="C82" s="6" t="n">
        <v>13</v>
      </c>
      <c r="D82" s="6" t="s">
        <v>6</v>
      </c>
      <c r="E82" s="6" t="s">
        <v>226</v>
      </c>
      <c r="F82" s="6" t="s">
        <v>25</v>
      </c>
      <c r="G82" s="6" t="s">
        <v>25</v>
      </c>
      <c r="H82" s="6" t="s">
        <v>25</v>
      </c>
      <c r="I82" s="6" t="s">
        <v>25</v>
      </c>
      <c r="J82" s="6" t="s">
        <v>189</v>
      </c>
      <c r="K82" s="6" t="s">
        <v>25</v>
      </c>
      <c r="L82" s="6" t="s">
        <v>25</v>
      </c>
      <c r="M82" s="6" t="s">
        <v>25</v>
      </c>
      <c r="N82" s="6" t="s">
        <v>25</v>
      </c>
      <c r="O82" s="6" t="s">
        <v>25</v>
      </c>
      <c r="P82" s="6" t="s">
        <v>25</v>
      </c>
      <c r="Q82" s="6" t="s">
        <v>25</v>
      </c>
      <c r="R82" s="6" t="s">
        <v>25</v>
      </c>
      <c r="S82" s="6" t="s">
        <v>25</v>
      </c>
      <c r="T82" s="6" t="s">
        <v>136</v>
      </c>
      <c r="U82" s="6" t="s">
        <v>281</v>
      </c>
      <c r="V82" s="6" t="s">
        <v>282</v>
      </c>
      <c r="W82" s="6" t="s">
        <v>383</v>
      </c>
      <c r="X82" s="6" t="s">
        <v>166</v>
      </c>
      <c r="Y82" s="6" t="s">
        <v>384</v>
      </c>
      <c r="Z82" s="6" t="s">
        <v>166</v>
      </c>
      <c r="AA82" s="6" t="s">
        <v>385</v>
      </c>
      <c r="AB82" s="6" t="s">
        <v>166</v>
      </c>
      <c r="AC82" s="6" t="s">
        <v>386</v>
      </c>
      <c r="AD82" s="6" t="s">
        <v>166</v>
      </c>
      <c r="AE82" s="6" t="s">
        <v>25</v>
      </c>
      <c r="AF82" s="6" t="s">
        <v>25</v>
      </c>
      <c r="AG82" s="6" t="s">
        <v>25</v>
      </c>
      <c r="AH82" s="6" t="s">
        <v>25</v>
      </c>
      <c r="AI82" s="6" t="s">
        <v>25</v>
      </c>
    </row>
    <row r="83">
      <c r="A83" s="6" t="s">
        <v>4</v>
      </c>
      <c r="B83" s="6" t="s">
        <v>8</v>
      </c>
      <c r="C83" s="6" t="n">
        <v>13</v>
      </c>
      <c r="D83" s="6" t="s">
        <v>6</v>
      </c>
      <c r="E83" s="6" t="s">
        <v>226</v>
      </c>
      <c r="F83" s="6" t="s">
        <v>25</v>
      </c>
      <c r="G83" s="6" t="s">
        <v>25</v>
      </c>
      <c r="H83" s="6" t="s">
        <v>25</v>
      </c>
      <c r="I83" s="6" t="s">
        <v>25</v>
      </c>
      <c r="J83" s="6" t="s">
        <v>189</v>
      </c>
      <c r="K83" s="6" t="s">
        <v>25</v>
      </c>
      <c r="L83" s="6" t="s">
        <v>25</v>
      </c>
      <c r="M83" s="6" t="s">
        <v>25</v>
      </c>
      <c r="N83" s="6" t="s">
        <v>25</v>
      </c>
      <c r="O83" s="6" t="s">
        <v>25</v>
      </c>
      <c r="P83" s="6" t="s">
        <v>25</v>
      </c>
      <c r="Q83" s="6" t="s">
        <v>25</v>
      </c>
      <c r="R83" s="6" t="s">
        <v>25</v>
      </c>
      <c r="S83" s="6" t="s">
        <v>25</v>
      </c>
      <c r="T83" s="6" t="s">
        <v>137</v>
      </c>
      <c r="U83" s="6" t="s">
        <v>287</v>
      </c>
      <c r="V83" s="6" t="s">
        <v>288</v>
      </c>
      <c r="W83" s="6" t="s">
        <v>387</v>
      </c>
      <c r="X83" s="6" t="s">
        <v>166</v>
      </c>
      <c r="Y83" s="6" t="s">
        <v>388</v>
      </c>
      <c r="Z83" s="6" t="s">
        <v>166</v>
      </c>
      <c r="AA83" s="6" t="s">
        <v>389</v>
      </c>
      <c r="AB83" s="6" t="s">
        <v>166</v>
      </c>
      <c r="AC83" s="6" t="s">
        <v>390</v>
      </c>
      <c r="AD83" s="6" t="s">
        <v>166</v>
      </c>
      <c r="AE83" s="6" t="s">
        <v>25</v>
      </c>
      <c r="AF83" s="6" t="s">
        <v>25</v>
      </c>
      <c r="AG83" s="6" t="s">
        <v>25</v>
      </c>
      <c r="AH83" s="6" t="s">
        <v>25</v>
      </c>
      <c r="AI83" s="6" t="s">
        <v>25</v>
      </c>
    </row>
    <row r="84">
      <c r="A84" s="6" t="s">
        <v>4</v>
      </c>
      <c r="B84" s="6" t="s">
        <v>8</v>
      </c>
      <c r="C84" s="6" t="n">
        <v>13</v>
      </c>
      <c r="D84" s="6" t="s">
        <v>6</v>
      </c>
      <c r="E84" s="6" t="s">
        <v>226</v>
      </c>
      <c r="F84" s="6" t="s">
        <v>25</v>
      </c>
      <c r="G84" s="6" t="s">
        <v>25</v>
      </c>
      <c r="H84" s="6" t="s">
        <v>25</v>
      </c>
      <c r="I84" s="6" t="s">
        <v>25</v>
      </c>
      <c r="J84" s="6" t="s">
        <v>189</v>
      </c>
      <c r="K84" s="6" t="s">
        <v>25</v>
      </c>
      <c r="L84" s="6" t="s">
        <v>25</v>
      </c>
      <c r="M84" s="6" t="s">
        <v>25</v>
      </c>
      <c r="N84" s="6" t="s">
        <v>25</v>
      </c>
      <c r="O84" s="6" t="s">
        <v>25</v>
      </c>
      <c r="P84" s="6" t="s">
        <v>25</v>
      </c>
      <c r="Q84" s="6" t="s">
        <v>25</v>
      </c>
      <c r="R84" s="6" t="s">
        <v>25</v>
      </c>
      <c r="S84" s="6" t="s">
        <v>25</v>
      </c>
      <c r="T84" s="6" t="s">
        <v>138</v>
      </c>
      <c r="U84" s="6" t="s">
        <v>293</v>
      </c>
      <c r="V84" s="6" t="s">
        <v>294</v>
      </c>
      <c r="W84" s="6" t="s">
        <v>391</v>
      </c>
      <c r="X84" s="6" t="s">
        <v>166</v>
      </c>
      <c r="Y84" s="6" t="s">
        <v>392</v>
      </c>
      <c r="Z84" s="6" t="s">
        <v>166</v>
      </c>
      <c r="AA84" s="6" t="s">
        <v>393</v>
      </c>
      <c r="AB84" s="6" t="s">
        <v>166</v>
      </c>
      <c r="AC84" s="6" t="s">
        <v>394</v>
      </c>
      <c r="AD84" s="6" t="s">
        <v>166</v>
      </c>
      <c r="AE84" s="6" t="s">
        <v>25</v>
      </c>
      <c r="AF84" s="6" t="s">
        <v>25</v>
      </c>
      <c r="AG84" s="6" t="s">
        <v>25</v>
      </c>
      <c r="AH84" s="6" t="s">
        <v>25</v>
      </c>
      <c r="AI84" s="6" t="s">
        <v>25</v>
      </c>
    </row>
    <row r="85">
      <c r="A85" s="6" t="s">
        <v>4</v>
      </c>
      <c r="B85" s="6" t="s">
        <v>8</v>
      </c>
      <c r="C85" s="6" t="n">
        <v>13</v>
      </c>
      <c r="D85" s="6" t="s">
        <v>6</v>
      </c>
      <c r="E85" s="6" t="s">
        <v>226</v>
      </c>
      <c r="F85" s="6" t="s">
        <v>25</v>
      </c>
      <c r="G85" s="6" t="s">
        <v>25</v>
      </c>
      <c r="H85" s="6" t="s">
        <v>25</v>
      </c>
      <c r="I85" s="6" t="s">
        <v>25</v>
      </c>
      <c r="J85" s="6" t="s">
        <v>195</v>
      </c>
      <c r="K85" s="6" t="s">
        <v>25</v>
      </c>
      <c r="L85" s="6" t="s">
        <v>25</v>
      </c>
      <c r="M85" s="6" t="s">
        <v>25</v>
      </c>
      <c r="N85" s="6" t="s">
        <v>25</v>
      </c>
      <c r="O85" s="6" t="s">
        <v>25</v>
      </c>
      <c r="P85" s="6" t="s">
        <v>25</v>
      </c>
      <c r="Q85" s="6" t="s">
        <v>25</v>
      </c>
      <c r="R85" s="6" t="s">
        <v>25</v>
      </c>
      <c r="S85" s="6" t="s">
        <v>25</v>
      </c>
      <c r="T85" s="6" t="s">
        <v>127</v>
      </c>
      <c r="U85" s="6" t="s">
        <v>227</v>
      </c>
      <c r="V85" s="6" t="s">
        <v>228</v>
      </c>
      <c r="W85" s="6" t="s">
        <v>395</v>
      </c>
      <c r="X85" s="6" t="s">
        <v>166</v>
      </c>
      <c r="Y85" s="6" t="s">
        <v>396</v>
      </c>
      <c r="Z85" s="6" t="s">
        <v>166</v>
      </c>
      <c r="AA85" s="6" t="s">
        <v>397</v>
      </c>
      <c r="AB85" s="6" t="s">
        <v>166</v>
      </c>
      <c r="AC85" s="6" t="s">
        <v>398</v>
      </c>
      <c r="AD85" s="6" t="s">
        <v>166</v>
      </c>
      <c r="AE85" s="6" t="s">
        <v>25</v>
      </c>
      <c r="AF85" s="6" t="s">
        <v>25</v>
      </c>
      <c r="AG85" s="6" t="s">
        <v>25</v>
      </c>
      <c r="AH85" s="6" t="s">
        <v>25</v>
      </c>
      <c r="AI85" s="6" t="s">
        <v>25</v>
      </c>
    </row>
    <row r="86">
      <c r="A86" s="6" t="s">
        <v>4</v>
      </c>
      <c r="B86" s="6" t="s">
        <v>8</v>
      </c>
      <c r="C86" s="6" t="n">
        <v>13</v>
      </c>
      <c r="D86" s="6" t="s">
        <v>6</v>
      </c>
      <c r="E86" s="6" t="s">
        <v>226</v>
      </c>
      <c r="F86" s="6" t="s">
        <v>25</v>
      </c>
      <c r="G86" s="6" t="s">
        <v>25</v>
      </c>
      <c r="H86" s="6" t="s">
        <v>25</v>
      </c>
      <c r="I86" s="6" t="s">
        <v>25</v>
      </c>
      <c r="J86" s="6" t="s">
        <v>195</v>
      </c>
      <c r="K86" s="6" t="s">
        <v>25</v>
      </c>
      <c r="L86" s="6" t="s">
        <v>25</v>
      </c>
      <c r="M86" s="6" t="s">
        <v>25</v>
      </c>
      <c r="N86" s="6" t="s">
        <v>25</v>
      </c>
      <c r="O86" s="6" t="s">
        <v>25</v>
      </c>
      <c r="P86" s="6" t="s">
        <v>25</v>
      </c>
      <c r="Q86" s="6" t="s">
        <v>25</v>
      </c>
      <c r="R86" s="6" t="s">
        <v>25</v>
      </c>
      <c r="S86" s="6" t="s">
        <v>25</v>
      </c>
      <c r="T86" s="6" t="s">
        <v>128</v>
      </c>
      <c r="U86" s="6" t="s">
        <v>233</v>
      </c>
      <c r="V86" s="6" t="s">
        <v>234</v>
      </c>
      <c r="W86" s="6" t="s">
        <v>399</v>
      </c>
      <c r="X86" s="6" t="s">
        <v>166</v>
      </c>
      <c r="Y86" s="6" t="s">
        <v>400</v>
      </c>
      <c r="Z86" s="6" t="s">
        <v>166</v>
      </c>
      <c r="AA86" s="6" t="s">
        <v>401</v>
      </c>
      <c r="AB86" s="6" t="s">
        <v>166</v>
      </c>
      <c r="AC86" s="6" t="s">
        <v>402</v>
      </c>
      <c r="AD86" s="6" t="s">
        <v>166</v>
      </c>
      <c r="AE86" s="6" t="s">
        <v>25</v>
      </c>
      <c r="AF86" s="6" t="s">
        <v>25</v>
      </c>
      <c r="AG86" s="6" t="s">
        <v>25</v>
      </c>
      <c r="AH86" s="6" t="s">
        <v>25</v>
      </c>
      <c r="AI86" s="6" t="s">
        <v>25</v>
      </c>
    </row>
    <row r="87">
      <c r="A87" s="6" t="s">
        <v>4</v>
      </c>
      <c r="B87" s="6" t="s">
        <v>8</v>
      </c>
      <c r="C87" s="6" t="n">
        <v>13</v>
      </c>
      <c r="D87" s="6" t="s">
        <v>6</v>
      </c>
      <c r="E87" s="6" t="s">
        <v>226</v>
      </c>
      <c r="F87" s="6" t="s">
        <v>25</v>
      </c>
      <c r="G87" s="6" t="s">
        <v>25</v>
      </c>
      <c r="H87" s="6" t="s">
        <v>25</v>
      </c>
      <c r="I87" s="6" t="s">
        <v>25</v>
      </c>
      <c r="J87" s="6" t="s">
        <v>195</v>
      </c>
      <c r="K87" s="6" t="s">
        <v>25</v>
      </c>
      <c r="L87" s="6" t="s">
        <v>25</v>
      </c>
      <c r="M87" s="6" t="s">
        <v>25</v>
      </c>
      <c r="N87" s="6" t="s">
        <v>25</v>
      </c>
      <c r="O87" s="6" t="s">
        <v>25</v>
      </c>
      <c r="P87" s="6" t="s">
        <v>25</v>
      </c>
      <c r="Q87" s="6" t="s">
        <v>25</v>
      </c>
      <c r="R87" s="6" t="s">
        <v>25</v>
      </c>
      <c r="S87" s="6" t="s">
        <v>25</v>
      </c>
      <c r="T87" s="6" t="s">
        <v>129</v>
      </c>
      <c r="U87" s="6" t="s">
        <v>239</v>
      </c>
      <c r="V87" s="6" t="s">
        <v>240</v>
      </c>
      <c r="W87" s="6" t="s">
        <v>403</v>
      </c>
      <c r="X87" s="6" t="s">
        <v>167</v>
      </c>
      <c r="Y87" s="6" t="s">
        <v>404</v>
      </c>
      <c r="Z87" s="6" t="s">
        <v>166</v>
      </c>
      <c r="AA87" s="6" t="s">
        <v>405</v>
      </c>
      <c r="AB87" s="6" t="s">
        <v>166</v>
      </c>
      <c r="AC87" s="6" t="s">
        <v>406</v>
      </c>
      <c r="AD87" s="6" t="s">
        <v>166</v>
      </c>
      <c r="AE87" s="6" t="s">
        <v>25</v>
      </c>
      <c r="AF87" s="6" t="s">
        <v>25</v>
      </c>
      <c r="AG87" s="6" t="s">
        <v>25</v>
      </c>
      <c r="AH87" s="6" t="s">
        <v>25</v>
      </c>
      <c r="AI87" s="6" t="s">
        <v>25</v>
      </c>
    </row>
    <row r="88">
      <c r="A88" s="6" t="s">
        <v>4</v>
      </c>
      <c r="B88" s="6" t="s">
        <v>8</v>
      </c>
      <c r="C88" s="6" t="n">
        <v>13</v>
      </c>
      <c r="D88" s="6" t="s">
        <v>6</v>
      </c>
      <c r="E88" s="6" t="s">
        <v>226</v>
      </c>
      <c r="F88" s="6" t="s">
        <v>25</v>
      </c>
      <c r="G88" s="6" t="s">
        <v>25</v>
      </c>
      <c r="H88" s="6" t="s">
        <v>25</v>
      </c>
      <c r="I88" s="6" t="s">
        <v>25</v>
      </c>
      <c r="J88" s="6" t="s">
        <v>195</v>
      </c>
      <c r="K88" s="6" t="s">
        <v>25</v>
      </c>
      <c r="L88" s="6" t="s">
        <v>25</v>
      </c>
      <c r="M88" s="6" t="s">
        <v>25</v>
      </c>
      <c r="N88" s="6" t="s">
        <v>25</v>
      </c>
      <c r="O88" s="6" t="s">
        <v>25</v>
      </c>
      <c r="P88" s="6" t="s">
        <v>25</v>
      </c>
      <c r="Q88" s="6" t="s">
        <v>25</v>
      </c>
      <c r="R88" s="6" t="s">
        <v>25</v>
      </c>
      <c r="S88" s="6" t="s">
        <v>25</v>
      </c>
      <c r="T88" s="6" t="s">
        <v>130</v>
      </c>
      <c r="U88" s="6" t="s">
        <v>245</v>
      </c>
      <c r="V88" s="6" t="s">
        <v>246</v>
      </c>
      <c r="W88" s="6" t="s">
        <v>407</v>
      </c>
      <c r="X88" s="6" t="s">
        <v>166</v>
      </c>
      <c r="Y88" s="6" t="s">
        <v>408</v>
      </c>
      <c r="Z88" s="6" t="s">
        <v>166</v>
      </c>
      <c r="AA88" s="6" t="s">
        <v>409</v>
      </c>
      <c r="AB88" s="6" t="s">
        <v>166</v>
      </c>
      <c r="AC88" s="6" t="s">
        <v>410</v>
      </c>
      <c r="AD88" s="6" t="s">
        <v>166</v>
      </c>
      <c r="AE88" s="6" t="s">
        <v>25</v>
      </c>
      <c r="AF88" s="6" t="s">
        <v>25</v>
      </c>
      <c r="AG88" s="6" t="s">
        <v>25</v>
      </c>
      <c r="AH88" s="6" t="s">
        <v>25</v>
      </c>
      <c r="AI88" s="6" t="s">
        <v>25</v>
      </c>
    </row>
    <row r="89">
      <c r="A89" s="6" t="s">
        <v>4</v>
      </c>
      <c r="B89" s="6" t="s">
        <v>8</v>
      </c>
      <c r="C89" s="6" t="n">
        <v>13</v>
      </c>
      <c r="D89" s="6" t="s">
        <v>6</v>
      </c>
      <c r="E89" s="6" t="s">
        <v>226</v>
      </c>
      <c r="F89" s="6" t="s">
        <v>25</v>
      </c>
      <c r="G89" s="6" t="s">
        <v>25</v>
      </c>
      <c r="H89" s="6" t="s">
        <v>25</v>
      </c>
      <c r="I89" s="6" t="s">
        <v>25</v>
      </c>
      <c r="J89" s="6" t="s">
        <v>195</v>
      </c>
      <c r="K89" s="6" t="s">
        <v>25</v>
      </c>
      <c r="L89" s="6" t="s">
        <v>25</v>
      </c>
      <c r="M89" s="6" t="s">
        <v>25</v>
      </c>
      <c r="N89" s="6" t="s">
        <v>25</v>
      </c>
      <c r="O89" s="6" t="s">
        <v>25</v>
      </c>
      <c r="P89" s="6" t="s">
        <v>25</v>
      </c>
      <c r="Q89" s="6" t="s">
        <v>25</v>
      </c>
      <c r="R89" s="6" t="s">
        <v>25</v>
      </c>
      <c r="S89" s="6" t="s">
        <v>25</v>
      </c>
      <c r="T89" s="6" t="s">
        <v>131</v>
      </c>
      <c r="U89" s="6" t="s">
        <v>251</v>
      </c>
      <c r="V89" s="6" t="s">
        <v>252</v>
      </c>
      <c r="W89" s="6" t="s">
        <v>411</v>
      </c>
      <c r="X89" s="6" t="s">
        <v>166</v>
      </c>
      <c r="Y89" s="6" t="s">
        <v>412</v>
      </c>
      <c r="Z89" s="6" t="s">
        <v>166</v>
      </c>
      <c r="AA89" s="6" t="s">
        <v>413</v>
      </c>
      <c r="AB89" s="6" t="s">
        <v>166</v>
      </c>
      <c r="AC89" s="6" t="s">
        <v>414</v>
      </c>
      <c r="AD89" s="6" t="s">
        <v>166</v>
      </c>
      <c r="AE89" s="6" t="s">
        <v>25</v>
      </c>
      <c r="AF89" s="6" t="s">
        <v>25</v>
      </c>
      <c r="AG89" s="6" t="s">
        <v>25</v>
      </c>
      <c r="AH89" s="6" t="s">
        <v>25</v>
      </c>
      <c r="AI89" s="6" t="s">
        <v>25</v>
      </c>
    </row>
    <row r="90">
      <c r="A90" s="6" t="s">
        <v>4</v>
      </c>
      <c r="B90" s="6" t="s">
        <v>8</v>
      </c>
      <c r="C90" s="6" t="n">
        <v>13</v>
      </c>
      <c r="D90" s="6" t="s">
        <v>6</v>
      </c>
      <c r="E90" s="6" t="s">
        <v>226</v>
      </c>
      <c r="F90" s="6" t="s">
        <v>25</v>
      </c>
      <c r="G90" s="6" t="s">
        <v>25</v>
      </c>
      <c r="H90" s="6" t="s">
        <v>25</v>
      </c>
      <c r="I90" s="6" t="s">
        <v>25</v>
      </c>
      <c r="J90" s="6" t="s">
        <v>195</v>
      </c>
      <c r="K90" s="6" t="s">
        <v>25</v>
      </c>
      <c r="L90" s="6" t="s">
        <v>25</v>
      </c>
      <c r="M90" s="6" t="s">
        <v>25</v>
      </c>
      <c r="N90" s="6" t="s">
        <v>25</v>
      </c>
      <c r="O90" s="6" t="s">
        <v>25</v>
      </c>
      <c r="P90" s="6" t="s">
        <v>25</v>
      </c>
      <c r="Q90" s="6" t="s">
        <v>25</v>
      </c>
      <c r="R90" s="6" t="s">
        <v>25</v>
      </c>
      <c r="S90" s="6" t="s">
        <v>25</v>
      </c>
      <c r="T90" s="6" t="s">
        <v>132</v>
      </c>
      <c r="U90" s="6" t="s">
        <v>257</v>
      </c>
      <c r="V90" s="6" t="s">
        <v>258</v>
      </c>
      <c r="W90" s="6" t="s">
        <v>415</v>
      </c>
      <c r="X90" s="6" t="s">
        <v>166</v>
      </c>
      <c r="Y90" s="6" t="s">
        <v>416</v>
      </c>
      <c r="Z90" s="6" t="s">
        <v>166</v>
      </c>
      <c r="AA90" s="6" t="s">
        <v>417</v>
      </c>
      <c r="AB90" s="6" t="s">
        <v>166</v>
      </c>
      <c r="AC90" s="6" t="s">
        <v>418</v>
      </c>
      <c r="AD90" s="6" t="s">
        <v>166</v>
      </c>
      <c r="AE90" s="6" t="s">
        <v>25</v>
      </c>
      <c r="AF90" s="6" t="s">
        <v>25</v>
      </c>
      <c r="AG90" s="6" t="s">
        <v>25</v>
      </c>
      <c r="AH90" s="6" t="s">
        <v>25</v>
      </c>
      <c r="AI90" s="6" t="s">
        <v>25</v>
      </c>
    </row>
    <row r="91">
      <c r="A91" s="6" t="s">
        <v>4</v>
      </c>
      <c r="B91" s="6" t="s">
        <v>8</v>
      </c>
      <c r="C91" s="6" t="n">
        <v>13</v>
      </c>
      <c r="D91" s="6" t="s">
        <v>6</v>
      </c>
      <c r="E91" s="6" t="s">
        <v>226</v>
      </c>
      <c r="F91" s="6" t="s">
        <v>25</v>
      </c>
      <c r="G91" s="6" t="s">
        <v>25</v>
      </c>
      <c r="H91" s="6" t="s">
        <v>25</v>
      </c>
      <c r="I91" s="6" t="s">
        <v>25</v>
      </c>
      <c r="J91" s="6" t="s">
        <v>195</v>
      </c>
      <c r="K91" s="6" t="s">
        <v>25</v>
      </c>
      <c r="L91" s="6" t="s">
        <v>25</v>
      </c>
      <c r="M91" s="6" t="s">
        <v>25</v>
      </c>
      <c r="N91" s="6" t="s">
        <v>25</v>
      </c>
      <c r="O91" s="6" t="s">
        <v>25</v>
      </c>
      <c r="P91" s="6" t="s">
        <v>25</v>
      </c>
      <c r="Q91" s="6" t="s">
        <v>25</v>
      </c>
      <c r="R91" s="6" t="s">
        <v>25</v>
      </c>
      <c r="S91" s="6" t="s">
        <v>25</v>
      </c>
      <c r="T91" s="6" t="s">
        <v>133</v>
      </c>
      <c r="U91" s="6" t="s">
        <v>263</v>
      </c>
      <c r="V91" s="6" t="s">
        <v>264</v>
      </c>
      <c r="W91" s="6" t="s">
        <v>419</v>
      </c>
      <c r="X91" s="6" t="s">
        <v>166</v>
      </c>
      <c r="Y91" s="6" t="s">
        <v>420</v>
      </c>
      <c r="Z91" s="6" t="s">
        <v>166</v>
      </c>
      <c r="AA91" s="6" t="s">
        <v>421</v>
      </c>
      <c r="AB91" s="6" t="s">
        <v>166</v>
      </c>
      <c r="AC91" s="6" t="s">
        <v>422</v>
      </c>
      <c r="AD91" s="6" t="s">
        <v>166</v>
      </c>
      <c r="AE91" s="6" t="s">
        <v>25</v>
      </c>
      <c r="AF91" s="6" t="s">
        <v>25</v>
      </c>
      <c r="AG91" s="6" t="s">
        <v>25</v>
      </c>
      <c r="AH91" s="6" t="s">
        <v>25</v>
      </c>
      <c r="AI91" s="6" t="s">
        <v>25</v>
      </c>
    </row>
    <row r="92">
      <c r="A92" s="6" t="s">
        <v>4</v>
      </c>
      <c r="B92" s="6" t="s">
        <v>8</v>
      </c>
      <c r="C92" s="6" t="n">
        <v>13</v>
      </c>
      <c r="D92" s="6" t="s">
        <v>6</v>
      </c>
      <c r="E92" s="6" t="s">
        <v>226</v>
      </c>
      <c r="F92" s="6" t="s">
        <v>25</v>
      </c>
      <c r="G92" s="6" t="s">
        <v>25</v>
      </c>
      <c r="H92" s="6" t="s">
        <v>25</v>
      </c>
      <c r="I92" s="6" t="s">
        <v>25</v>
      </c>
      <c r="J92" s="6" t="s">
        <v>195</v>
      </c>
      <c r="K92" s="6" t="s">
        <v>25</v>
      </c>
      <c r="L92" s="6" t="s">
        <v>25</v>
      </c>
      <c r="M92" s="6" t="s">
        <v>25</v>
      </c>
      <c r="N92" s="6" t="s">
        <v>25</v>
      </c>
      <c r="O92" s="6" t="s">
        <v>25</v>
      </c>
      <c r="P92" s="6" t="s">
        <v>25</v>
      </c>
      <c r="Q92" s="6" t="s">
        <v>25</v>
      </c>
      <c r="R92" s="6" t="s">
        <v>25</v>
      </c>
      <c r="S92" s="6" t="s">
        <v>25</v>
      </c>
      <c r="T92" s="6" t="s">
        <v>134</v>
      </c>
      <c r="U92" s="6" t="s">
        <v>269</v>
      </c>
      <c r="V92" s="6" t="s">
        <v>270</v>
      </c>
      <c r="W92" s="6" t="s">
        <v>423</v>
      </c>
      <c r="X92" s="6" t="s">
        <v>166</v>
      </c>
      <c r="Y92" s="6" t="s">
        <v>424</v>
      </c>
      <c r="Z92" s="6" t="s">
        <v>166</v>
      </c>
      <c r="AA92" s="6" t="s">
        <v>425</v>
      </c>
      <c r="AB92" s="6" t="s">
        <v>166</v>
      </c>
      <c r="AC92" s="6" t="s">
        <v>426</v>
      </c>
      <c r="AD92" s="6" t="s">
        <v>166</v>
      </c>
      <c r="AE92" s="6" t="s">
        <v>25</v>
      </c>
      <c r="AF92" s="6" t="s">
        <v>25</v>
      </c>
      <c r="AG92" s="6" t="s">
        <v>25</v>
      </c>
      <c r="AH92" s="6" t="s">
        <v>25</v>
      </c>
      <c r="AI92" s="6" t="s">
        <v>25</v>
      </c>
    </row>
    <row r="93">
      <c r="A93" s="6" t="s">
        <v>4</v>
      </c>
      <c r="B93" s="6" t="s">
        <v>8</v>
      </c>
      <c r="C93" s="6" t="n">
        <v>13</v>
      </c>
      <c r="D93" s="6" t="s">
        <v>6</v>
      </c>
      <c r="E93" s="6" t="s">
        <v>226</v>
      </c>
      <c r="F93" s="6" t="s">
        <v>25</v>
      </c>
      <c r="G93" s="6" t="s">
        <v>25</v>
      </c>
      <c r="H93" s="6" t="s">
        <v>25</v>
      </c>
      <c r="I93" s="6" t="s">
        <v>25</v>
      </c>
      <c r="J93" s="6" t="s">
        <v>195</v>
      </c>
      <c r="K93" s="6" t="s">
        <v>25</v>
      </c>
      <c r="L93" s="6" t="s">
        <v>25</v>
      </c>
      <c r="M93" s="6" t="s">
        <v>25</v>
      </c>
      <c r="N93" s="6" t="s">
        <v>25</v>
      </c>
      <c r="O93" s="6" t="s">
        <v>25</v>
      </c>
      <c r="P93" s="6" t="s">
        <v>25</v>
      </c>
      <c r="Q93" s="6" t="s">
        <v>25</v>
      </c>
      <c r="R93" s="6" t="s">
        <v>25</v>
      </c>
      <c r="S93" s="6" t="s">
        <v>25</v>
      </c>
      <c r="T93" s="6" t="s">
        <v>135</v>
      </c>
      <c r="U93" s="6" t="s">
        <v>275</v>
      </c>
      <c r="V93" s="6" t="s">
        <v>276</v>
      </c>
      <c r="W93" s="6" t="s">
        <v>427</v>
      </c>
      <c r="X93" s="6" t="s">
        <v>166</v>
      </c>
      <c r="Y93" s="6" t="s">
        <v>428</v>
      </c>
      <c r="Z93" s="6" t="s">
        <v>166</v>
      </c>
      <c r="AA93" s="6" t="s">
        <v>429</v>
      </c>
      <c r="AB93" s="6" t="s">
        <v>166</v>
      </c>
      <c r="AC93" s="6" t="s">
        <v>430</v>
      </c>
      <c r="AD93" s="6" t="s">
        <v>166</v>
      </c>
      <c r="AE93" s="6" t="s">
        <v>25</v>
      </c>
      <c r="AF93" s="6" t="s">
        <v>25</v>
      </c>
      <c r="AG93" s="6" t="s">
        <v>25</v>
      </c>
      <c r="AH93" s="6" t="s">
        <v>25</v>
      </c>
      <c r="AI93" s="6" t="s">
        <v>25</v>
      </c>
    </row>
    <row r="94">
      <c r="A94" s="6" t="s">
        <v>4</v>
      </c>
      <c r="B94" s="6" t="s">
        <v>8</v>
      </c>
      <c r="C94" s="6" t="n">
        <v>13</v>
      </c>
      <c r="D94" s="6" t="s">
        <v>6</v>
      </c>
      <c r="E94" s="6" t="s">
        <v>226</v>
      </c>
      <c r="F94" s="6" t="s">
        <v>25</v>
      </c>
      <c r="G94" s="6" t="s">
        <v>25</v>
      </c>
      <c r="H94" s="6" t="s">
        <v>25</v>
      </c>
      <c r="I94" s="6" t="s">
        <v>25</v>
      </c>
      <c r="J94" s="6" t="s">
        <v>195</v>
      </c>
      <c r="K94" s="6" t="s">
        <v>25</v>
      </c>
      <c r="L94" s="6" t="s">
        <v>25</v>
      </c>
      <c r="M94" s="6" t="s">
        <v>25</v>
      </c>
      <c r="N94" s="6" t="s">
        <v>25</v>
      </c>
      <c r="O94" s="6" t="s">
        <v>25</v>
      </c>
      <c r="P94" s="6" t="s">
        <v>25</v>
      </c>
      <c r="Q94" s="6" t="s">
        <v>25</v>
      </c>
      <c r="R94" s="6" t="s">
        <v>25</v>
      </c>
      <c r="S94" s="6" t="s">
        <v>25</v>
      </c>
      <c r="T94" s="6" t="s">
        <v>136</v>
      </c>
      <c r="U94" s="6" t="s">
        <v>281</v>
      </c>
      <c r="V94" s="6" t="s">
        <v>282</v>
      </c>
      <c r="W94" s="6" t="s">
        <v>431</v>
      </c>
      <c r="X94" s="6" t="s">
        <v>166</v>
      </c>
      <c r="Y94" s="6" t="s">
        <v>432</v>
      </c>
      <c r="Z94" s="6" t="s">
        <v>166</v>
      </c>
      <c r="AA94" s="6" t="s">
        <v>433</v>
      </c>
      <c r="AB94" s="6" t="s">
        <v>166</v>
      </c>
      <c r="AC94" s="6" t="s">
        <v>434</v>
      </c>
      <c r="AD94" s="6" t="s">
        <v>166</v>
      </c>
      <c r="AE94" s="6" t="s">
        <v>25</v>
      </c>
      <c r="AF94" s="6" t="s">
        <v>25</v>
      </c>
      <c r="AG94" s="6" t="s">
        <v>25</v>
      </c>
      <c r="AH94" s="6" t="s">
        <v>25</v>
      </c>
      <c r="AI94" s="6" t="s">
        <v>25</v>
      </c>
    </row>
    <row r="95">
      <c r="A95" s="6" t="s">
        <v>4</v>
      </c>
      <c r="B95" s="6" t="s">
        <v>8</v>
      </c>
      <c r="C95" s="6" t="n">
        <v>13</v>
      </c>
      <c r="D95" s="6" t="s">
        <v>6</v>
      </c>
      <c r="E95" s="6" t="s">
        <v>226</v>
      </c>
      <c r="F95" s="6" t="s">
        <v>25</v>
      </c>
      <c r="G95" s="6" t="s">
        <v>25</v>
      </c>
      <c r="H95" s="6" t="s">
        <v>25</v>
      </c>
      <c r="I95" s="6" t="s">
        <v>25</v>
      </c>
      <c r="J95" s="6" t="s">
        <v>195</v>
      </c>
      <c r="K95" s="6" t="s">
        <v>25</v>
      </c>
      <c r="L95" s="6" t="s">
        <v>25</v>
      </c>
      <c r="M95" s="6" t="s">
        <v>25</v>
      </c>
      <c r="N95" s="6" t="s">
        <v>25</v>
      </c>
      <c r="O95" s="6" t="s">
        <v>25</v>
      </c>
      <c r="P95" s="6" t="s">
        <v>25</v>
      </c>
      <c r="Q95" s="6" t="s">
        <v>25</v>
      </c>
      <c r="R95" s="6" t="s">
        <v>25</v>
      </c>
      <c r="S95" s="6" t="s">
        <v>25</v>
      </c>
      <c r="T95" s="6" t="s">
        <v>137</v>
      </c>
      <c r="U95" s="6" t="s">
        <v>287</v>
      </c>
      <c r="V95" s="6" t="s">
        <v>288</v>
      </c>
      <c r="W95" s="6" t="s">
        <v>435</v>
      </c>
      <c r="X95" s="6" t="s">
        <v>166</v>
      </c>
      <c r="Y95" s="6" t="s">
        <v>436</v>
      </c>
      <c r="Z95" s="6" t="s">
        <v>166</v>
      </c>
      <c r="AA95" s="6" t="s">
        <v>437</v>
      </c>
      <c r="AB95" s="6" t="s">
        <v>166</v>
      </c>
      <c r="AC95" s="6" t="s">
        <v>438</v>
      </c>
      <c r="AD95" s="6" t="s">
        <v>166</v>
      </c>
      <c r="AE95" s="6" t="s">
        <v>25</v>
      </c>
      <c r="AF95" s="6" t="s">
        <v>25</v>
      </c>
      <c r="AG95" s="6" t="s">
        <v>25</v>
      </c>
      <c r="AH95" s="6" t="s">
        <v>25</v>
      </c>
      <c r="AI95" s="6" t="s">
        <v>25</v>
      </c>
    </row>
    <row r="96">
      <c r="A96" s="6" t="s">
        <v>4</v>
      </c>
      <c r="B96" s="6" t="s">
        <v>8</v>
      </c>
      <c r="C96" s="6" t="n">
        <v>13</v>
      </c>
      <c r="D96" s="6" t="s">
        <v>6</v>
      </c>
      <c r="E96" s="6" t="s">
        <v>226</v>
      </c>
      <c r="F96" s="6" t="s">
        <v>25</v>
      </c>
      <c r="G96" s="6" t="s">
        <v>25</v>
      </c>
      <c r="H96" s="6" t="s">
        <v>25</v>
      </c>
      <c r="I96" s="6" t="s">
        <v>25</v>
      </c>
      <c r="J96" s="6" t="s">
        <v>195</v>
      </c>
      <c r="K96" s="6" t="s">
        <v>25</v>
      </c>
      <c r="L96" s="6" t="s">
        <v>25</v>
      </c>
      <c r="M96" s="6" t="s">
        <v>25</v>
      </c>
      <c r="N96" s="6" t="s">
        <v>25</v>
      </c>
      <c r="O96" s="6" t="s">
        <v>25</v>
      </c>
      <c r="P96" s="6" t="s">
        <v>25</v>
      </c>
      <c r="Q96" s="6" t="s">
        <v>25</v>
      </c>
      <c r="R96" s="6" t="s">
        <v>25</v>
      </c>
      <c r="S96" s="6" t="s">
        <v>25</v>
      </c>
      <c r="T96" s="6" t="s">
        <v>138</v>
      </c>
      <c r="U96" s="6" t="s">
        <v>293</v>
      </c>
      <c r="V96" s="6" t="s">
        <v>294</v>
      </c>
      <c r="W96" s="6" t="s">
        <v>439</v>
      </c>
      <c r="X96" s="6" t="s">
        <v>166</v>
      </c>
      <c r="Y96" s="6" t="s">
        <v>440</v>
      </c>
      <c r="Z96" s="6" t="s">
        <v>166</v>
      </c>
      <c r="AA96" s="6" t="s">
        <v>441</v>
      </c>
      <c r="AB96" s="6" t="s">
        <v>166</v>
      </c>
      <c r="AC96" s="6" t="s">
        <v>442</v>
      </c>
      <c r="AD96" s="6" t="s">
        <v>166</v>
      </c>
      <c r="AE96" s="6" t="s">
        <v>25</v>
      </c>
      <c r="AF96" s="6" t="s">
        <v>25</v>
      </c>
      <c r="AG96" s="6" t="s">
        <v>25</v>
      </c>
      <c r="AH96" s="6" t="s">
        <v>25</v>
      </c>
      <c r="AI96" s="6" t="s">
        <v>25</v>
      </c>
    </row>
    <row r="97">
      <c r="A97" s="6" t="s">
        <v>4</v>
      </c>
      <c r="B97" s="6" t="s">
        <v>8</v>
      </c>
      <c r="C97" s="6" t="n">
        <v>13</v>
      </c>
      <c r="D97" s="6" t="s">
        <v>6</v>
      </c>
      <c r="E97" s="6" t="s">
        <v>226</v>
      </c>
      <c r="F97" s="6" t="s">
        <v>25</v>
      </c>
      <c r="G97" s="6" t="s">
        <v>25</v>
      </c>
      <c r="H97" s="6" t="s">
        <v>25</v>
      </c>
      <c r="I97" s="6" t="s">
        <v>25</v>
      </c>
      <c r="J97" s="6" t="s">
        <v>202</v>
      </c>
      <c r="K97" s="6" t="s">
        <v>25</v>
      </c>
      <c r="L97" s="6" t="s">
        <v>25</v>
      </c>
      <c r="M97" s="6" t="s">
        <v>25</v>
      </c>
      <c r="N97" s="6" t="s">
        <v>25</v>
      </c>
      <c r="O97" s="6" t="s">
        <v>25</v>
      </c>
      <c r="P97" s="6" t="s">
        <v>25</v>
      </c>
      <c r="Q97" s="6" t="s">
        <v>25</v>
      </c>
      <c r="R97" s="6" t="s">
        <v>25</v>
      </c>
      <c r="S97" s="6" t="s">
        <v>25</v>
      </c>
      <c r="T97" s="6" t="s">
        <v>127</v>
      </c>
      <c r="U97" s="6" t="s">
        <v>227</v>
      </c>
      <c r="V97" s="6" t="s">
        <v>228</v>
      </c>
      <c r="W97" s="6" t="s">
        <v>229</v>
      </c>
      <c r="X97" s="6" t="s">
        <v>166</v>
      </c>
      <c r="Y97" s="6" t="s">
        <v>230</v>
      </c>
      <c r="Z97" s="6" t="s">
        <v>166</v>
      </c>
      <c r="AA97" s="6" t="s">
        <v>231</v>
      </c>
      <c r="AB97" s="6" t="s">
        <v>166</v>
      </c>
      <c r="AC97" s="6" t="s">
        <v>232</v>
      </c>
      <c r="AD97" s="6" t="s">
        <v>166</v>
      </c>
      <c r="AE97" s="6" t="s">
        <v>25</v>
      </c>
      <c r="AF97" s="6" t="s">
        <v>25</v>
      </c>
      <c r="AG97" s="6" t="s">
        <v>25</v>
      </c>
      <c r="AH97" s="6" t="s">
        <v>25</v>
      </c>
      <c r="AI97" s="6" t="s">
        <v>25</v>
      </c>
    </row>
    <row r="98">
      <c r="A98" s="6" t="s">
        <v>4</v>
      </c>
      <c r="B98" s="6" t="s">
        <v>8</v>
      </c>
      <c r="C98" s="6" t="n">
        <v>13</v>
      </c>
      <c r="D98" s="6" t="s">
        <v>6</v>
      </c>
      <c r="E98" s="6" t="s">
        <v>226</v>
      </c>
      <c r="F98" s="6" t="s">
        <v>25</v>
      </c>
      <c r="G98" s="6" t="s">
        <v>25</v>
      </c>
      <c r="H98" s="6" t="s">
        <v>25</v>
      </c>
      <c r="I98" s="6" t="s">
        <v>25</v>
      </c>
      <c r="J98" s="6" t="s">
        <v>202</v>
      </c>
      <c r="K98" s="6" t="s">
        <v>25</v>
      </c>
      <c r="L98" s="6" t="s">
        <v>25</v>
      </c>
      <c r="M98" s="6" t="s">
        <v>25</v>
      </c>
      <c r="N98" s="6" t="s">
        <v>25</v>
      </c>
      <c r="O98" s="6" t="s">
        <v>25</v>
      </c>
      <c r="P98" s="6" t="s">
        <v>25</v>
      </c>
      <c r="Q98" s="6" t="s">
        <v>25</v>
      </c>
      <c r="R98" s="6" t="s">
        <v>25</v>
      </c>
      <c r="S98" s="6" t="s">
        <v>25</v>
      </c>
      <c r="T98" s="6" t="s">
        <v>128</v>
      </c>
      <c r="U98" s="6" t="s">
        <v>233</v>
      </c>
      <c r="V98" s="6" t="s">
        <v>234</v>
      </c>
      <c r="W98" s="6" t="s">
        <v>235</v>
      </c>
      <c r="X98" s="6" t="s">
        <v>166</v>
      </c>
      <c r="Y98" s="6" t="s">
        <v>236</v>
      </c>
      <c r="Z98" s="6" t="s">
        <v>166</v>
      </c>
      <c r="AA98" s="6" t="s">
        <v>237</v>
      </c>
      <c r="AB98" s="6" t="s">
        <v>166</v>
      </c>
      <c r="AC98" s="6" t="s">
        <v>238</v>
      </c>
      <c r="AD98" s="6" t="s">
        <v>166</v>
      </c>
      <c r="AE98" s="6" t="s">
        <v>25</v>
      </c>
      <c r="AF98" s="6" t="s">
        <v>25</v>
      </c>
      <c r="AG98" s="6" t="s">
        <v>25</v>
      </c>
      <c r="AH98" s="6" t="s">
        <v>25</v>
      </c>
      <c r="AI98" s="6" t="s">
        <v>25</v>
      </c>
    </row>
    <row r="99">
      <c r="A99" s="6" t="s">
        <v>4</v>
      </c>
      <c r="B99" s="6" t="s">
        <v>8</v>
      </c>
      <c r="C99" s="6" t="n">
        <v>13</v>
      </c>
      <c r="D99" s="6" t="s">
        <v>6</v>
      </c>
      <c r="E99" s="6" t="s">
        <v>226</v>
      </c>
      <c r="F99" s="6" t="s">
        <v>25</v>
      </c>
      <c r="G99" s="6" t="s">
        <v>25</v>
      </c>
      <c r="H99" s="6" t="s">
        <v>25</v>
      </c>
      <c r="I99" s="6" t="s">
        <v>25</v>
      </c>
      <c r="J99" s="6" t="s">
        <v>202</v>
      </c>
      <c r="K99" s="6" t="s">
        <v>25</v>
      </c>
      <c r="L99" s="6" t="s">
        <v>25</v>
      </c>
      <c r="M99" s="6" t="s">
        <v>25</v>
      </c>
      <c r="N99" s="6" t="s">
        <v>25</v>
      </c>
      <c r="O99" s="6" t="s">
        <v>25</v>
      </c>
      <c r="P99" s="6" t="s">
        <v>25</v>
      </c>
      <c r="Q99" s="6" t="s">
        <v>25</v>
      </c>
      <c r="R99" s="6" t="s">
        <v>25</v>
      </c>
      <c r="S99" s="6" t="s">
        <v>25</v>
      </c>
      <c r="T99" s="6" t="s">
        <v>129</v>
      </c>
      <c r="U99" s="6" t="s">
        <v>239</v>
      </c>
      <c r="V99" s="6" t="s">
        <v>240</v>
      </c>
      <c r="W99" s="6" t="s">
        <v>241</v>
      </c>
      <c r="X99" s="6" t="s">
        <v>166</v>
      </c>
      <c r="Y99" s="6" t="s">
        <v>242</v>
      </c>
      <c r="Z99" s="6" t="s">
        <v>166</v>
      </c>
      <c r="AA99" s="6" t="s">
        <v>243</v>
      </c>
      <c r="AB99" s="6" t="s">
        <v>166</v>
      </c>
      <c r="AC99" s="6" t="s">
        <v>244</v>
      </c>
      <c r="AD99" s="6" t="s">
        <v>166</v>
      </c>
      <c r="AE99" s="6" t="s">
        <v>25</v>
      </c>
      <c r="AF99" s="6" t="s">
        <v>25</v>
      </c>
      <c r="AG99" s="6" t="s">
        <v>25</v>
      </c>
      <c r="AH99" s="6" t="s">
        <v>25</v>
      </c>
      <c r="AI99" s="6" t="s">
        <v>25</v>
      </c>
    </row>
    <row r="100">
      <c r="A100" s="6" t="s">
        <v>4</v>
      </c>
      <c r="B100" s="6" t="s">
        <v>8</v>
      </c>
      <c r="C100" s="6" t="n">
        <v>13</v>
      </c>
      <c r="D100" s="6" t="s">
        <v>6</v>
      </c>
      <c r="E100" s="6" t="s">
        <v>226</v>
      </c>
      <c r="F100" s="6" t="s">
        <v>25</v>
      </c>
      <c r="G100" s="6" t="s">
        <v>25</v>
      </c>
      <c r="H100" s="6" t="s">
        <v>25</v>
      </c>
      <c r="I100" s="6" t="s">
        <v>25</v>
      </c>
      <c r="J100" s="6" t="s">
        <v>202</v>
      </c>
      <c r="K100" s="6" t="s">
        <v>25</v>
      </c>
      <c r="L100" s="6" t="s">
        <v>25</v>
      </c>
      <c r="M100" s="6" t="s">
        <v>25</v>
      </c>
      <c r="N100" s="6" t="s">
        <v>25</v>
      </c>
      <c r="O100" s="6" t="s">
        <v>25</v>
      </c>
      <c r="P100" s="6" t="s">
        <v>25</v>
      </c>
      <c r="Q100" s="6" t="s">
        <v>25</v>
      </c>
      <c r="R100" s="6" t="s">
        <v>25</v>
      </c>
      <c r="S100" s="6" t="s">
        <v>25</v>
      </c>
      <c r="T100" s="6" t="s">
        <v>130</v>
      </c>
      <c r="U100" s="6" t="s">
        <v>245</v>
      </c>
      <c r="V100" s="6" t="s">
        <v>246</v>
      </c>
      <c r="W100" s="6" t="s">
        <v>247</v>
      </c>
      <c r="X100" s="6" t="s">
        <v>166</v>
      </c>
      <c r="Y100" s="6" t="s">
        <v>248</v>
      </c>
      <c r="Z100" s="6" t="s">
        <v>166</v>
      </c>
      <c r="AA100" s="6" t="s">
        <v>249</v>
      </c>
      <c r="AB100" s="6" t="s">
        <v>166</v>
      </c>
      <c r="AC100" s="6" t="s">
        <v>250</v>
      </c>
      <c r="AD100" s="6" t="s">
        <v>166</v>
      </c>
      <c r="AE100" s="6" t="s">
        <v>25</v>
      </c>
      <c r="AF100" s="6" t="s">
        <v>25</v>
      </c>
      <c r="AG100" s="6" t="s">
        <v>25</v>
      </c>
      <c r="AH100" s="6" t="s">
        <v>25</v>
      </c>
      <c r="AI100" s="6" t="s">
        <v>25</v>
      </c>
    </row>
    <row r="101">
      <c r="A101" s="6" t="s">
        <v>4</v>
      </c>
      <c r="B101" s="6" t="s">
        <v>8</v>
      </c>
      <c r="C101" s="6" t="n">
        <v>13</v>
      </c>
      <c r="D101" s="6" t="s">
        <v>6</v>
      </c>
      <c r="E101" s="6" t="s">
        <v>226</v>
      </c>
      <c r="F101" s="6" t="s">
        <v>25</v>
      </c>
      <c r="G101" s="6" t="s">
        <v>25</v>
      </c>
      <c r="H101" s="6" t="s">
        <v>25</v>
      </c>
      <c r="I101" s="6" t="s">
        <v>25</v>
      </c>
      <c r="J101" s="6" t="s">
        <v>202</v>
      </c>
      <c r="K101" s="6" t="s">
        <v>25</v>
      </c>
      <c r="L101" s="6" t="s">
        <v>25</v>
      </c>
      <c r="M101" s="6" t="s">
        <v>25</v>
      </c>
      <c r="N101" s="6" t="s">
        <v>25</v>
      </c>
      <c r="O101" s="6" t="s">
        <v>25</v>
      </c>
      <c r="P101" s="6" t="s">
        <v>25</v>
      </c>
      <c r="Q101" s="6" t="s">
        <v>25</v>
      </c>
      <c r="R101" s="6" t="s">
        <v>25</v>
      </c>
      <c r="S101" s="6" t="s">
        <v>25</v>
      </c>
      <c r="T101" s="6" t="s">
        <v>131</v>
      </c>
      <c r="U101" s="6" t="s">
        <v>251</v>
      </c>
      <c r="V101" s="6" t="s">
        <v>252</v>
      </c>
      <c r="W101" s="6" t="s">
        <v>253</v>
      </c>
      <c r="X101" s="6" t="s">
        <v>166</v>
      </c>
      <c r="Y101" s="6" t="s">
        <v>254</v>
      </c>
      <c r="Z101" s="6" t="s">
        <v>166</v>
      </c>
      <c r="AA101" s="6" t="s">
        <v>255</v>
      </c>
      <c r="AB101" s="6" t="s">
        <v>166</v>
      </c>
      <c r="AC101" s="6" t="s">
        <v>256</v>
      </c>
      <c r="AD101" s="6" t="s">
        <v>166</v>
      </c>
      <c r="AE101" s="6" t="s">
        <v>25</v>
      </c>
      <c r="AF101" s="6" t="s">
        <v>25</v>
      </c>
      <c r="AG101" s="6" t="s">
        <v>25</v>
      </c>
      <c r="AH101" s="6" t="s">
        <v>25</v>
      </c>
      <c r="AI101" s="6" t="s">
        <v>25</v>
      </c>
    </row>
    <row r="102">
      <c r="A102" s="6" t="s">
        <v>4</v>
      </c>
      <c r="B102" s="6" t="s">
        <v>8</v>
      </c>
      <c r="C102" s="6" t="n">
        <v>13</v>
      </c>
      <c r="D102" s="6" t="s">
        <v>6</v>
      </c>
      <c r="E102" s="6" t="s">
        <v>226</v>
      </c>
      <c r="F102" s="6" t="s">
        <v>25</v>
      </c>
      <c r="G102" s="6" t="s">
        <v>25</v>
      </c>
      <c r="H102" s="6" t="s">
        <v>25</v>
      </c>
      <c r="I102" s="6" t="s">
        <v>25</v>
      </c>
      <c r="J102" s="6" t="s">
        <v>202</v>
      </c>
      <c r="K102" s="6" t="s">
        <v>25</v>
      </c>
      <c r="L102" s="6" t="s">
        <v>25</v>
      </c>
      <c r="M102" s="6" t="s">
        <v>25</v>
      </c>
      <c r="N102" s="6" t="s">
        <v>25</v>
      </c>
      <c r="O102" s="6" t="s">
        <v>25</v>
      </c>
      <c r="P102" s="6" t="s">
        <v>25</v>
      </c>
      <c r="Q102" s="6" t="s">
        <v>25</v>
      </c>
      <c r="R102" s="6" t="s">
        <v>25</v>
      </c>
      <c r="S102" s="6" t="s">
        <v>25</v>
      </c>
      <c r="T102" s="6" t="s">
        <v>132</v>
      </c>
      <c r="U102" s="6" t="s">
        <v>257</v>
      </c>
      <c r="V102" s="6" t="s">
        <v>258</v>
      </c>
      <c r="W102" s="6" t="s">
        <v>259</v>
      </c>
      <c r="X102" s="6" t="s">
        <v>166</v>
      </c>
      <c r="Y102" s="6" t="s">
        <v>260</v>
      </c>
      <c r="Z102" s="6" t="s">
        <v>166</v>
      </c>
      <c r="AA102" s="6" t="s">
        <v>261</v>
      </c>
      <c r="AB102" s="6" t="s">
        <v>166</v>
      </c>
      <c r="AC102" s="6" t="s">
        <v>262</v>
      </c>
      <c r="AD102" s="6" t="s">
        <v>166</v>
      </c>
      <c r="AE102" s="6" t="s">
        <v>25</v>
      </c>
      <c r="AF102" s="6" t="s">
        <v>25</v>
      </c>
      <c r="AG102" s="6" t="s">
        <v>25</v>
      </c>
      <c r="AH102" s="6" t="s">
        <v>25</v>
      </c>
      <c r="AI102" s="6" t="s">
        <v>25</v>
      </c>
    </row>
    <row r="103">
      <c r="A103" s="6" t="s">
        <v>4</v>
      </c>
      <c r="B103" s="6" t="s">
        <v>8</v>
      </c>
      <c r="C103" s="6" t="n">
        <v>13</v>
      </c>
      <c r="D103" s="6" t="s">
        <v>6</v>
      </c>
      <c r="E103" s="6" t="s">
        <v>226</v>
      </c>
      <c r="F103" s="6" t="s">
        <v>25</v>
      </c>
      <c r="G103" s="6" t="s">
        <v>25</v>
      </c>
      <c r="H103" s="6" t="s">
        <v>25</v>
      </c>
      <c r="I103" s="6" t="s">
        <v>25</v>
      </c>
      <c r="J103" s="6" t="s">
        <v>202</v>
      </c>
      <c r="K103" s="6" t="s">
        <v>25</v>
      </c>
      <c r="L103" s="6" t="s">
        <v>25</v>
      </c>
      <c r="M103" s="6" t="s">
        <v>25</v>
      </c>
      <c r="N103" s="6" t="s">
        <v>25</v>
      </c>
      <c r="O103" s="6" t="s">
        <v>25</v>
      </c>
      <c r="P103" s="6" t="s">
        <v>25</v>
      </c>
      <c r="Q103" s="6" t="s">
        <v>25</v>
      </c>
      <c r="R103" s="6" t="s">
        <v>25</v>
      </c>
      <c r="S103" s="6" t="s">
        <v>25</v>
      </c>
      <c r="T103" s="6" t="s">
        <v>133</v>
      </c>
      <c r="U103" s="6" t="s">
        <v>263</v>
      </c>
      <c r="V103" s="6" t="s">
        <v>264</v>
      </c>
      <c r="W103" s="6" t="s">
        <v>265</v>
      </c>
      <c r="X103" s="6" t="s">
        <v>166</v>
      </c>
      <c r="Y103" s="6" t="s">
        <v>266</v>
      </c>
      <c r="Z103" s="6" t="s">
        <v>166</v>
      </c>
      <c r="AA103" s="6" t="s">
        <v>267</v>
      </c>
      <c r="AB103" s="6" t="s">
        <v>166</v>
      </c>
      <c r="AC103" s="6" t="s">
        <v>268</v>
      </c>
      <c r="AD103" s="6" t="s">
        <v>166</v>
      </c>
      <c r="AE103" s="6" t="s">
        <v>25</v>
      </c>
      <c r="AF103" s="6" t="s">
        <v>25</v>
      </c>
      <c r="AG103" s="6" t="s">
        <v>25</v>
      </c>
      <c r="AH103" s="6" t="s">
        <v>25</v>
      </c>
      <c r="AI103" s="6" t="s">
        <v>25</v>
      </c>
    </row>
    <row r="104">
      <c r="A104" s="6" t="s">
        <v>4</v>
      </c>
      <c r="B104" s="6" t="s">
        <v>8</v>
      </c>
      <c r="C104" s="6" t="n">
        <v>13</v>
      </c>
      <c r="D104" s="6" t="s">
        <v>6</v>
      </c>
      <c r="E104" s="6" t="s">
        <v>226</v>
      </c>
      <c r="F104" s="6" t="s">
        <v>25</v>
      </c>
      <c r="G104" s="6" t="s">
        <v>25</v>
      </c>
      <c r="H104" s="6" t="s">
        <v>25</v>
      </c>
      <c r="I104" s="6" t="s">
        <v>25</v>
      </c>
      <c r="J104" s="6" t="s">
        <v>202</v>
      </c>
      <c r="K104" s="6" t="s">
        <v>25</v>
      </c>
      <c r="L104" s="6" t="s">
        <v>25</v>
      </c>
      <c r="M104" s="6" t="s">
        <v>25</v>
      </c>
      <c r="N104" s="6" t="s">
        <v>25</v>
      </c>
      <c r="O104" s="6" t="s">
        <v>25</v>
      </c>
      <c r="P104" s="6" t="s">
        <v>25</v>
      </c>
      <c r="Q104" s="6" t="s">
        <v>25</v>
      </c>
      <c r="R104" s="6" t="s">
        <v>25</v>
      </c>
      <c r="S104" s="6" t="s">
        <v>25</v>
      </c>
      <c r="T104" s="6" t="s">
        <v>134</v>
      </c>
      <c r="U104" s="6" t="s">
        <v>269</v>
      </c>
      <c r="V104" s="6" t="s">
        <v>270</v>
      </c>
      <c r="W104" s="6" t="s">
        <v>271</v>
      </c>
      <c r="X104" s="6" t="s">
        <v>166</v>
      </c>
      <c r="Y104" s="6" t="s">
        <v>272</v>
      </c>
      <c r="Z104" s="6" t="s">
        <v>166</v>
      </c>
      <c r="AA104" s="6" t="s">
        <v>273</v>
      </c>
      <c r="AB104" s="6" t="s">
        <v>166</v>
      </c>
      <c r="AC104" s="6" t="s">
        <v>274</v>
      </c>
      <c r="AD104" s="6" t="s">
        <v>166</v>
      </c>
      <c r="AE104" s="6" t="s">
        <v>25</v>
      </c>
      <c r="AF104" s="6" t="s">
        <v>25</v>
      </c>
      <c r="AG104" s="6" t="s">
        <v>25</v>
      </c>
      <c r="AH104" s="6" t="s">
        <v>25</v>
      </c>
      <c r="AI104" s="6" t="s">
        <v>25</v>
      </c>
    </row>
    <row r="105">
      <c r="A105" s="6" t="s">
        <v>4</v>
      </c>
      <c r="B105" s="6" t="s">
        <v>8</v>
      </c>
      <c r="C105" s="6" t="n">
        <v>13</v>
      </c>
      <c r="D105" s="6" t="s">
        <v>6</v>
      </c>
      <c r="E105" s="6" t="s">
        <v>226</v>
      </c>
      <c r="F105" s="6" t="s">
        <v>25</v>
      </c>
      <c r="G105" s="6" t="s">
        <v>25</v>
      </c>
      <c r="H105" s="6" t="s">
        <v>25</v>
      </c>
      <c r="I105" s="6" t="s">
        <v>25</v>
      </c>
      <c r="J105" s="6" t="s">
        <v>202</v>
      </c>
      <c r="K105" s="6" t="s">
        <v>25</v>
      </c>
      <c r="L105" s="6" t="s">
        <v>25</v>
      </c>
      <c r="M105" s="6" t="s">
        <v>25</v>
      </c>
      <c r="N105" s="6" t="s">
        <v>25</v>
      </c>
      <c r="O105" s="6" t="s">
        <v>25</v>
      </c>
      <c r="P105" s="6" t="s">
        <v>25</v>
      </c>
      <c r="Q105" s="6" t="s">
        <v>25</v>
      </c>
      <c r="R105" s="6" t="s">
        <v>25</v>
      </c>
      <c r="S105" s="6" t="s">
        <v>25</v>
      </c>
      <c r="T105" s="6" t="s">
        <v>135</v>
      </c>
      <c r="U105" s="6" t="s">
        <v>275</v>
      </c>
      <c r="V105" s="6" t="s">
        <v>276</v>
      </c>
      <c r="W105" s="6" t="s">
        <v>277</v>
      </c>
      <c r="X105" s="6" t="s">
        <v>166</v>
      </c>
      <c r="Y105" s="6" t="s">
        <v>278</v>
      </c>
      <c r="Z105" s="6" t="s">
        <v>166</v>
      </c>
      <c r="AA105" s="6" t="s">
        <v>279</v>
      </c>
      <c r="AB105" s="6" t="s">
        <v>166</v>
      </c>
      <c r="AC105" s="6" t="s">
        <v>280</v>
      </c>
      <c r="AD105" s="6" t="s">
        <v>166</v>
      </c>
      <c r="AE105" s="6" t="s">
        <v>25</v>
      </c>
      <c r="AF105" s="6" t="s">
        <v>25</v>
      </c>
      <c r="AG105" s="6" t="s">
        <v>25</v>
      </c>
      <c r="AH105" s="6" t="s">
        <v>25</v>
      </c>
      <c r="AI105" s="6" t="s">
        <v>25</v>
      </c>
    </row>
    <row r="106">
      <c r="A106" s="6" t="s">
        <v>4</v>
      </c>
      <c r="B106" s="6" t="s">
        <v>8</v>
      </c>
      <c r="C106" s="6" t="n">
        <v>13</v>
      </c>
      <c r="D106" s="6" t="s">
        <v>6</v>
      </c>
      <c r="E106" s="6" t="s">
        <v>226</v>
      </c>
      <c r="F106" s="6" t="s">
        <v>25</v>
      </c>
      <c r="G106" s="6" t="s">
        <v>25</v>
      </c>
      <c r="H106" s="6" t="s">
        <v>25</v>
      </c>
      <c r="I106" s="6" t="s">
        <v>25</v>
      </c>
      <c r="J106" s="6" t="s">
        <v>202</v>
      </c>
      <c r="K106" s="6" t="s">
        <v>25</v>
      </c>
      <c r="L106" s="6" t="s">
        <v>25</v>
      </c>
      <c r="M106" s="6" t="s">
        <v>25</v>
      </c>
      <c r="N106" s="6" t="s">
        <v>25</v>
      </c>
      <c r="O106" s="6" t="s">
        <v>25</v>
      </c>
      <c r="P106" s="6" t="s">
        <v>25</v>
      </c>
      <c r="Q106" s="6" t="s">
        <v>25</v>
      </c>
      <c r="R106" s="6" t="s">
        <v>25</v>
      </c>
      <c r="S106" s="6" t="s">
        <v>25</v>
      </c>
      <c r="T106" s="6" t="s">
        <v>136</v>
      </c>
      <c r="U106" s="6" t="s">
        <v>281</v>
      </c>
      <c r="V106" s="6" t="s">
        <v>282</v>
      </c>
      <c r="W106" s="6" t="s">
        <v>283</v>
      </c>
      <c r="X106" s="6" t="s">
        <v>166</v>
      </c>
      <c r="Y106" s="6" t="s">
        <v>284</v>
      </c>
      <c r="Z106" s="6" t="s">
        <v>166</v>
      </c>
      <c r="AA106" s="6" t="s">
        <v>285</v>
      </c>
      <c r="AB106" s="6" t="s">
        <v>166</v>
      </c>
      <c r="AC106" s="6" t="s">
        <v>286</v>
      </c>
      <c r="AD106" s="6" t="s">
        <v>166</v>
      </c>
      <c r="AE106" s="6" t="s">
        <v>25</v>
      </c>
      <c r="AF106" s="6" t="s">
        <v>25</v>
      </c>
      <c r="AG106" s="6" t="s">
        <v>25</v>
      </c>
      <c r="AH106" s="6" t="s">
        <v>25</v>
      </c>
      <c r="AI106" s="6" t="s">
        <v>25</v>
      </c>
    </row>
    <row r="107">
      <c r="A107" s="6" t="s">
        <v>4</v>
      </c>
      <c r="B107" s="6" t="s">
        <v>8</v>
      </c>
      <c r="C107" s="6" t="n">
        <v>13</v>
      </c>
      <c r="D107" s="6" t="s">
        <v>6</v>
      </c>
      <c r="E107" s="6" t="s">
        <v>226</v>
      </c>
      <c r="F107" s="6" t="s">
        <v>25</v>
      </c>
      <c r="G107" s="6" t="s">
        <v>25</v>
      </c>
      <c r="H107" s="6" t="s">
        <v>25</v>
      </c>
      <c r="I107" s="6" t="s">
        <v>25</v>
      </c>
      <c r="J107" s="6" t="s">
        <v>202</v>
      </c>
      <c r="K107" s="6" t="s">
        <v>25</v>
      </c>
      <c r="L107" s="6" t="s">
        <v>25</v>
      </c>
      <c r="M107" s="6" t="s">
        <v>25</v>
      </c>
      <c r="N107" s="6" t="s">
        <v>25</v>
      </c>
      <c r="O107" s="6" t="s">
        <v>25</v>
      </c>
      <c r="P107" s="6" t="s">
        <v>25</v>
      </c>
      <c r="Q107" s="6" t="s">
        <v>25</v>
      </c>
      <c r="R107" s="6" t="s">
        <v>25</v>
      </c>
      <c r="S107" s="6" t="s">
        <v>25</v>
      </c>
      <c r="T107" s="6" t="s">
        <v>137</v>
      </c>
      <c r="U107" s="6" t="s">
        <v>287</v>
      </c>
      <c r="V107" s="6" t="s">
        <v>288</v>
      </c>
      <c r="W107" s="6" t="s">
        <v>289</v>
      </c>
      <c r="X107" s="6" t="s">
        <v>166</v>
      </c>
      <c r="Y107" s="6" t="s">
        <v>290</v>
      </c>
      <c r="Z107" s="6" t="s">
        <v>166</v>
      </c>
      <c r="AA107" s="6" t="s">
        <v>291</v>
      </c>
      <c r="AB107" s="6" t="s">
        <v>166</v>
      </c>
      <c r="AC107" s="6" t="s">
        <v>292</v>
      </c>
      <c r="AD107" s="6" t="s">
        <v>166</v>
      </c>
      <c r="AE107" s="6" t="s">
        <v>25</v>
      </c>
      <c r="AF107" s="6" t="s">
        <v>25</v>
      </c>
      <c r="AG107" s="6" t="s">
        <v>25</v>
      </c>
      <c r="AH107" s="6" t="s">
        <v>25</v>
      </c>
      <c r="AI107" s="6" t="s">
        <v>25</v>
      </c>
    </row>
    <row r="108">
      <c r="A108" s="6" t="s">
        <v>4</v>
      </c>
      <c r="B108" s="6" t="s">
        <v>8</v>
      </c>
      <c r="C108" s="6" t="n">
        <v>13</v>
      </c>
      <c r="D108" s="6" t="s">
        <v>6</v>
      </c>
      <c r="E108" s="6" t="s">
        <v>226</v>
      </c>
      <c r="F108" s="6" t="s">
        <v>25</v>
      </c>
      <c r="G108" s="6" t="s">
        <v>25</v>
      </c>
      <c r="H108" s="6" t="s">
        <v>25</v>
      </c>
      <c r="I108" s="6" t="s">
        <v>25</v>
      </c>
      <c r="J108" s="6" t="s">
        <v>202</v>
      </c>
      <c r="K108" s="6" t="s">
        <v>25</v>
      </c>
      <c r="L108" s="6" t="s">
        <v>25</v>
      </c>
      <c r="M108" s="6" t="s">
        <v>25</v>
      </c>
      <c r="N108" s="6" t="s">
        <v>25</v>
      </c>
      <c r="O108" s="6" t="s">
        <v>25</v>
      </c>
      <c r="P108" s="6" t="s">
        <v>25</v>
      </c>
      <c r="Q108" s="6" t="s">
        <v>25</v>
      </c>
      <c r="R108" s="6" t="s">
        <v>25</v>
      </c>
      <c r="S108" s="6" t="s">
        <v>25</v>
      </c>
      <c r="T108" s="6" t="s">
        <v>138</v>
      </c>
      <c r="U108" s="6" t="s">
        <v>293</v>
      </c>
      <c r="V108" s="6" t="s">
        <v>294</v>
      </c>
      <c r="W108" s="6" t="s">
        <v>295</v>
      </c>
      <c r="X108" s="6" t="s">
        <v>166</v>
      </c>
      <c r="Y108" s="6" t="s">
        <v>296</v>
      </c>
      <c r="Z108" s="6" t="s">
        <v>166</v>
      </c>
      <c r="AA108" s="6" t="s">
        <v>297</v>
      </c>
      <c r="AB108" s="6" t="s">
        <v>166</v>
      </c>
      <c r="AC108" s="6" t="s">
        <v>298</v>
      </c>
      <c r="AD108" s="6" t="s">
        <v>166</v>
      </c>
      <c r="AE108" s="6" t="s">
        <v>25</v>
      </c>
      <c r="AF108" s="6" t="s">
        <v>25</v>
      </c>
      <c r="AG108" s="6" t="s">
        <v>25</v>
      </c>
      <c r="AH108" s="6" t="s">
        <v>25</v>
      </c>
      <c r="AI108" s="6" t="s">
        <v>25</v>
      </c>
    </row>
    <row r="109">
      <c r="A109" s="6" t="s">
        <v>4</v>
      </c>
      <c r="B109" s="6" t="s">
        <v>8</v>
      </c>
      <c r="C109" s="6" t="n">
        <v>13</v>
      </c>
      <c r="D109" s="6" t="s">
        <v>6</v>
      </c>
      <c r="E109" s="6" t="s">
        <v>443</v>
      </c>
      <c r="F109" s="6" t="s">
        <v>444</v>
      </c>
      <c r="G109" s="6" t="s">
        <v>25</v>
      </c>
      <c r="H109" s="6" t="s">
        <v>25</v>
      </c>
      <c r="I109" s="6" t="s">
        <v>141</v>
      </c>
      <c r="J109" s="6" t="s">
        <v>172</v>
      </c>
      <c r="K109" s="6" t="s">
        <v>173</v>
      </c>
      <c r="L109" s="6" t="s">
        <v>174</v>
      </c>
      <c r="M109" s="6" t="s">
        <v>175</v>
      </c>
      <c r="N109" s="6" t="s">
        <v>176</v>
      </c>
      <c r="O109" s="6" t="s">
        <v>177</v>
      </c>
      <c r="P109" s="6" t="s">
        <v>178</v>
      </c>
      <c r="Q109" s="6" t="s">
        <v>179</v>
      </c>
      <c r="R109" s="6" t="s">
        <v>180</v>
      </c>
      <c r="S109" s="6" t="s">
        <v>445</v>
      </c>
      <c r="T109" s="6" t="s">
        <v>25</v>
      </c>
      <c r="U109" s="6" t="s">
        <v>25</v>
      </c>
      <c r="V109" s="6" t="s">
        <v>25</v>
      </c>
      <c r="W109" s="6" t="s">
        <v>25</v>
      </c>
      <c r="X109" s="6" t="s">
        <v>25</v>
      </c>
      <c r="Y109" s="6" t="s">
        <v>25</v>
      </c>
      <c r="Z109" s="6" t="s">
        <v>25</v>
      </c>
      <c r="AA109" s="6" t="s">
        <v>25</v>
      </c>
      <c r="AB109" s="6" t="s">
        <v>25</v>
      </c>
      <c r="AC109" s="6" t="s">
        <v>25</v>
      </c>
      <c r="AD109" s="6" t="s">
        <v>25</v>
      </c>
      <c r="AE109" s="6" t="s">
        <v>25</v>
      </c>
      <c r="AF109" s="6" t="s">
        <v>25</v>
      </c>
      <c r="AG109" s="6" t="s">
        <v>25</v>
      </c>
      <c r="AH109" s="6" t="s">
        <v>25</v>
      </c>
      <c r="AI109" s="6" t="s">
        <v>25</v>
      </c>
    </row>
    <row r="110">
      <c r="A110" s="6" t="s">
        <v>4</v>
      </c>
      <c r="B110" s="6" t="s">
        <v>8</v>
      </c>
      <c r="C110" s="6" t="n">
        <v>13</v>
      </c>
      <c r="D110" s="6" t="s">
        <v>6</v>
      </c>
      <c r="E110" s="6" t="s">
        <v>443</v>
      </c>
      <c r="F110" s="6" t="s">
        <v>444</v>
      </c>
      <c r="G110" s="6" t="s">
        <v>25</v>
      </c>
      <c r="H110" s="6" t="s">
        <v>25</v>
      </c>
      <c r="I110" s="6" t="s">
        <v>181</v>
      </c>
      <c r="J110" s="6" t="s">
        <v>182</v>
      </c>
      <c r="K110" s="6" t="s">
        <v>183</v>
      </c>
      <c r="L110" s="6" t="s">
        <v>184</v>
      </c>
      <c r="M110" s="6" t="s">
        <v>185</v>
      </c>
      <c r="N110" s="6" t="s">
        <v>176</v>
      </c>
      <c r="O110" s="6" t="s">
        <v>177</v>
      </c>
      <c r="P110" s="6" t="s">
        <v>186</v>
      </c>
      <c r="Q110" s="6" t="s">
        <v>187</v>
      </c>
      <c r="R110" s="6" t="s">
        <v>180</v>
      </c>
      <c r="S110" s="6" t="s">
        <v>445</v>
      </c>
      <c r="T110" s="6" t="s">
        <v>25</v>
      </c>
      <c r="U110" s="6" t="s">
        <v>25</v>
      </c>
      <c r="V110" s="6" t="s">
        <v>25</v>
      </c>
      <c r="W110" s="6" t="s">
        <v>25</v>
      </c>
      <c r="X110" s="6" t="s">
        <v>25</v>
      </c>
      <c r="Y110" s="6" t="s">
        <v>25</v>
      </c>
      <c r="Z110" s="6" t="s">
        <v>25</v>
      </c>
      <c r="AA110" s="6" t="s">
        <v>25</v>
      </c>
      <c r="AB110" s="6" t="s">
        <v>25</v>
      </c>
      <c r="AC110" s="6" t="s">
        <v>25</v>
      </c>
      <c r="AD110" s="6" t="s">
        <v>25</v>
      </c>
      <c r="AE110" s="6" t="s">
        <v>25</v>
      </c>
      <c r="AF110" s="6" t="s">
        <v>25</v>
      </c>
      <c r="AG110" s="6" t="s">
        <v>25</v>
      </c>
      <c r="AH110" s="6" t="s">
        <v>25</v>
      </c>
      <c r="AI110" s="6" t="s">
        <v>25</v>
      </c>
    </row>
    <row r="111">
      <c r="A111" s="6" t="s">
        <v>4</v>
      </c>
      <c r="B111" s="6" t="s">
        <v>8</v>
      </c>
      <c r="C111" s="6" t="n">
        <v>13</v>
      </c>
      <c r="D111" s="6" t="s">
        <v>6</v>
      </c>
      <c r="E111" s="6" t="s">
        <v>443</v>
      </c>
      <c r="F111" s="6" t="s">
        <v>444</v>
      </c>
      <c r="G111" s="6" t="s">
        <v>25</v>
      </c>
      <c r="H111" s="6" t="s">
        <v>25</v>
      </c>
      <c r="I111" s="6" t="s">
        <v>188</v>
      </c>
      <c r="J111" s="6" t="s">
        <v>189</v>
      </c>
      <c r="K111" s="6" t="s">
        <v>183</v>
      </c>
      <c r="L111" s="6" t="s">
        <v>190</v>
      </c>
      <c r="M111" s="6" t="s">
        <v>191</v>
      </c>
      <c r="N111" s="6" t="s">
        <v>176</v>
      </c>
      <c r="O111" s="6" t="s">
        <v>177</v>
      </c>
      <c r="P111" s="6" t="s">
        <v>192</v>
      </c>
      <c r="Q111" s="6" t="s">
        <v>193</v>
      </c>
      <c r="R111" s="6" t="s">
        <v>180</v>
      </c>
      <c r="S111" s="6" t="s">
        <v>445</v>
      </c>
      <c r="T111" s="6" t="s">
        <v>25</v>
      </c>
      <c r="U111" s="6" t="s">
        <v>25</v>
      </c>
      <c r="V111" s="6" t="s">
        <v>25</v>
      </c>
      <c r="W111" s="6" t="s">
        <v>25</v>
      </c>
      <c r="X111" s="6" t="s">
        <v>25</v>
      </c>
      <c r="Y111" s="6" t="s">
        <v>25</v>
      </c>
      <c r="Z111" s="6" t="s">
        <v>25</v>
      </c>
      <c r="AA111" s="6" t="s">
        <v>25</v>
      </c>
      <c r="AB111" s="6" t="s">
        <v>25</v>
      </c>
      <c r="AC111" s="6" t="s">
        <v>25</v>
      </c>
      <c r="AD111" s="6" t="s">
        <v>25</v>
      </c>
      <c r="AE111" s="6" t="s">
        <v>25</v>
      </c>
      <c r="AF111" s="6" t="s">
        <v>25</v>
      </c>
      <c r="AG111" s="6" t="s">
        <v>25</v>
      </c>
      <c r="AH111" s="6" t="s">
        <v>25</v>
      </c>
      <c r="AI111" s="6" t="s">
        <v>25</v>
      </c>
    </row>
    <row r="112">
      <c r="A112" s="6" t="s">
        <v>4</v>
      </c>
      <c r="B112" s="6" t="s">
        <v>8</v>
      </c>
      <c r="C112" s="6" t="n">
        <v>13</v>
      </c>
      <c r="D112" s="6" t="s">
        <v>6</v>
      </c>
      <c r="E112" s="6" t="s">
        <v>443</v>
      </c>
      <c r="F112" s="6" t="s">
        <v>444</v>
      </c>
      <c r="G112" s="6" t="s">
        <v>25</v>
      </c>
      <c r="H112" s="6" t="s">
        <v>25</v>
      </c>
      <c r="I112" s="6" t="s">
        <v>194</v>
      </c>
      <c r="J112" s="6" t="s">
        <v>195</v>
      </c>
      <c r="K112" s="6" t="s">
        <v>196</v>
      </c>
      <c r="L112" s="6" t="s">
        <v>197</v>
      </c>
      <c r="M112" s="6" t="s">
        <v>198</v>
      </c>
      <c r="N112" s="6" t="s">
        <v>176</v>
      </c>
      <c r="O112" s="6" t="s">
        <v>177</v>
      </c>
      <c r="P112" s="6" t="s">
        <v>199</v>
      </c>
      <c r="Q112" s="6" t="s">
        <v>200</v>
      </c>
      <c r="R112" s="6" t="s">
        <v>180</v>
      </c>
      <c r="S112" s="6" t="s">
        <v>445</v>
      </c>
      <c r="T112" s="6" t="s">
        <v>25</v>
      </c>
      <c r="U112" s="6" t="s">
        <v>25</v>
      </c>
      <c r="V112" s="6" t="s">
        <v>25</v>
      </c>
      <c r="W112" s="6" t="s">
        <v>25</v>
      </c>
      <c r="X112" s="6" t="s">
        <v>25</v>
      </c>
      <c r="Y112" s="6" t="s">
        <v>25</v>
      </c>
      <c r="Z112" s="6" t="s">
        <v>25</v>
      </c>
      <c r="AA112" s="6" t="s">
        <v>25</v>
      </c>
      <c r="AB112" s="6" t="s">
        <v>25</v>
      </c>
      <c r="AC112" s="6" t="s">
        <v>25</v>
      </c>
      <c r="AD112" s="6" t="s">
        <v>25</v>
      </c>
      <c r="AE112" s="6" t="s">
        <v>25</v>
      </c>
      <c r="AF112" s="6" t="s">
        <v>25</v>
      </c>
      <c r="AG112" s="6" t="s">
        <v>25</v>
      </c>
      <c r="AH112" s="6" t="s">
        <v>25</v>
      </c>
      <c r="AI112" s="6" t="s">
        <v>25</v>
      </c>
    </row>
    <row r="113">
      <c r="A113" s="6" t="s">
        <v>4</v>
      </c>
      <c r="B113" s="6" t="s">
        <v>8</v>
      </c>
      <c r="C113" s="6" t="n">
        <v>13</v>
      </c>
      <c r="D113" s="6" t="s">
        <v>6</v>
      </c>
      <c r="E113" s="6" t="s">
        <v>443</v>
      </c>
      <c r="F113" s="6" t="s">
        <v>444</v>
      </c>
      <c r="G113" s="6" t="s">
        <v>25</v>
      </c>
      <c r="H113" s="6" t="s">
        <v>25</v>
      </c>
      <c r="I113" s="6" t="s">
        <v>201</v>
      </c>
      <c r="J113" s="6" t="s">
        <v>202</v>
      </c>
      <c r="K113" s="6" t="s">
        <v>173</v>
      </c>
      <c r="L113" s="6" t="s">
        <v>174</v>
      </c>
      <c r="M113" s="6" t="s">
        <v>175</v>
      </c>
      <c r="N113" s="6" t="s">
        <v>176</v>
      </c>
      <c r="O113" s="6" t="s">
        <v>177</v>
      </c>
      <c r="P113" s="6" t="s">
        <v>178</v>
      </c>
      <c r="Q113" s="6" t="s">
        <v>179</v>
      </c>
      <c r="R113" s="6" t="s">
        <v>180</v>
      </c>
      <c r="S113" s="6" t="s">
        <v>445</v>
      </c>
      <c r="T113" s="6" t="s">
        <v>25</v>
      </c>
      <c r="U113" s="6" t="s">
        <v>25</v>
      </c>
      <c r="V113" s="6" t="s">
        <v>25</v>
      </c>
      <c r="W113" s="6" t="s">
        <v>25</v>
      </c>
      <c r="X113" s="6" t="s">
        <v>25</v>
      </c>
      <c r="Y113" s="6" t="s">
        <v>25</v>
      </c>
      <c r="Z113" s="6" t="s">
        <v>25</v>
      </c>
      <c r="AA113" s="6" t="s">
        <v>25</v>
      </c>
      <c r="AB113" s="6" t="s">
        <v>25</v>
      </c>
      <c r="AC113" s="6" t="s">
        <v>25</v>
      </c>
      <c r="AD113" s="6" t="s">
        <v>25</v>
      </c>
      <c r="AE113" s="6" t="s">
        <v>25</v>
      </c>
      <c r="AF113" s="6" t="s">
        <v>25</v>
      </c>
      <c r="AG113" s="6" t="s">
        <v>25</v>
      </c>
      <c r="AH113" s="6" t="s">
        <v>25</v>
      </c>
      <c r="AI113" s="6" t="s">
        <v>25</v>
      </c>
    </row>
    <row r="114">
      <c r="A114" s="6" t="s">
        <v>4</v>
      </c>
      <c r="B114" s="6" t="s">
        <v>8</v>
      </c>
      <c r="C114" s="6" t="n">
        <v>13</v>
      </c>
      <c r="D114" s="6" t="s">
        <v>6</v>
      </c>
      <c r="E114" s="6" t="s">
        <v>443</v>
      </c>
      <c r="F114" s="6" t="s">
        <v>446</v>
      </c>
      <c r="G114" s="6" t="s">
        <v>25</v>
      </c>
      <c r="H114" s="6" t="s">
        <v>25</v>
      </c>
      <c r="I114" s="6" t="s">
        <v>25</v>
      </c>
      <c r="J114" s="6" t="s">
        <v>195</v>
      </c>
      <c r="K114" s="6" t="s">
        <v>25</v>
      </c>
      <c r="L114" s="6" t="s">
        <v>25</v>
      </c>
      <c r="M114" s="6" t="s">
        <v>25</v>
      </c>
      <c r="N114" s="6" t="s">
        <v>25</v>
      </c>
      <c r="O114" s="6" t="s">
        <v>25</v>
      </c>
      <c r="P114" s="6" t="s">
        <v>25</v>
      </c>
      <c r="Q114" s="6" t="s">
        <v>25</v>
      </c>
      <c r="R114" s="6" t="s">
        <v>25</v>
      </c>
      <c r="S114" s="6" t="s">
        <v>447</v>
      </c>
      <c r="T114" s="6" t="s">
        <v>25</v>
      </c>
      <c r="U114" s="6" t="s">
        <v>25</v>
      </c>
      <c r="V114" s="6" t="s">
        <v>25</v>
      </c>
      <c r="W114" s="6" t="s">
        <v>25</v>
      </c>
      <c r="X114" s="6" t="s">
        <v>25</v>
      </c>
      <c r="Y114" s="6" t="s">
        <v>25</v>
      </c>
      <c r="Z114" s="6" t="s">
        <v>25</v>
      </c>
      <c r="AA114" s="6" t="s">
        <v>25</v>
      </c>
      <c r="AB114" s="6" t="s">
        <v>25</v>
      </c>
      <c r="AC114" s="6" t="s">
        <v>25</v>
      </c>
      <c r="AD114" s="6" t="s">
        <v>25</v>
      </c>
      <c r="AE114" s="6" t="s">
        <v>448</v>
      </c>
      <c r="AF114" s="6" t="s">
        <v>449</v>
      </c>
      <c r="AG114" s="6" t="s">
        <v>450</v>
      </c>
      <c r="AH114" s="6" t="s">
        <v>451</v>
      </c>
      <c r="AI114" s="6" t="s">
        <v>449</v>
      </c>
    </row>
    <row r="115">
      <c r="A115" s="6" t="s">
        <v>4</v>
      </c>
      <c r="B115" s="6" t="s">
        <v>8</v>
      </c>
      <c r="C115" s="6" t="n">
        <v>13</v>
      </c>
      <c r="D115" s="6" t="s">
        <v>6</v>
      </c>
      <c r="E115" s="6" t="s">
        <v>443</v>
      </c>
      <c r="F115" s="6" t="s">
        <v>446</v>
      </c>
      <c r="G115" s="6" t="s">
        <v>25</v>
      </c>
      <c r="H115" s="6" t="s">
        <v>25</v>
      </c>
      <c r="I115" s="6" t="s">
        <v>25</v>
      </c>
      <c r="J115" s="6" t="s">
        <v>182</v>
      </c>
      <c r="K115" s="6" t="s">
        <v>25</v>
      </c>
      <c r="L115" s="6" t="s">
        <v>25</v>
      </c>
      <c r="M115" s="6" t="s">
        <v>25</v>
      </c>
      <c r="N115" s="6" t="s">
        <v>25</v>
      </c>
      <c r="O115" s="6" t="s">
        <v>25</v>
      </c>
      <c r="P115" s="6" t="s">
        <v>25</v>
      </c>
      <c r="Q115" s="6" t="s">
        <v>25</v>
      </c>
      <c r="R115" s="6" t="s">
        <v>25</v>
      </c>
      <c r="S115" s="6" t="s">
        <v>447</v>
      </c>
      <c r="T115" s="6" t="s">
        <v>25</v>
      </c>
      <c r="U115" s="6" t="s">
        <v>25</v>
      </c>
      <c r="V115" s="6" t="s">
        <v>25</v>
      </c>
      <c r="W115" s="6" t="s">
        <v>25</v>
      </c>
      <c r="X115" s="6" t="s">
        <v>25</v>
      </c>
      <c r="Y115" s="6" t="s">
        <v>25</v>
      </c>
      <c r="Z115" s="6" t="s">
        <v>25</v>
      </c>
      <c r="AA115" s="6" t="s">
        <v>25</v>
      </c>
      <c r="AB115" s="6" t="s">
        <v>25</v>
      </c>
      <c r="AC115" s="6" t="s">
        <v>25</v>
      </c>
      <c r="AD115" s="6" t="s">
        <v>25</v>
      </c>
      <c r="AE115" s="6" t="s">
        <v>448</v>
      </c>
      <c r="AF115" s="6" t="s">
        <v>449</v>
      </c>
      <c r="AG115" s="6" t="s">
        <v>73</v>
      </c>
      <c r="AH115" s="6" t="s">
        <v>449</v>
      </c>
      <c r="AI115" s="6" t="s">
        <v>75</v>
      </c>
    </row>
    <row r="116">
      <c r="A116" s="6" t="s">
        <v>4</v>
      </c>
      <c r="B116" s="6" t="s">
        <v>8</v>
      </c>
      <c r="C116" s="6" t="n">
        <v>13</v>
      </c>
      <c r="D116" s="6" t="s">
        <v>6</v>
      </c>
      <c r="E116" s="6" t="s">
        <v>443</v>
      </c>
      <c r="F116" s="6" t="s">
        <v>446</v>
      </c>
      <c r="G116" s="6" t="s">
        <v>25</v>
      </c>
      <c r="H116" s="6" t="s">
        <v>25</v>
      </c>
      <c r="I116" s="6" t="s">
        <v>25</v>
      </c>
      <c r="J116" s="6" t="s">
        <v>189</v>
      </c>
      <c r="K116" s="6" t="s">
        <v>25</v>
      </c>
      <c r="L116" s="6" t="s">
        <v>25</v>
      </c>
      <c r="M116" s="6" t="s">
        <v>25</v>
      </c>
      <c r="N116" s="6" t="s">
        <v>25</v>
      </c>
      <c r="O116" s="6" t="s">
        <v>25</v>
      </c>
      <c r="P116" s="6" t="s">
        <v>25</v>
      </c>
      <c r="Q116" s="6" t="s">
        <v>25</v>
      </c>
      <c r="R116" s="6" t="s">
        <v>25</v>
      </c>
      <c r="S116" s="6" t="s">
        <v>447</v>
      </c>
      <c r="T116" s="6" t="s">
        <v>25</v>
      </c>
      <c r="U116" s="6" t="s">
        <v>25</v>
      </c>
      <c r="V116" s="6" t="s">
        <v>25</v>
      </c>
      <c r="W116" s="6" t="s">
        <v>25</v>
      </c>
      <c r="X116" s="6" t="s">
        <v>25</v>
      </c>
      <c r="Y116" s="6" t="s">
        <v>25</v>
      </c>
      <c r="Z116" s="6" t="s">
        <v>25</v>
      </c>
      <c r="AA116" s="6" t="s">
        <v>25</v>
      </c>
      <c r="AB116" s="6" t="s">
        <v>25</v>
      </c>
      <c r="AC116" s="6" t="s">
        <v>25</v>
      </c>
      <c r="AD116" s="6" t="s">
        <v>25</v>
      </c>
      <c r="AE116" s="6" t="s">
        <v>448</v>
      </c>
      <c r="AF116" s="6" t="s">
        <v>449</v>
      </c>
      <c r="AG116" s="6" t="s">
        <v>73</v>
      </c>
      <c r="AH116" s="6" t="s">
        <v>75</v>
      </c>
      <c r="AI116" s="6" t="s">
        <v>449</v>
      </c>
    </row>
    <row r="117">
      <c r="A117" s="6" t="s">
        <v>4</v>
      </c>
      <c r="B117" s="6" t="s">
        <v>8</v>
      </c>
      <c r="C117" s="6" t="n">
        <v>13</v>
      </c>
      <c r="D117" s="6" t="s">
        <v>6</v>
      </c>
      <c r="E117" s="6" t="s">
        <v>443</v>
      </c>
      <c r="F117" s="6" t="s">
        <v>446</v>
      </c>
      <c r="G117" s="6" t="s">
        <v>25</v>
      </c>
      <c r="H117" s="6" t="s">
        <v>25</v>
      </c>
      <c r="I117" s="6" t="s">
        <v>25</v>
      </c>
      <c r="J117" s="6" t="s">
        <v>202</v>
      </c>
      <c r="K117" s="6" t="s">
        <v>25</v>
      </c>
      <c r="L117" s="6" t="s">
        <v>25</v>
      </c>
      <c r="M117" s="6" t="s">
        <v>25</v>
      </c>
      <c r="N117" s="6" t="s">
        <v>25</v>
      </c>
      <c r="O117" s="6" t="s">
        <v>25</v>
      </c>
      <c r="P117" s="6" t="s">
        <v>25</v>
      </c>
      <c r="Q117" s="6" t="s">
        <v>25</v>
      </c>
      <c r="R117" s="6" t="s">
        <v>25</v>
      </c>
      <c r="S117" s="6" t="s">
        <v>447</v>
      </c>
      <c r="T117" s="6" t="s">
        <v>25</v>
      </c>
      <c r="U117" s="6" t="s">
        <v>25</v>
      </c>
      <c r="V117" s="6" t="s">
        <v>25</v>
      </c>
      <c r="W117" s="6" t="s">
        <v>25</v>
      </c>
      <c r="X117" s="6" t="s">
        <v>25</v>
      </c>
      <c r="Y117" s="6" t="s">
        <v>25</v>
      </c>
      <c r="Z117" s="6" t="s">
        <v>25</v>
      </c>
      <c r="AA117" s="6" t="s">
        <v>25</v>
      </c>
      <c r="AB117" s="6" t="s">
        <v>25</v>
      </c>
      <c r="AC117" s="6" t="s">
        <v>25</v>
      </c>
      <c r="AD117" s="6" t="s">
        <v>25</v>
      </c>
      <c r="AE117" s="6" t="s">
        <v>448</v>
      </c>
      <c r="AF117" s="6" t="s">
        <v>449</v>
      </c>
      <c r="AG117" s="6" t="s">
        <v>180</v>
      </c>
      <c r="AH117" s="6" t="s">
        <v>449</v>
      </c>
      <c r="AI117" s="6" t="s">
        <v>449</v>
      </c>
    </row>
    <row r="118">
      <c r="A118" s="6" t="s">
        <v>4</v>
      </c>
      <c r="B118" s="6" t="s">
        <v>8</v>
      </c>
      <c r="C118" s="6" t="n">
        <v>13</v>
      </c>
      <c r="D118" s="6" t="s">
        <v>6</v>
      </c>
      <c r="E118" s="6" t="s">
        <v>443</v>
      </c>
      <c r="F118" s="6" t="s">
        <v>446</v>
      </c>
      <c r="G118" s="6" t="s">
        <v>25</v>
      </c>
      <c r="H118" s="6" t="s">
        <v>25</v>
      </c>
      <c r="I118" s="6" t="s">
        <v>25</v>
      </c>
      <c r="J118" s="6" t="s">
        <v>172</v>
      </c>
      <c r="K118" s="6" t="s">
        <v>25</v>
      </c>
      <c r="L118" s="6" t="s">
        <v>25</v>
      </c>
      <c r="M118" s="6" t="s">
        <v>25</v>
      </c>
      <c r="N118" s="6" t="s">
        <v>25</v>
      </c>
      <c r="O118" s="6" t="s">
        <v>25</v>
      </c>
      <c r="P118" s="6" t="s">
        <v>25</v>
      </c>
      <c r="Q118" s="6" t="s">
        <v>25</v>
      </c>
      <c r="R118" s="6" t="s">
        <v>25</v>
      </c>
      <c r="S118" s="6" t="s">
        <v>447</v>
      </c>
      <c r="T118" s="6" t="s">
        <v>25</v>
      </c>
      <c r="U118" s="6" t="s">
        <v>25</v>
      </c>
      <c r="V118" s="6" t="s">
        <v>25</v>
      </c>
      <c r="W118" s="6" t="s">
        <v>25</v>
      </c>
      <c r="X118" s="6" t="s">
        <v>25</v>
      </c>
      <c r="Y118" s="6" t="s">
        <v>25</v>
      </c>
      <c r="Z118" s="6" t="s">
        <v>25</v>
      </c>
      <c r="AA118" s="6" t="s">
        <v>25</v>
      </c>
      <c r="AB118" s="6" t="s">
        <v>25</v>
      </c>
      <c r="AC118" s="6" t="s">
        <v>25</v>
      </c>
      <c r="AD118" s="6" t="s">
        <v>25</v>
      </c>
      <c r="AE118" s="6" t="s">
        <v>448</v>
      </c>
      <c r="AF118" s="6" t="s">
        <v>449</v>
      </c>
      <c r="AG118" s="6" t="s">
        <v>180</v>
      </c>
      <c r="AH118" s="6" t="s">
        <v>449</v>
      </c>
      <c r="AI118" s="6" t="s">
        <v>449</v>
      </c>
    </row>
    <row r="119">
      <c r="A119" s="6" t="s">
        <v>4</v>
      </c>
      <c r="B119" s="6" t="s">
        <v>8</v>
      </c>
      <c r="C119" s="6" t="n">
        <v>13</v>
      </c>
      <c r="D119" s="6" t="s">
        <v>6</v>
      </c>
      <c r="E119" s="6" t="s">
        <v>443</v>
      </c>
      <c r="F119" s="6" t="s">
        <v>446</v>
      </c>
      <c r="G119" s="6" t="s">
        <v>25</v>
      </c>
      <c r="H119" s="6" t="s">
        <v>25</v>
      </c>
      <c r="I119" s="6" t="s">
        <v>25</v>
      </c>
      <c r="J119" s="6" t="s">
        <v>195</v>
      </c>
      <c r="K119" s="6" t="s">
        <v>25</v>
      </c>
      <c r="L119" s="6" t="s">
        <v>25</v>
      </c>
      <c r="M119" s="6" t="s">
        <v>25</v>
      </c>
      <c r="N119" s="6" t="s">
        <v>25</v>
      </c>
      <c r="O119" s="6" t="s">
        <v>25</v>
      </c>
      <c r="P119" s="6" t="s">
        <v>25</v>
      </c>
      <c r="Q119" s="6" t="s">
        <v>25</v>
      </c>
      <c r="R119" s="6" t="s">
        <v>25</v>
      </c>
      <c r="S119" s="6" t="s">
        <v>447</v>
      </c>
      <c r="T119" s="6" t="s">
        <v>25</v>
      </c>
      <c r="U119" s="6" t="s">
        <v>25</v>
      </c>
      <c r="V119" s="6" t="s">
        <v>25</v>
      </c>
      <c r="W119" s="6" t="s">
        <v>25</v>
      </c>
      <c r="X119" s="6" t="s">
        <v>25</v>
      </c>
      <c r="Y119" s="6" t="s">
        <v>25</v>
      </c>
      <c r="Z119" s="6" t="s">
        <v>25</v>
      </c>
      <c r="AA119" s="6" t="s">
        <v>25</v>
      </c>
      <c r="AB119" s="6" t="s">
        <v>25</v>
      </c>
      <c r="AC119" s="6" t="s">
        <v>25</v>
      </c>
      <c r="AD119" s="6" t="s">
        <v>25</v>
      </c>
      <c r="AE119" s="6" t="s">
        <v>452</v>
      </c>
      <c r="AF119" s="6" t="s">
        <v>449</v>
      </c>
      <c r="AG119" s="6" t="s">
        <v>180</v>
      </c>
      <c r="AH119" s="6" t="s">
        <v>449</v>
      </c>
      <c r="AI119" s="6" t="s">
        <v>449</v>
      </c>
    </row>
    <row r="120">
      <c r="A120" s="6" t="s">
        <v>4</v>
      </c>
      <c r="B120" s="6" t="s">
        <v>8</v>
      </c>
      <c r="C120" s="6" t="n">
        <v>13</v>
      </c>
      <c r="D120" s="6" t="s">
        <v>6</v>
      </c>
      <c r="E120" s="6" t="s">
        <v>443</v>
      </c>
      <c r="F120" s="6" t="s">
        <v>446</v>
      </c>
      <c r="G120" s="6" t="s">
        <v>25</v>
      </c>
      <c r="H120" s="6" t="s">
        <v>25</v>
      </c>
      <c r="I120" s="6" t="s">
        <v>25</v>
      </c>
      <c r="J120" s="6" t="s">
        <v>182</v>
      </c>
      <c r="K120" s="6" t="s">
        <v>25</v>
      </c>
      <c r="L120" s="6" t="s">
        <v>25</v>
      </c>
      <c r="M120" s="6" t="s">
        <v>25</v>
      </c>
      <c r="N120" s="6" t="s">
        <v>25</v>
      </c>
      <c r="O120" s="6" t="s">
        <v>25</v>
      </c>
      <c r="P120" s="6" t="s">
        <v>25</v>
      </c>
      <c r="Q120" s="6" t="s">
        <v>25</v>
      </c>
      <c r="R120" s="6" t="s">
        <v>25</v>
      </c>
      <c r="S120" s="6" t="s">
        <v>447</v>
      </c>
      <c r="T120" s="6" t="s">
        <v>25</v>
      </c>
      <c r="U120" s="6" t="s">
        <v>25</v>
      </c>
      <c r="V120" s="6" t="s">
        <v>25</v>
      </c>
      <c r="W120" s="6" t="s">
        <v>25</v>
      </c>
      <c r="X120" s="6" t="s">
        <v>25</v>
      </c>
      <c r="Y120" s="6" t="s">
        <v>25</v>
      </c>
      <c r="Z120" s="6" t="s">
        <v>25</v>
      </c>
      <c r="AA120" s="6" t="s">
        <v>25</v>
      </c>
      <c r="AB120" s="6" t="s">
        <v>25</v>
      </c>
      <c r="AC120" s="6" t="s">
        <v>25</v>
      </c>
      <c r="AD120" s="6" t="s">
        <v>25</v>
      </c>
      <c r="AE120" s="6" t="s">
        <v>452</v>
      </c>
      <c r="AF120" s="6" t="s">
        <v>449</v>
      </c>
      <c r="AG120" s="6" t="s">
        <v>180</v>
      </c>
      <c r="AH120" s="6" t="s">
        <v>449</v>
      </c>
      <c r="AI120" s="6" t="s">
        <v>449</v>
      </c>
    </row>
    <row r="121">
      <c r="A121" s="6" t="s">
        <v>4</v>
      </c>
      <c r="B121" s="6" t="s">
        <v>8</v>
      </c>
      <c r="C121" s="6" t="n">
        <v>13</v>
      </c>
      <c r="D121" s="6" t="s">
        <v>6</v>
      </c>
      <c r="E121" s="6" t="s">
        <v>443</v>
      </c>
      <c r="F121" s="6" t="s">
        <v>446</v>
      </c>
      <c r="G121" s="6" t="s">
        <v>25</v>
      </c>
      <c r="H121" s="6" t="s">
        <v>25</v>
      </c>
      <c r="I121" s="6" t="s">
        <v>25</v>
      </c>
      <c r="J121" s="6" t="s">
        <v>189</v>
      </c>
      <c r="K121" s="6" t="s">
        <v>25</v>
      </c>
      <c r="L121" s="6" t="s">
        <v>25</v>
      </c>
      <c r="M121" s="6" t="s">
        <v>25</v>
      </c>
      <c r="N121" s="6" t="s">
        <v>25</v>
      </c>
      <c r="O121" s="6" t="s">
        <v>25</v>
      </c>
      <c r="P121" s="6" t="s">
        <v>25</v>
      </c>
      <c r="Q121" s="6" t="s">
        <v>25</v>
      </c>
      <c r="R121" s="6" t="s">
        <v>25</v>
      </c>
      <c r="S121" s="6" t="s">
        <v>447</v>
      </c>
      <c r="T121" s="6" t="s">
        <v>25</v>
      </c>
      <c r="U121" s="6" t="s">
        <v>25</v>
      </c>
      <c r="V121" s="6" t="s">
        <v>25</v>
      </c>
      <c r="W121" s="6" t="s">
        <v>25</v>
      </c>
      <c r="X121" s="6" t="s">
        <v>25</v>
      </c>
      <c r="Y121" s="6" t="s">
        <v>25</v>
      </c>
      <c r="Z121" s="6" t="s">
        <v>25</v>
      </c>
      <c r="AA121" s="6" t="s">
        <v>25</v>
      </c>
      <c r="AB121" s="6" t="s">
        <v>25</v>
      </c>
      <c r="AC121" s="6" t="s">
        <v>25</v>
      </c>
      <c r="AD121" s="6" t="s">
        <v>25</v>
      </c>
      <c r="AE121" s="6" t="s">
        <v>452</v>
      </c>
      <c r="AF121" s="6" t="s">
        <v>449</v>
      </c>
      <c r="AG121" s="6" t="s">
        <v>180</v>
      </c>
      <c r="AH121" s="6" t="s">
        <v>449</v>
      </c>
      <c r="AI121" s="6" t="s">
        <v>449</v>
      </c>
    </row>
    <row r="122">
      <c r="A122" s="6" t="s">
        <v>4</v>
      </c>
      <c r="B122" s="6" t="s">
        <v>8</v>
      </c>
      <c r="C122" s="6" t="n">
        <v>13</v>
      </c>
      <c r="D122" s="6" t="s">
        <v>6</v>
      </c>
      <c r="E122" s="6" t="s">
        <v>443</v>
      </c>
      <c r="F122" s="6" t="s">
        <v>446</v>
      </c>
      <c r="G122" s="6" t="s">
        <v>25</v>
      </c>
      <c r="H122" s="6" t="s">
        <v>25</v>
      </c>
      <c r="I122" s="6" t="s">
        <v>25</v>
      </c>
      <c r="J122" s="6" t="s">
        <v>202</v>
      </c>
      <c r="K122" s="6" t="s">
        <v>25</v>
      </c>
      <c r="L122" s="6" t="s">
        <v>25</v>
      </c>
      <c r="M122" s="6" t="s">
        <v>25</v>
      </c>
      <c r="N122" s="6" t="s">
        <v>25</v>
      </c>
      <c r="O122" s="6" t="s">
        <v>25</v>
      </c>
      <c r="P122" s="6" t="s">
        <v>25</v>
      </c>
      <c r="Q122" s="6" t="s">
        <v>25</v>
      </c>
      <c r="R122" s="6" t="s">
        <v>25</v>
      </c>
      <c r="S122" s="6" t="s">
        <v>447</v>
      </c>
      <c r="T122" s="6" t="s">
        <v>25</v>
      </c>
      <c r="U122" s="6" t="s">
        <v>25</v>
      </c>
      <c r="V122" s="6" t="s">
        <v>25</v>
      </c>
      <c r="W122" s="6" t="s">
        <v>25</v>
      </c>
      <c r="X122" s="6" t="s">
        <v>25</v>
      </c>
      <c r="Y122" s="6" t="s">
        <v>25</v>
      </c>
      <c r="Z122" s="6" t="s">
        <v>25</v>
      </c>
      <c r="AA122" s="6" t="s">
        <v>25</v>
      </c>
      <c r="AB122" s="6" t="s">
        <v>25</v>
      </c>
      <c r="AC122" s="6" t="s">
        <v>25</v>
      </c>
      <c r="AD122" s="6" t="s">
        <v>25</v>
      </c>
      <c r="AE122" s="6" t="s">
        <v>452</v>
      </c>
      <c r="AF122" s="6" t="s">
        <v>449</v>
      </c>
      <c r="AG122" s="6" t="s">
        <v>180</v>
      </c>
      <c r="AH122" s="6" t="s">
        <v>449</v>
      </c>
      <c r="AI122" s="6" t="s">
        <v>449</v>
      </c>
    </row>
    <row r="123">
      <c r="A123" s="6" t="s">
        <v>4</v>
      </c>
      <c r="B123" s="6" t="s">
        <v>8</v>
      </c>
      <c r="C123" s="6" t="n">
        <v>13</v>
      </c>
      <c r="D123" s="6" t="s">
        <v>6</v>
      </c>
      <c r="E123" s="6" t="s">
        <v>443</v>
      </c>
      <c r="F123" s="6" t="s">
        <v>446</v>
      </c>
      <c r="G123" s="6" t="s">
        <v>25</v>
      </c>
      <c r="H123" s="6" t="s">
        <v>25</v>
      </c>
      <c r="I123" s="6" t="s">
        <v>25</v>
      </c>
      <c r="J123" s="6" t="s">
        <v>172</v>
      </c>
      <c r="K123" s="6" t="s">
        <v>25</v>
      </c>
      <c r="L123" s="6" t="s">
        <v>25</v>
      </c>
      <c r="M123" s="6" t="s">
        <v>25</v>
      </c>
      <c r="N123" s="6" t="s">
        <v>25</v>
      </c>
      <c r="O123" s="6" t="s">
        <v>25</v>
      </c>
      <c r="P123" s="6" t="s">
        <v>25</v>
      </c>
      <c r="Q123" s="6" t="s">
        <v>25</v>
      </c>
      <c r="R123" s="6" t="s">
        <v>25</v>
      </c>
      <c r="S123" s="6" t="s">
        <v>447</v>
      </c>
      <c r="T123" s="6" t="s">
        <v>25</v>
      </c>
      <c r="U123" s="6" t="s">
        <v>25</v>
      </c>
      <c r="V123" s="6" t="s">
        <v>25</v>
      </c>
      <c r="W123" s="6" t="s">
        <v>25</v>
      </c>
      <c r="X123" s="6" t="s">
        <v>25</v>
      </c>
      <c r="Y123" s="6" t="s">
        <v>25</v>
      </c>
      <c r="Z123" s="6" t="s">
        <v>25</v>
      </c>
      <c r="AA123" s="6" t="s">
        <v>25</v>
      </c>
      <c r="AB123" s="6" t="s">
        <v>25</v>
      </c>
      <c r="AC123" s="6" t="s">
        <v>25</v>
      </c>
      <c r="AD123" s="6" t="s">
        <v>25</v>
      </c>
      <c r="AE123" s="6" t="s">
        <v>452</v>
      </c>
      <c r="AF123" s="6" t="s">
        <v>449</v>
      </c>
      <c r="AG123" s="6" t="s">
        <v>180</v>
      </c>
      <c r="AH123" s="6" t="s">
        <v>449</v>
      </c>
      <c r="AI123" s="6" t="s">
        <v>449</v>
      </c>
    </row>
    <row r="124">
      <c r="A124" s="6" t="s">
        <v>4</v>
      </c>
      <c r="B124" s="6" t="s">
        <v>8</v>
      </c>
      <c r="C124" s="6" t="n">
        <v>13</v>
      </c>
      <c r="D124" s="6" t="s">
        <v>6</v>
      </c>
      <c r="E124" s="6" t="s">
        <v>443</v>
      </c>
      <c r="F124" s="6" t="s">
        <v>446</v>
      </c>
      <c r="G124" s="6" t="s">
        <v>25</v>
      </c>
      <c r="H124" s="6" t="s">
        <v>25</v>
      </c>
      <c r="I124" s="6" t="s">
        <v>25</v>
      </c>
      <c r="J124" s="6" t="s">
        <v>195</v>
      </c>
      <c r="K124" s="6" t="s">
        <v>25</v>
      </c>
      <c r="L124" s="6" t="s">
        <v>25</v>
      </c>
      <c r="M124" s="6" t="s">
        <v>25</v>
      </c>
      <c r="N124" s="6" t="s">
        <v>25</v>
      </c>
      <c r="O124" s="6" t="s">
        <v>25</v>
      </c>
      <c r="P124" s="6" t="s">
        <v>25</v>
      </c>
      <c r="Q124" s="6" t="s">
        <v>25</v>
      </c>
      <c r="R124" s="6" t="s">
        <v>25</v>
      </c>
      <c r="S124" s="6" t="s">
        <v>447</v>
      </c>
      <c r="T124" s="6" t="s">
        <v>25</v>
      </c>
      <c r="U124" s="6" t="s">
        <v>25</v>
      </c>
      <c r="V124" s="6" t="s">
        <v>25</v>
      </c>
      <c r="W124" s="6" t="s">
        <v>25</v>
      </c>
      <c r="X124" s="6" t="s">
        <v>25</v>
      </c>
      <c r="Y124" s="6" t="s">
        <v>25</v>
      </c>
      <c r="Z124" s="6" t="s">
        <v>25</v>
      </c>
      <c r="AA124" s="6" t="s">
        <v>25</v>
      </c>
      <c r="AB124" s="6" t="s">
        <v>25</v>
      </c>
      <c r="AC124" s="6" t="s">
        <v>25</v>
      </c>
      <c r="AD124" s="6" t="s">
        <v>25</v>
      </c>
      <c r="AE124" s="6" t="s">
        <v>453</v>
      </c>
      <c r="AF124" s="6" t="s">
        <v>449</v>
      </c>
      <c r="AG124" s="6" t="s">
        <v>180</v>
      </c>
      <c r="AH124" s="6" t="s">
        <v>449</v>
      </c>
      <c r="AI124" s="6" t="s">
        <v>449</v>
      </c>
    </row>
    <row r="125">
      <c r="A125" s="6" t="s">
        <v>4</v>
      </c>
      <c r="B125" s="6" t="s">
        <v>8</v>
      </c>
      <c r="C125" s="6" t="n">
        <v>13</v>
      </c>
      <c r="D125" s="6" t="s">
        <v>6</v>
      </c>
      <c r="E125" s="6" t="s">
        <v>443</v>
      </c>
      <c r="F125" s="6" t="s">
        <v>446</v>
      </c>
      <c r="G125" s="6" t="s">
        <v>25</v>
      </c>
      <c r="H125" s="6" t="s">
        <v>25</v>
      </c>
      <c r="I125" s="6" t="s">
        <v>25</v>
      </c>
      <c r="J125" s="6" t="s">
        <v>182</v>
      </c>
      <c r="K125" s="6" t="s">
        <v>25</v>
      </c>
      <c r="L125" s="6" t="s">
        <v>25</v>
      </c>
      <c r="M125" s="6" t="s">
        <v>25</v>
      </c>
      <c r="N125" s="6" t="s">
        <v>25</v>
      </c>
      <c r="O125" s="6" t="s">
        <v>25</v>
      </c>
      <c r="P125" s="6" t="s">
        <v>25</v>
      </c>
      <c r="Q125" s="6" t="s">
        <v>25</v>
      </c>
      <c r="R125" s="6" t="s">
        <v>25</v>
      </c>
      <c r="S125" s="6" t="s">
        <v>447</v>
      </c>
      <c r="T125" s="6" t="s">
        <v>25</v>
      </c>
      <c r="U125" s="6" t="s">
        <v>25</v>
      </c>
      <c r="V125" s="6" t="s">
        <v>25</v>
      </c>
      <c r="W125" s="6" t="s">
        <v>25</v>
      </c>
      <c r="X125" s="6" t="s">
        <v>25</v>
      </c>
      <c r="Y125" s="6" t="s">
        <v>25</v>
      </c>
      <c r="Z125" s="6" t="s">
        <v>25</v>
      </c>
      <c r="AA125" s="6" t="s">
        <v>25</v>
      </c>
      <c r="AB125" s="6" t="s">
        <v>25</v>
      </c>
      <c r="AC125" s="6" t="s">
        <v>25</v>
      </c>
      <c r="AD125" s="6" t="s">
        <v>25</v>
      </c>
      <c r="AE125" s="6" t="s">
        <v>453</v>
      </c>
      <c r="AF125" s="6" t="s">
        <v>449</v>
      </c>
      <c r="AG125" s="6" t="s">
        <v>180</v>
      </c>
      <c r="AH125" s="6" t="s">
        <v>449</v>
      </c>
      <c r="AI125" s="6" t="s">
        <v>449</v>
      </c>
    </row>
    <row r="126">
      <c r="A126" s="6" t="s">
        <v>4</v>
      </c>
      <c r="B126" s="6" t="s">
        <v>8</v>
      </c>
      <c r="C126" s="6" t="n">
        <v>13</v>
      </c>
      <c r="D126" s="6" t="s">
        <v>6</v>
      </c>
      <c r="E126" s="6" t="s">
        <v>443</v>
      </c>
      <c r="F126" s="6" t="s">
        <v>446</v>
      </c>
      <c r="G126" s="6" t="s">
        <v>25</v>
      </c>
      <c r="H126" s="6" t="s">
        <v>25</v>
      </c>
      <c r="I126" s="6" t="s">
        <v>25</v>
      </c>
      <c r="J126" s="6" t="s">
        <v>189</v>
      </c>
      <c r="K126" s="6" t="s">
        <v>25</v>
      </c>
      <c r="L126" s="6" t="s">
        <v>25</v>
      </c>
      <c r="M126" s="6" t="s">
        <v>25</v>
      </c>
      <c r="N126" s="6" t="s">
        <v>25</v>
      </c>
      <c r="O126" s="6" t="s">
        <v>25</v>
      </c>
      <c r="P126" s="6" t="s">
        <v>25</v>
      </c>
      <c r="Q126" s="6" t="s">
        <v>25</v>
      </c>
      <c r="R126" s="6" t="s">
        <v>25</v>
      </c>
      <c r="S126" s="6" t="s">
        <v>447</v>
      </c>
      <c r="T126" s="6" t="s">
        <v>25</v>
      </c>
      <c r="U126" s="6" t="s">
        <v>25</v>
      </c>
      <c r="V126" s="6" t="s">
        <v>25</v>
      </c>
      <c r="W126" s="6" t="s">
        <v>25</v>
      </c>
      <c r="X126" s="6" t="s">
        <v>25</v>
      </c>
      <c r="Y126" s="6" t="s">
        <v>25</v>
      </c>
      <c r="Z126" s="6" t="s">
        <v>25</v>
      </c>
      <c r="AA126" s="6" t="s">
        <v>25</v>
      </c>
      <c r="AB126" s="6" t="s">
        <v>25</v>
      </c>
      <c r="AC126" s="6" t="s">
        <v>25</v>
      </c>
      <c r="AD126" s="6" t="s">
        <v>25</v>
      </c>
      <c r="AE126" s="6" t="s">
        <v>453</v>
      </c>
      <c r="AF126" s="6" t="s">
        <v>449</v>
      </c>
      <c r="AG126" s="6" t="s">
        <v>180</v>
      </c>
      <c r="AH126" s="6" t="s">
        <v>449</v>
      </c>
      <c r="AI126" s="6" t="s">
        <v>449</v>
      </c>
    </row>
    <row r="127">
      <c r="A127" s="6" t="s">
        <v>4</v>
      </c>
      <c r="B127" s="6" t="s">
        <v>8</v>
      </c>
      <c r="C127" s="6" t="n">
        <v>13</v>
      </c>
      <c r="D127" s="6" t="s">
        <v>6</v>
      </c>
      <c r="E127" s="6" t="s">
        <v>443</v>
      </c>
      <c r="F127" s="6" t="s">
        <v>446</v>
      </c>
      <c r="G127" s="6" t="s">
        <v>25</v>
      </c>
      <c r="H127" s="6" t="s">
        <v>25</v>
      </c>
      <c r="I127" s="6" t="s">
        <v>25</v>
      </c>
      <c r="J127" s="6" t="s">
        <v>202</v>
      </c>
      <c r="K127" s="6" t="s">
        <v>25</v>
      </c>
      <c r="L127" s="6" t="s">
        <v>25</v>
      </c>
      <c r="M127" s="6" t="s">
        <v>25</v>
      </c>
      <c r="N127" s="6" t="s">
        <v>25</v>
      </c>
      <c r="O127" s="6" t="s">
        <v>25</v>
      </c>
      <c r="P127" s="6" t="s">
        <v>25</v>
      </c>
      <c r="Q127" s="6" t="s">
        <v>25</v>
      </c>
      <c r="R127" s="6" t="s">
        <v>25</v>
      </c>
      <c r="S127" s="6" t="s">
        <v>447</v>
      </c>
      <c r="T127" s="6" t="s">
        <v>25</v>
      </c>
      <c r="U127" s="6" t="s">
        <v>25</v>
      </c>
      <c r="V127" s="6" t="s">
        <v>25</v>
      </c>
      <c r="W127" s="6" t="s">
        <v>25</v>
      </c>
      <c r="X127" s="6" t="s">
        <v>25</v>
      </c>
      <c r="Y127" s="6" t="s">
        <v>25</v>
      </c>
      <c r="Z127" s="6" t="s">
        <v>25</v>
      </c>
      <c r="AA127" s="6" t="s">
        <v>25</v>
      </c>
      <c r="AB127" s="6" t="s">
        <v>25</v>
      </c>
      <c r="AC127" s="6" t="s">
        <v>25</v>
      </c>
      <c r="AD127" s="6" t="s">
        <v>25</v>
      </c>
      <c r="AE127" s="6" t="s">
        <v>453</v>
      </c>
      <c r="AF127" s="6" t="s">
        <v>449</v>
      </c>
      <c r="AG127" s="6" t="s">
        <v>180</v>
      </c>
      <c r="AH127" s="6" t="s">
        <v>449</v>
      </c>
      <c r="AI127" s="6" t="s">
        <v>449</v>
      </c>
    </row>
    <row r="128">
      <c r="A128" s="6" t="s">
        <v>4</v>
      </c>
      <c r="B128" s="6" t="s">
        <v>8</v>
      </c>
      <c r="C128" s="6" t="n">
        <v>13</v>
      </c>
      <c r="D128" s="6" t="s">
        <v>6</v>
      </c>
      <c r="E128" s="6" t="s">
        <v>443</v>
      </c>
      <c r="F128" s="6" t="s">
        <v>446</v>
      </c>
      <c r="G128" s="6" t="s">
        <v>25</v>
      </c>
      <c r="H128" s="6" t="s">
        <v>25</v>
      </c>
      <c r="I128" s="6" t="s">
        <v>25</v>
      </c>
      <c r="J128" s="6" t="s">
        <v>172</v>
      </c>
      <c r="K128" s="6" t="s">
        <v>25</v>
      </c>
      <c r="L128" s="6" t="s">
        <v>25</v>
      </c>
      <c r="M128" s="6" t="s">
        <v>25</v>
      </c>
      <c r="N128" s="6" t="s">
        <v>25</v>
      </c>
      <c r="O128" s="6" t="s">
        <v>25</v>
      </c>
      <c r="P128" s="6" t="s">
        <v>25</v>
      </c>
      <c r="Q128" s="6" t="s">
        <v>25</v>
      </c>
      <c r="R128" s="6" t="s">
        <v>25</v>
      </c>
      <c r="S128" s="6" t="s">
        <v>447</v>
      </c>
      <c r="T128" s="6" t="s">
        <v>25</v>
      </c>
      <c r="U128" s="6" t="s">
        <v>25</v>
      </c>
      <c r="V128" s="6" t="s">
        <v>25</v>
      </c>
      <c r="W128" s="6" t="s">
        <v>25</v>
      </c>
      <c r="X128" s="6" t="s">
        <v>25</v>
      </c>
      <c r="Y128" s="6" t="s">
        <v>25</v>
      </c>
      <c r="Z128" s="6" t="s">
        <v>25</v>
      </c>
      <c r="AA128" s="6" t="s">
        <v>25</v>
      </c>
      <c r="AB128" s="6" t="s">
        <v>25</v>
      </c>
      <c r="AC128" s="6" t="s">
        <v>25</v>
      </c>
      <c r="AD128" s="6" t="s">
        <v>25</v>
      </c>
      <c r="AE128" s="6" t="s">
        <v>453</v>
      </c>
      <c r="AF128" s="6" t="s">
        <v>449</v>
      </c>
      <c r="AG128" s="6" t="s">
        <v>180</v>
      </c>
      <c r="AH128" s="6" t="s">
        <v>449</v>
      </c>
      <c r="AI128" s="6" t="s">
        <v>449</v>
      </c>
    </row>
    <row r="129">
      <c r="A129" s="6" t="s">
        <v>4</v>
      </c>
      <c r="B129" s="6" t="s">
        <v>8</v>
      </c>
      <c r="C129" s="6" t="n">
        <v>13</v>
      </c>
      <c r="D129" s="6" t="s">
        <v>6</v>
      </c>
      <c r="E129" s="6" t="s">
        <v>443</v>
      </c>
      <c r="F129" s="6" t="s">
        <v>446</v>
      </c>
      <c r="G129" s="6" t="s">
        <v>25</v>
      </c>
      <c r="H129" s="6" t="s">
        <v>25</v>
      </c>
      <c r="I129" s="6" t="s">
        <v>25</v>
      </c>
      <c r="J129" s="6" t="s">
        <v>195</v>
      </c>
      <c r="K129" s="6" t="s">
        <v>25</v>
      </c>
      <c r="L129" s="6" t="s">
        <v>25</v>
      </c>
      <c r="M129" s="6" t="s">
        <v>25</v>
      </c>
      <c r="N129" s="6" t="s">
        <v>25</v>
      </c>
      <c r="O129" s="6" t="s">
        <v>25</v>
      </c>
      <c r="P129" s="6" t="s">
        <v>25</v>
      </c>
      <c r="Q129" s="6" t="s">
        <v>25</v>
      </c>
      <c r="R129" s="6" t="s">
        <v>25</v>
      </c>
      <c r="S129" s="6" t="s">
        <v>447</v>
      </c>
      <c r="T129" s="6" t="s">
        <v>25</v>
      </c>
      <c r="U129" s="6" t="s">
        <v>25</v>
      </c>
      <c r="V129" s="6" t="s">
        <v>25</v>
      </c>
      <c r="W129" s="6" t="s">
        <v>25</v>
      </c>
      <c r="X129" s="6" t="s">
        <v>25</v>
      </c>
      <c r="Y129" s="6" t="s">
        <v>25</v>
      </c>
      <c r="Z129" s="6" t="s">
        <v>25</v>
      </c>
      <c r="AA129" s="6" t="s">
        <v>25</v>
      </c>
      <c r="AB129" s="6" t="s">
        <v>25</v>
      </c>
      <c r="AC129" s="6" t="s">
        <v>25</v>
      </c>
      <c r="AD129" s="6" t="s">
        <v>25</v>
      </c>
      <c r="AE129" s="6" t="s">
        <v>454</v>
      </c>
      <c r="AF129" s="6" t="s">
        <v>449</v>
      </c>
      <c r="AG129" s="6" t="s">
        <v>180</v>
      </c>
      <c r="AH129" s="6" t="s">
        <v>449</v>
      </c>
      <c r="AI129" s="6" t="s">
        <v>449</v>
      </c>
    </row>
    <row r="130">
      <c r="A130" s="6" t="s">
        <v>4</v>
      </c>
      <c r="B130" s="6" t="s">
        <v>8</v>
      </c>
      <c r="C130" s="6" t="n">
        <v>13</v>
      </c>
      <c r="D130" s="6" t="s">
        <v>6</v>
      </c>
      <c r="E130" s="6" t="s">
        <v>443</v>
      </c>
      <c r="F130" s="6" t="s">
        <v>446</v>
      </c>
      <c r="G130" s="6" t="s">
        <v>25</v>
      </c>
      <c r="H130" s="6" t="s">
        <v>25</v>
      </c>
      <c r="I130" s="6" t="s">
        <v>25</v>
      </c>
      <c r="J130" s="6" t="s">
        <v>182</v>
      </c>
      <c r="K130" s="6" t="s">
        <v>25</v>
      </c>
      <c r="L130" s="6" t="s">
        <v>25</v>
      </c>
      <c r="M130" s="6" t="s">
        <v>25</v>
      </c>
      <c r="N130" s="6" t="s">
        <v>25</v>
      </c>
      <c r="O130" s="6" t="s">
        <v>25</v>
      </c>
      <c r="P130" s="6" t="s">
        <v>25</v>
      </c>
      <c r="Q130" s="6" t="s">
        <v>25</v>
      </c>
      <c r="R130" s="6" t="s">
        <v>25</v>
      </c>
      <c r="S130" s="6" t="s">
        <v>447</v>
      </c>
      <c r="T130" s="6" t="s">
        <v>25</v>
      </c>
      <c r="U130" s="6" t="s">
        <v>25</v>
      </c>
      <c r="V130" s="6" t="s">
        <v>25</v>
      </c>
      <c r="W130" s="6" t="s">
        <v>25</v>
      </c>
      <c r="X130" s="6" t="s">
        <v>25</v>
      </c>
      <c r="Y130" s="6" t="s">
        <v>25</v>
      </c>
      <c r="Z130" s="6" t="s">
        <v>25</v>
      </c>
      <c r="AA130" s="6" t="s">
        <v>25</v>
      </c>
      <c r="AB130" s="6" t="s">
        <v>25</v>
      </c>
      <c r="AC130" s="6" t="s">
        <v>25</v>
      </c>
      <c r="AD130" s="6" t="s">
        <v>25</v>
      </c>
      <c r="AE130" s="6" t="s">
        <v>454</v>
      </c>
      <c r="AF130" s="6" t="s">
        <v>449</v>
      </c>
      <c r="AG130" s="6" t="s">
        <v>180</v>
      </c>
      <c r="AH130" s="6" t="s">
        <v>449</v>
      </c>
      <c r="AI130" s="6" t="s">
        <v>449</v>
      </c>
    </row>
    <row r="131">
      <c r="A131" s="6" t="s">
        <v>4</v>
      </c>
      <c r="B131" s="6" t="s">
        <v>8</v>
      </c>
      <c r="C131" s="6" t="n">
        <v>13</v>
      </c>
      <c r="D131" s="6" t="s">
        <v>6</v>
      </c>
      <c r="E131" s="6" t="s">
        <v>443</v>
      </c>
      <c r="F131" s="6" t="s">
        <v>446</v>
      </c>
      <c r="G131" s="6" t="s">
        <v>25</v>
      </c>
      <c r="H131" s="6" t="s">
        <v>25</v>
      </c>
      <c r="I131" s="6" t="s">
        <v>25</v>
      </c>
      <c r="J131" s="6" t="s">
        <v>189</v>
      </c>
      <c r="K131" s="6" t="s">
        <v>25</v>
      </c>
      <c r="L131" s="6" t="s">
        <v>25</v>
      </c>
      <c r="M131" s="6" t="s">
        <v>25</v>
      </c>
      <c r="N131" s="6" t="s">
        <v>25</v>
      </c>
      <c r="O131" s="6" t="s">
        <v>25</v>
      </c>
      <c r="P131" s="6" t="s">
        <v>25</v>
      </c>
      <c r="Q131" s="6" t="s">
        <v>25</v>
      </c>
      <c r="R131" s="6" t="s">
        <v>25</v>
      </c>
      <c r="S131" s="6" t="s">
        <v>447</v>
      </c>
      <c r="T131" s="6" t="s">
        <v>25</v>
      </c>
      <c r="U131" s="6" t="s">
        <v>25</v>
      </c>
      <c r="V131" s="6" t="s">
        <v>25</v>
      </c>
      <c r="W131" s="6" t="s">
        <v>25</v>
      </c>
      <c r="X131" s="6" t="s">
        <v>25</v>
      </c>
      <c r="Y131" s="6" t="s">
        <v>25</v>
      </c>
      <c r="Z131" s="6" t="s">
        <v>25</v>
      </c>
      <c r="AA131" s="6" t="s">
        <v>25</v>
      </c>
      <c r="AB131" s="6" t="s">
        <v>25</v>
      </c>
      <c r="AC131" s="6" t="s">
        <v>25</v>
      </c>
      <c r="AD131" s="6" t="s">
        <v>25</v>
      </c>
      <c r="AE131" s="6" t="s">
        <v>454</v>
      </c>
      <c r="AF131" s="6" t="s">
        <v>449</v>
      </c>
      <c r="AG131" s="6" t="s">
        <v>180</v>
      </c>
      <c r="AH131" s="6" t="s">
        <v>449</v>
      </c>
      <c r="AI131" s="6" t="s">
        <v>449</v>
      </c>
    </row>
    <row r="132">
      <c r="A132" s="6" t="s">
        <v>4</v>
      </c>
      <c r="B132" s="6" t="s">
        <v>8</v>
      </c>
      <c r="C132" s="6" t="n">
        <v>13</v>
      </c>
      <c r="D132" s="6" t="s">
        <v>6</v>
      </c>
      <c r="E132" s="6" t="s">
        <v>443</v>
      </c>
      <c r="F132" s="6" t="s">
        <v>446</v>
      </c>
      <c r="G132" s="6" t="s">
        <v>25</v>
      </c>
      <c r="H132" s="6" t="s">
        <v>25</v>
      </c>
      <c r="I132" s="6" t="s">
        <v>25</v>
      </c>
      <c r="J132" s="6" t="s">
        <v>202</v>
      </c>
      <c r="K132" s="6" t="s">
        <v>25</v>
      </c>
      <c r="L132" s="6" t="s">
        <v>25</v>
      </c>
      <c r="M132" s="6" t="s">
        <v>25</v>
      </c>
      <c r="N132" s="6" t="s">
        <v>25</v>
      </c>
      <c r="O132" s="6" t="s">
        <v>25</v>
      </c>
      <c r="P132" s="6" t="s">
        <v>25</v>
      </c>
      <c r="Q132" s="6" t="s">
        <v>25</v>
      </c>
      <c r="R132" s="6" t="s">
        <v>25</v>
      </c>
      <c r="S132" s="6" t="s">
        <v>447</v>
      </c>
      <c r="T132" s="6" t="s">
        <v>25</v>
      </c>
      <c r="U132" s="6" t="s">
        <v>25</v>
      </c>
      <c r="V132" s="6" t="s">
        <v>25</v>
      </c>
      <c r="W132" s="6" t="s">
        <v>25</v>
      </c>
      <c r="X132" s="6" t="s">
        <v>25</v>
      </c>
      <c r="Y132" s="6" t="s">
        <v>25</v>
      </c>
      <c r="Z132" s="6" t="s">
        <v>25</v>
      </c>
      <c r="AA132" s="6" t="s">
        <v>25</v>
      </c>
      <c r="AB132" s="6" t="s">
        <v>25</v>
      </c>
      <c r="AC132" s="6" t="s">
        <v>25</v>
      </c>
      <c r="AD132" s="6" t="s">
        <v>25</v>
      </c>
      <c r="AE132" s="6" t="s">
        <v>454</v>
      </c>
      <c r="AF132" s="6" t="s">
        <v>449</v>
      </c>
      <c r="AG132" s="6" t="s">
        <v>180</v>
      </c>
      <c r="AH132" s="6" t="s">
        <v>449</v>
      </c>
      <c r="AI132" s="6" t="s">
        <v>449</v>
      </c>
    </row>
    <row r="133">
      <c r="A133" s="6" t="s">
        <v>4</v>
      </c>
      <c r="B133" s="6" t="s">
        <v>8</v>
      </c>
      <c r="C133" s="6" t="n">
        <v>13</v>
      </c>
      <c r="D133" s="6" t="s">
        <v>6</v>
      </c>
      <c r="E133" s="6" t="s">
        <v>443</v>
      </c>
      <c r="F133" s="6" t="s">
        <v>446</v>
      </c>
      <c r="G133" s="6" t="s">
        <v>25</v>
      </c>
      <c r="H133" s="6" t="s">
        <v>25</v>
      </c>
      <c r="I133" s="6" t="s">
        <v>25</v>
      </c>
      <c r="J133" s="6" t="s">
        <v>172</v>
      </c>
      <c r="K133" s="6" t="s">
        <v>25</v>
      </c>
      <c r="L133" s="6" t="s">
        <v>25</v>
      </c>
      <c r="M133" s="6" t="s">
        <v>25</v>
      </c>
      <c r="N133" s="6" t="s">
        <v>25</v>
      </c>
      <c r="O133" s="6" t="s">
        <v>25</v>
      </c>
      <c r="P133" s="6" t="s">
        <v>25</v>
      </c>
      <c r="Q133" s="6" t="s">
        <v>25</v>
      </c>
      <c r="R133" s="6" t="s">
        <v>25</v>
      </c>
      <c r="S133" s="6" t="s">
        <v>447</v>
      </c>
      <c r="T133" s="6" t="s">
        <v>25</v>
      </c>
      <c r="U133" s="6" t="s">
        <v>25</v>
      </c>
      <c r="V133" s="6" t="s">
        <v>25</v>
      </c>
      <c r="W133" s="6" t="s">
        <v>25</v>
      </c>
      <c r="X133" s="6" t="s">
        <v>25</v>
      </c>
      <c r="Y133" s="6" t="s">
        <v>25</v>
      </c>
      <c r="Z133" s="6" t="s">
        <v>25</v>
      </c>
      <c r="AA133" s="6" t="s">
        <v>25</v>
      </c>
      <c r="AB133" s="6" t="s">
        <v>25</v>
      </c>
      <c r="AC133" s="6" t="s">
        <v>25</v>
      </c>
      <c r="AD133" s="6" t="s">
        <v>25</v>
      </c>
      <c r="AE133" s="6" t="s">
        <v>454</v>
      </c>
      <c r="AF133" s="6" t="s">
        <v>449</v>
      </c>
      <c r="AG133" s="6" t="s">
        <v>180</v>
      </c>
      <c r="AH133" s="6" t="s">
        <v>449</v>
      </c>
      <c r="AI133" s="6" t="s">
        <v>449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9.71" hidden="0" customWidth="1"/>
    <col min="2" max="2" width="28.71" hidden="0" customWidth="1"/>
    <col min="3" max="3" width="59.71" hidden="0" customWidth="1"/>
  </cols>
  <sheetData>
    <row r="1">
      <c r="A1" s="2" t="s">
        <v>455</v>
      </c>
      <c r="B1" s="2" t="s">
        <v>70</v>
      </c>
      <c r="C1" s="2" t="s">
        <v>28</v>
      </c>
    </row>
    <row r="2">
      <c r="A2" s="3" t="s">
        <v>456</v>
      </c>
      <c r="B2" s="3" t="s">
        <v>457</v>
      </c>
      <c r="C2" s="3" t="s">
        <v>458</v>
      </c>
    </row>
    <row r="3">
      <c r="A3" s="3" t="s">
        <v>459</v>
      </c>
      <c r="B3" s="3" t="s">
        <v>457</v>
      </c>
      <c r="C3" s="3" t="s">
        <v>460</v>
      </c>
    </row>
    <row r="4">
      <c r="A4" s="3" t="s">
        <v>169</v>
      </c>
      <c r="B4" s="3" t="s">
        <v>457</v>
      </c>
      <c r="C4" s="3" t="s">
        <v>461</v>
      </c>
    </row>
    <row r="5">
      <c r="A5" s="3" t="s">
        <v>462</v>
      </c>
      <c r="B5" s="3" t="s">
        <v>457</v>
      </c>
      <c r="C5" s="3" t="s">
        <v>463</v>
      </c>
    </row>
    <row r="6">
      <c r="A6" s="3" t="s">
        <v>464</v>
      </c>
      <c r="B6" s="3" t="s">
        <v>457</v>
      </c>
      <c r="C6" s="3" t="s">
        <v>465</v>
      </c>
    </row>
    <row r="7">
      <c r="A7" s="3" t="s">
        <v>170</v>
      </c>
      <c r="B7" s="3" t="s">
        <v>457</v>
      </c>
      <c r="C7" s="3" t="s">
        <v>466</v>
      </c>
    </row>
    <row r="8">
      <c r="A8" s="3" t="s">
        <v>467</v>
      </c>
      <c r="B8" s="3" t="s">
        <v>457</v>
      </c>
      <c r="C8" s="3" t="s">
        <v>468</v>
      </c>
    </row>
    <row r="9">
      <c r="A9" s="3" t="s">
        <v>469</v>
      </c>
      <c r="B9" s="3" t="s">
        <v>457</v>
      </c>
      <c r="C9" s="3" t="s">
        <v>470</v>
      </c>
    </row>
    <row r="10">
      <c r="A10" s="3" t="s">
        <v>471</v>
      </c>
      <c r="B10" s="3" t="s">
        <v>457</v>
      </c>
      <c r="C10" s="3" t="s">
        <v>472</v>
      </c>
    </row>
    <row r="11">
      <c r="A11" s="3" t="s">
        <v>473</v>
      </c>
      <c r="B11" s="3" t="s">
        <v>457</v>
      </c>
      <c r="C11" s="3" t="s">
        <v>474</v>
      </c>
    </row>
    <row r="14">
      <c r="A14" t="s">
        <v>475</v>
      </c>
      <c r="B14" s="7" t="str">
        <f>IF(COUNTIF(B2:B11,"FALLA")&gt;0,"FALLA",IF(COUNTIF(B2:B11,"Pendiente")&gt;0,"PENDIENTE","OK"))</f>
      </c>
    </row>
    <row r="16">
      <c r="A16" t="s">
        <v>476</v>
      </c>
      <c r="B16" t="s">
        <v>477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w182</dc:creator>
  <cp:lastModifiedBy>w182</cp:lastModifiedBy>
  <dcterms:created xsi:type="dcterms:W3CDTF">2026-05-13T22:28:11Z</dcterms:created>
</coreProperties>
</file>