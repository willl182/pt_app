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tos_homogeneidad" sheetId="2" state="visible" r:id="rId4"/>
    <sheet name="calc_homogeneidad" sheetId="3" state="visible" r:id="rId5"/>
    <sheet name="resultado_homogeneidad" sheetId="4" state="visible" r:id="rId6"/>
    <sheet name="datos_estabilidad" sheetId="5" state="visible" r:id="rId7"/>
    <sheet name="calc_estabilidad" sheetId="6" state="visible" r:id="rId8"/>
    <sheet name="resultado_estabilidad" sheetId="7" state="visible" r:id="rId9"/>
    <sheet name="datos_participantes" sheetId="8" state="visible" r:id="rId10"/>
    <sheet name="datos_referencia" sheetId="9" state="visible" r:id="rId11"/>
    <sheet name="algoritmo_A_iteraciones" sheetId="10" state="visible" r:id="rId12"/>
    <sheet name="valor_asignado" sheetId="11" state="visible" r:id="rId13"/>
    <sheet name="algoritmo_A" sheetId="12" state="visible" r:id="rId14"/>
    <sheet name="puntajes_EA" sheetId="13" state="visible" r:id="rId15"/>
    <sheet name="informe_global" sheetId="14" state="visible" r:id="rId16"/>
    <sheet name="heatmap_datos_globales" sheetId="15" state="visible" r:id="rId17"/>
    <sheet name="heatmap_global" sheetId="16" state="visible" r:id="rId18"/>
    <sheet name="validacion_snapshot" sheetId="17" state="visible" r:id="rId19"/>
    <sheet name="validacion_final" sheetId="18" state="visible" r:id="rId20"/>
  </sheets>
  <definedNames>
    <definedName function="false" hidden="false" name="algoritmo_A" vbProcedure="false">algoritmo_A!$A$1:$E$15</definedName>
    <definedName function="false" hidden="false" name="algoritmo_A_app_value" vbProcedure="false">algoritmo_A!$C$2:$C$15</definedName>
    <definedName function="false" hidden="false" name="algoritmo_A_bloque" vbProcedure="false">algoritmo_A!$A$2:$A$15</definedName>
    <definedName function="false" hidden="false" name="algoritmo_A_calculado" vbProcedure="false">algoritmo_A!$D$2:$D$15</definedName>
    <definedName function="false" hidden="false" name="algoritmo_A_estado" vbProcedure="false">algoritmo_A!$E$2:$E$15</definedName>
    <definedName function="false" hidden="false" name="algoritmo_A_parametro" vbProcedure="false">algoritmo_A!$B$2:$B$15</definedName>
    <definedName function="false" hidden="false" name="calc_estabilidad" vbProcedure="false">calc_estabilidad!$A$1:$C$16</definedName>
    <definedName function="false" hidden="false" name="calc_estabilidad_notas" vbProcedure="false">calc_estabilidad!$C$2:$C$16</definedName>
    <definedName function="false" hidden="false" name="calc_estabilidad_parametro" vbProcedure="false">calc_estabilidad!$A$2:$A$16</definedName>
    <definedName function="false" hidden="false" name="calc_estabilidad_valor" vbProcedure="false">calc_estabilidad!$B$2:$B$16</definedName>
    <definedName function="false" hidden="false" name="calc_homogeneidad" vbProcedure="false">calc_homogeneidad!$A$1:$C$19</definedName>
    <definedName function="false" hidden="false" name="calc_homogeneidad_notas" vbProcedure="false">calc_homogeneidad!$C$2:$C$19</definedName>
    <definedName function="false" hidden="false" name="calc_homogeneidad_parametro" vbProcedure="false">calc_homogeneidad!$A$2:$A$19</definedName>
    <definedName function="false" hidden="false" name="calc_homogeneidad_valor" vbProcedure="false">calc_homogeneidad!$B$2:$B$19</definedName>
    <definedName function="false" hidden="false" name="datos_estabilidad" vbProcedure="false">datos_estabilidad!$A$1:$F$3</definedName>
    <definedName function="false" hidden="false" name="datos_estabilidad_abs_diff_from_xpt" vbProcedure="false">datos_estabilidad!$F$2:$F$3</definedName>
    <definedName function="false" hidden="false" name="datos_estabilidad_promedio_muestra" vbProcedure="false">datos_estabilidad!$D$2:$D$3</definedName>
    <definedName function="false" hidden="false" name="datos_estabilidad_rango_absoluto" vbProcedure="false">datos_estabilidad!$E$2:$E$3</definedName>
    <definedName function="false" hidden="false" name="datos_estabilidad_sample_1" vbProcedure="false">datos_estabilidad!$B$2:$B$3</definedName>
    <definedName function="false" hidden="false" name="datos_estabilidad_sample_2" vbProcedure="false">datos_estabilidad!$C$2:$C$3</definedName>
    <definedName function="false" hidden="false" name="datos_estabilidad_sample_id" vbProcedure="false">datos_estabilidad!$A$2:$A$3</definedName>
    <definedName function="false" hidden="false" name="datos_homogeneidad" vbProcedure="false">datos_homogeneidad!$A$1:$F$11</definedName>
    <definedName function="false" hidden="false" name="datos_homogeneidad_abs_diff_from_xpt" vbProcedure="false">datos_homogeneidad!$F$2:$F$11</definedName>
    <definedName function="false" hidden="false" name="datos_homogeneidad_promedio_muestra" vbProcedure="false">datos_homogeneidad!$D$2:$D$11</definedName>
    <definedName function="false" hidden="false" name="datos_homogeneidad_rango_absoluto" vbProcedure="false">datos_homogeneidad!$E$2:$E$11</definedName>
    <definedName function="false" hidden="false" name="datos_homogeneidad_sample_1" vbProcedure="false">datos_homogeneidad!$B$2:$B$11</definedName>
    <definedName function="false" hidden="false" name="datos_homogeneidad_sample_2" vbProcedure="false">datos_homogeneidad!$C$2:$C$11</definedName>
    <definedName function="false" hidden="false" name="datos_homogeneidad_sample_id" vbProcedure="false">datos_homogeneidad!$A$2:$A$11</definedName>
    <definedName function="false" hidden="false" name="datos_participantes" vbProcedure="false">datos_participantes!$A$1:$G$13</definedName>
    <definedName function="false" hidden="false" name="datos_participantes_level" vbProcedure="false">datos_participantes!$C$2:$C$13</definedName>
    <definedName function="false" hidden="false" name="datos_participantes_mean_value" vbProcedure="false">datos_participantes!$D$2:$D$13</definedName>
    <definedName function="false" hidden="false" name="datos_participantes_participant_id" vbProcedure="false">datos_participantes!$A$2:$A$13</definedName>
    <definedName function="false" hidden="false" name="datos_participantes_pollutant" vbProcedure="false">datos_participantes!$B$2:$B$13</definedName>
    <definedName function="false" hidden="false" name="datos_participantes_sd_value" vbProcedure="false">datos_participantes!$E$2:$E$13</definedName>
    <definedName function="false" hidden="false" name="datos_participantes_u_i" vbProcedure="false">datos_participantes!$F$2:$F$13</definedName>
    <definedName function="false" hidden="false" name="datos_participantes_u_i_check" vbProcedure="false">datos_participantes!$G$2:$G$13</definedName>
    <definedName function="false" hidden="false" name="datos_referencia" vbProcedure="false">datos_referencia!$A$1:$G$2</definedName>
    <definedName function="false" hidden="false" name="datos_referencia_level" vbProcedure="false">datos_referencia!$B$2</definedName>
    <definedName function="false" hidden="false" name="datos_referencia_mean_value" vbProcedure="false">datos_referencia!$D$2</definedName>
    <definedName function="false" hidden="false" name="datos_referencia_participant_id" vbProcedure="false">datos_referencia!$C$2</definedName>
    <definedName function="false" hidden="false" name="datos_referencia_pollutant" vbProcedure="false">datos_referencia!$A$2</definedName>
    <definedName function="false" hidden="false" name="datos_referencia_sd_value" vbProcedure="false">datos_referencia!$E$2</definedName>
    <definedName function="false" hidden="false" name="datos_referencia_u_ref_check" vbProcedure="false">datos_referencia!$G$2</definedName>
    <definedName function="false" hidden="false" name="datos_referencia_x_pt_ref" vbProcedure="false">datos_referencia!$F$2</definedName>
    <definedName function="false" hidden="false" name="heatmap_datos_globales" vbProcedure="false">heatmap_datos_globales!$A$1:$K$241</definedName>
    <definedName function="false" hidden="false" name="heatmap_datos_globales_estado" vbProcedure="false">heatmap_datos_globales!$K$2:$K$241</definedName>
    <definedName function="false" hidden="false" name="heatmap_datos_globales_etiqueta_celda" vbProcedure="false">heatmap_datos_globales!$I$2:$I$241</definedName>
    <definedName function="false" hidden="false" name="heatmap_datos_globales_evaluation" vbProcedure="false">heatmap_datos_globales!$H$2:$H$241</definedName>
    <definedName function="false" hidden="false" name="heatmap_datos_globales_level" vbProcedure="false">heatmap_datos_globales!$F$2:$F$241</definedName>
    <definedName function="false" hidden="false" name="heatmap_datos_globales_method" vbProcedure="false">heatmap_datos_globales!$B$2:$B$241</definedName>
    <definedName function="false" hidden="false" name="heatmap_datos_globales_method_key" vbProcedure="false">heatmap_datos_globales!$A$2:$A$241</definedName>
    <definedName function="false" hidden="false" name="heatmap_datos_globales_participant_id" vbProcedure="false">heatmap_datos_globales!$E$2:$E$241</definedName>
    <definedName function="false" hidden="false" name="heatmap_datos_globales_puntajes_row" vbProcedure="false">heatmap_datos_globales!$J$2:$J$241</definedName>
    <definedName function="false" hidden="false" name="heatmap_datos_globales_score_label" vbProcedure="false">heatmap_datos_globales!$D$2:$D$241</definedName>
    <definedName function="false" hidden="false" name="heatmap_datos_globales_score_tipo" vbProcedure="false">heatmap_datos_globales!$C$2:$C$241</definedName>
    <definedName function="false" hidden="false" name="heatmap_datos_globales_score_value" vbProcedure="false">heatmap_datos_globales!$G$2:$G$241</definedName>
    <definedName function="false" hidden="false" name="informe_global" vbProcedure="false">informe_global!$A$1:$R$26</definedName>
    <definedName function="false" hidden="false" name="informe_global_bloque" vbProcedure="false">informe_global!$B$2:$B$26</definedName>
    <definedName function="false" hidden="false" name="informe_global_Cuestionable" vbProcedure="false">informe_global!$P$2:$P$26</definedName>
    <definedName function="false" hidden="false" name="informe_global_estado" vbProcedure="false">informe_global!$R$2:$R$26</definedName>
    <definedName function="false" hidden="false" name="informe_global_method" vbProcedure="false">informe_global!$D$2:$D$26</definedName>
    <definedName function="false" hidden="false" name="informe_global_method_key" vbProcedure="false">informe_global!$C$2:$C$26</definedName>
    <definedName function="false" hidden="false" name="informe_global_No_satisfactorio" vbProcedure="false">informe_global!$Q$2:$Q$26</definedName>
    <definedName function="false" hidden="false" name="informe_global_N_A" vbProcedure="false">informe_global!$N$2:$N$26</definedName>
    <definedName function="false" hidden="false" name="informe_global_n_participants" vbProcedure="false">informe_global!$L$2:$L$26</definedName>
    <definedName function="false" hidden="false" name="informe_global_Satisfactorio" vbProcedure="false">informe_global!$O$2:$O$26</definedName>
    <definedName function="false" hidden="false" name="informe_global_score" vbProcedure="false">informe_global!$M$2:$M$26</definedName>
    <definedName function="false" hidden="false" name="informe_global_sigma_pt" vbProcedure="false">informe_global!$F$2:$F$26</definedName>
    <definedName function="false" hidden="false" name="informe_global_tabla" vbProcedure="false">informe_global!$A$2:$A$26</definedName>
    <definedName function="false" hidden="false" name="informe_global_u_hom" vbProcedure="false">informe_global!$H$2:$H$26</definedName>
    <definedName function="false" hidden="false" name="informe_global_u_stab" vbProcedure="false">informe_global!$I$2:$I$26</definedName>
    <definedName function="false" hidden="false" name="informe_global_U_xpt" vbProcedure="false">informe_global!$K$2:$K$26</definedName>
    <definedName function="false" hidden="false" name="informe_global_u_xpt_def" vbProcedure="false">informe_global!$J$2:$J$26</definedName>
    <definedName function="false" hidden="false" name="informe_global_x_pt" vbProcedure="false">informe_global!$E$2:$E$26</definedName>
    <definedName function="false" hidden="false" name="puntajes_EA" vbProcedure="false">puntajes_EA!$A$1:$N$61</definedName>
    <definedName function="false" hidden="false" name="puntajes_EA_En_score" vbProcedure="false">puntajes_EA!$L$2:$L$61</definedName>
    <definedName function="false" hidden="false" name="puntajes_EA_En_score_eval" vbProcedure="false">puntajes_EA!$M$2:$M$61</definedName>
    <definedName function="false" hidden="false" name="puntajes_EA_estado" vbProcedure="false">puntajes_EA!$N$2:$N$61</definedName>
    <definedName function="false" hidden="false" name="puntajes_EA_method" vbProcedure="false">puntajes_EA!$B$2:$B$61</definedName>
    <definedName function="false" hidden="false" name="puntajes_EA_method_key" vbProcedure="false">puntajes_EA!$A$2:$A$61</definedName>
    <definedName function="false" hidden="false" name="puntajes_EA_participant_id" vbProcedure="false">puntajes_EA!$C$2:$C$61</definedName>
    <definedName function="false" hidden="false" name="puntajes_EA_result" vbProcedure="false">puntajes_EA!$D$2:$D$61</definedName>
    <definedName function="false" hidden="false" name="puntajes_EA_u_xi" vbProcedure="false">puntajes_EA!$E$2:$E$61</definedName>
    <definedName function="false" hidden="false" name="puntajes_EA_zeta_score" vbProcedure="false">puntajes_EA!$J$2:$J$61</definedName>
    <definedName function="false" hidden="false" name="puntajes_EA_zeta_score_eval" vbProcedure="false">puntajes_EA!$K$2:$K$61</definedName>
    <definedName function="false" hidden="false" name="puntajes_EA_z_prime_score" vbProcedure="false">puntajes_EA!$H$2:$H$61</definedName>
    <definedName function="false" hidden="false" name="puntajes_EA_z_prime_score_eval" vbProcedure="false">puntajes_EA!$I$2:$I$61</definedName>
    <definedName function="false" hidden="false" name="puntajes_EA_z_score" vbProcedure="false">puntajes_EA!$F$2:$F$61</definedName>
    <definedName function="false" hidden="false" name="puntajes_EA_z_score_eval" vbProcedure="false">puntajes_EA!$G$2:$G$61</definedName>
    <definedName function="false" hidden="false" name="readme" vbProcedure="false">README!$A$3:$B$11</definedName>
    <definedName function="false" hidden="false" name="readme_bloque" vbProcedure="false">README!$A$4:$A$11</definedName>
    <definedName function="false" hidden="false" name="readme_contenido" vbProcedure="false">README!$B$4:$B$11</definedName>
    <definedName function="false" hidden="false" name="resultado_estabilidad" vbProcedure="false">resultado_estabilidad!$A$1:$G$15</definedName>
    <definedName function="false" hidden="false" name="resultado_estabilidad_app_value" vbProcedure="false">resultado_estabilidad!$C$2:$C$15</definedName>
    <definedName function="false" hidden="false" name="resultado_estabilidad_calculado" vbProcedure="false">resultado_estabilidad!$D$2:$D$15</definedName>
    <definedName function="false" hidden="false" name="resultado_estabilidad_delta_abs" vbProcedure="false">resultado_estabilidad!$E$2:$E$15</definedName>
    <definedName function="false" hidden="false" name="resultado_estabilidad_estado" vbProcedure="false">resultado_estabilidad!$G$2:$G$15</definedName>
    <definedName function="false" hidden="false" name="resultado_estabilidad_parametro" vbProcedure="false">resultado_estabilidad!$B$2:$B$15</definedName>
    <definedName function="false" hidden="false" name="resultado_estabilidad_tabla" vbProcedure="false">resultado_estabilidad!$A$2:$A$15</definedName>
    <definedName function="false" hidden="false" name="resultado_estabilidad_tolerancia" vbProcedure="false">resultado_estabilidad!$F$2:$F$15</definedName>
    <definedName function="false" hidden="false" name="resultado_homogeneidad" vbProcedure="false">resultado_homogeneidad!$A$1:$G$15</definedName>
    <definedName function="false" hidden="false" name="resultado_homogeneidad_app_value" vbProcedure="false">resultado_homogeneidad!$C$2:$C$15</definedName>
    <definedName function="false" hidden="false" name="resultado_homogeneidad_calculado" vbProcedure="false">resultado_homogeneidad!$D$2:$D$15</definedName>
    <definedName function="false" hidden="false" name="resultado_homogeneidad_delta_abs" vbProcedure="false">resultado_homogeneidad!$E$2:$E$15</definedName>
    <definedName function="false" hidden="false" name="resultado_homogeneidad_estado" vbProcedure="false">resultado_homogeneidad!$G$2:$G$15</definedName>
    <definedName function="false" hidden="false" name="resultado_homogeneidad_parametro" vbProcedure="false">resultado_homogeneidad!$B$2:$B$15</definedName>
    <definedName function="false" hidden="false" name="resultado_homogeneidad_tabla" vbProcedure="false">resultado_homogeneidad!$A$2:$A$15</definedName>
    <definedName function="false" hidden="false" name="resultado_homogeneidad_tolerancia" vbProcedure="false">resultado_homogeneidad!$F$2:$F$15</definedName>
    <definedName function="false" hidden="false" name="snapshot" vbProcedure="false">validacion_snapshot!$A$1:$AI$133</definedName>
    <definedName function="false" hidden="false" name="snapshot_app_value" vbProcedure="false">validacion_snapshot!$H$2:$H$133</definedName>
    <definedName function="false" hidden="false" name="snapshot_bloque" vbProcedure="false">validacion_snapshot!$S$2:$S$133</definedName>
    <definedName function="false" hidden="false" name="snapshot_combo_id" vbProcedure="false">validacion_snapshot!$A$2:$A$133</definedName>
    <definedName function="false" hidden="false" name="snapshot_Cuestionable" vbProcedure="false">validacion_snapshot!$AH$2:$AH$133</definedName>
    <definedName function="false" hidden="false" name="snapshot_En_score" vbProcedure="false">validacion_snapshot!$AC$2:$AC$133</definedName>
    <definedName function="false" hidden="false" name="snapshot_En_score_eval" vbProcedure="false">validacion_snapshot!$AD$2:$AD$133</definedName>
    <definedName function="false" hidden="false" name="snapshot_level" vbProcedure="false">validacion_snapshot!$D$2:$D$133</definedName>
    <definedName function="false" hidden="false" name="snapshot_method" vbProcedure="false">validacion_snapshot!$J$2:$J$133</definedName>
    <definedName function="false" hidden="false" name="snapshot_method_key" vbProcedure="false">validacion_snapshot!$I$2:$I$133</definedName>
    <definedName function="false" hidden="false" name="snapshot_No_satisfactorio" vbProcedure="false">validacion_snapshot!$AI$2:$AI$133</definedName>
    <definedName function="false" hidden="false" name="snapshot_N_A" vbProcedure="false">validacion_snapshot!$AF$2:$AF$133</definedName>
    <definedName function="false" hidden="false" name="snapshot_n_lab" vbProcedure="false">validacion_snapshot!$C$2:$C$133</definedName>
    <definedName function="false" hidden="false" name="snapshot_n_participants" vbProcedure="false">validacion_snapshot!$R$2:$R$133</definedName>
    <definedName function="false" hidden="false" name="snapshot_parametro" vbProcedure="false">validacion_snapshot!$G$2:$G$133</definedName>
    <definedName function="false" hidden="false" name="snapshot_participant_id" vbProcedure="false">validacion_snapshot!$T$2:$T$133</definedName>
    <definedName function="false" hidden="false" name="snapshot_pollutant" vbProcedure="false">validacion_snapshot!$B$2:$B$133</definedName>
    <definedName function="false" hidden="false" name="snapshot_result" vbProcedure="false">validacion_snapshot!$U$2:$U$133</definedName>
    <definedName function="false" hidden="false" name="snapshot_Satisfactorio" vbProcedure="false">validacion_snapshot!$AG$2:$AG$133</definedName>
    <definedName function="false" hidden="false" name="snapshot_score" vbProcedure="false">validacion_snapshot!$AE$2:$AE$133</definedName>
    <definedName function="false" hidden="false" name="snapshot_section" vbProcedure="false">validacion_snapshot!$E$2:$E$133</definedName>
    <definedName function="false" hidden="false" name="snapshot_sigma_pt" vbProcedure="false">validacion_snapshot!$L$2:$L$133</definedName>
    <definedName function="false" hidden="false" name="snapshot_tabla" vbProcedure="false">validacion_snapshot!$F$2:$F$133</definedName>
    <definedName function="false" hidden="false" name="snapshot_u_hom" vbProcedure="false">validacion_snapshot!$N$2:$N$133</definedName>
    <definedName function="false" hidden="false" name="snapshot_u_stab" vbProcedure="false">validacion_snapshot!$O$2:$O$133</definedName>
    <definedName function="false" hidden="false" name="snapshot_u_xi" vbProcedure="false">validacion_snapshot!$V$2:$V$133</definedName>
    <definedName function="false" hidden="false" name="snapshot_U_xpt" vbProcedure="false">validacion_snapshot!$Q$2:$Q$133</definedName>
    <definedName function="false" hidden="false" name="snapshot_u_xpt_def" vbProcedure="false">validacion_snapshot!$P$2:$P$133</definedName>
    <definedName function="false" hidden="false" name="snapshot_x_pt" vbProcedure="false">validacion_snapshot!$K$2:$K$133</definedName>
    <definedName function="false" hidden="false" name="snapshot_zeta_score" vbProcedure="false">validacion_snapshot!$AA$2:$AA$133</definedName>
    <definedName function="false" hidden="false" name="snapshot_zeta_score_eval" vbProcedure="false">validacion_snapshot!$AB$2:$AB$133</definedName>
    <definedName function="false" hidden="false" name="snapshot_z_prime_score" vbProcedure="false">validacion_snapshot!$Y$2:$Y$133</definedName>
    <definedName function="false" hidden="false" name="snapshot_z_prime_score_eval" vbProcedure="false">validacion_snapshot!$Z$2:$Z$133</definedName>
    <definedName function="false" hidden="false" name="snapshot_z_score" vbProcedure="false">validacion_snapshot!$W$2:$W$133</definedName>
    <definedName function="false" hidden="false" name="snapshot_z_score_eval" vbProcedure="false">validacion_snapshot!$X$2:$X$133</definedName>
    <definedName function="false" hidden="false" name="validacion_final_errores" vbProcedure="false">validacion_final!$A$23:$C$28</definedName>
    <definedName function="false" hidden="false" name="validacion_final_errores_conteo" vbProcedure="false">validacion_final!$C$24:$C$28</definedName>
    <definedName function="false" hidden="false" name="validacion_final_errores_error_excel" vbProcedure="false">validacion_final!$A$24:$A$28</definedName>
    <definedName function="false" hidden="false" name="validacion_final_errores_etiqueta" vbProcedure="false">validacion_final!$B$24:$B$28</definedName>
    <definedName function="false" hidden="false" name="validacion_final_resumen" vbProcedure="false">validacion_final!$A$1:$C$18</definedName>
    <definedName function="false" hidden="false" name="validacion_final_resumen_estado" vbProcedure="false">validacion_final!$B$2:$B$18</definedName>
    <definedName function="false" hidden="false" name="validacion_final_resumen_hoja" vbProcedure="false">validacion_final!$A$2:$A$18</definedName>
    <definedName function="false" hidden="false" name="validacion_final_resumen_notas" vbProcedure="false">validacion_final!$C$2:$C$18</definedName>
    <definedName function="false" hidden="false" name="valor_asignado" vbProcedure="false">valor_asignado!$A$1:$K$6</definedName>
    <definedName function="false" hidden="false" name="valor_asignado_estado" vbProcedure="false">valor_asignado!$K$2:$K$6</definedName>
    <definedName function="false" hidden="false" name="valor_asignado_method" vbProcedure="false">valor_asignado!$B$2:$B$6</definedName>
    <definedName function="false" hidden="false" name="valor_asignado_method_key" vbProcedure="false">valor_asignado!$A$2:$A$6</definedName>
    <definedName function="false" hidden="false" name="valor_asignado_n_participants" vbProcedure="false">valor_asignado!$J$2:$J$6</definedName>
    <definedName function="false" hidden="false" name="valor_asignado_sigma_pt" vbProcedure="false">valor_asignado!$D$2:$D$6</definedName>
    <definedName function="false" hidden="false" name="valor_asignado_u_hom" vbProcedure="false">valor_asignado!$F$2:$F$6</definedName>
    <definedName function="false" hidden="false" name="valor_asignado_u_stab" vbProcedure="false">valor_asignado!$G$2:$G$6</definedName>
    <definedName function="false" hidden="false" name="valor_asignado_U_xpt" vbProcedure="false">valor_asignado!$I$2:$I$6</definedName>
    <definedName function="false" hidden="false" name="valor_asignado_u_xpt_def" vbProcedure="false">valor_asignado!$H$2:$H$6</definedName>
    <definedName function="false" hidden="false" name="valor_asignado_x_pt" vbProcedure="false">valor_asignado!$C$2:$C$6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<sst xmlns="http://schemas.openxmlformats.org/spreadsheetml/2006/main" count="4098" uniqueCount="564">
  <si>
    <t xml:space="preserve">Excel con formulas validacion O3</t>
  </si>
  <si>
    <t xml:space="preserve">bloque</t>
  </si>
  <si>
    <t xml:space="preserve">contenido</t>
  </si>
  <si>
    <t xml:space="preserve">Combo</t>
  </si>
  <si>
    <t xml:space="preserve">O3_180</t>
  </si>
  <si>
    <t xml:space="preserve">Nivel</t>
  </si>
  <si>
    <t xml:space="preserve">180-nmol/mol</t>
  </si>
  <si>
    <t xml:space="preserve">Analito</t>
  </si>
  <si>
    <t xml:space="preserve">o3</t>
  </si>
  <si>
    <t xml:space="preserve">Fecha de generacion</t>
  </si>
  <si>
    <t xml:space="preserve">2026-05-13 19:21:28 -0500</t>
  </si>
  <si>
    <t xml:space="preserve">Script generador</t>
  </si>
  <si>
    <t xml:space="preserve">validation_1/validation/excel/validacion_o3/script_excel_formulas_validacion_o3.R</t>
  </si>
  <si>
    <t xml:space="preserve">Fuentes</t>
  </si>
  <si>
    <t xml:space="preserve">data/homogeneity - homogeneity.csv
data/stability - stability.csv
data/summary_n13.csv
data/pt_data_n13.csv
validation_1/validation/excel/validacion_o3/valores_validacion_o3.csv</t>
  </si>
  <si>
    <t xml:space="preserve">Convenciones</t>
  </si>
  <si>
    <t xml:space="preserve">Azul = dato fuente; negro = formula; verde = link interno; amarillo = control.</t>
  </si>
  <si>
    <t xml:space="preserve">Criterio Fase 4</t>
  </si>
  <si>
    <t xml:space="preserve">Homogeneidad y estabilidad generadas con formulas y controles contra snapshot.</t>
  </si>
  <si>
    <t xml:space="preserve">sample_id</t>
  </si>
  <si>
    <t xml:space="preserve">sample_1</t>
  </si>
  <si>
    <t xml:space="preserve">sample_2</t>
  </si>
  <si>
    <t xml:space="preserve">promedio_muestra</t>
  </si>
  <si>
    <t xml:space="preserve">rango_absoluto</t>
  </si>
  <si>
    <t xml:space="preserve">abs_diff_from_xpt</t>
  </si>
  <si>
    <t xml:space="preserve">parametro</t>
  </si>
  <si>
    <t xml:space="preserve">valor</t>
  </si>
  <si>
    <t xml:space="preserve">notas</t>
  </si>
  <si>
    <t xml:space="preserve">g</t>
  </si>
  <si>
    <t xml:space="preserve">Numero de muestras.</t>
  </si>
  <si>
    <t xml:space="preserve">m</t>
  </si>
  <si>
    <t xml:space="preserve">Numero de replicas.</t>
  </si>
  <si>
    <t xml:space="preserve">general_mean</t>
  </si>
  <si>
    <t xml:space="preserve">Promedio de todos los valores.</t>
  </si>
  <si>
    <t xml:space="preserve">x_pt</t>
  </si>
  <si>
    <t xml:space="preserve">Mediana de sample_1.</t>
  </si>
  <si>
    <t xml:space="preserve">s_x_bar_sq</t>
  </si>
  <si>
    <t xml:space="preserve">Varianza de promedios por muestra.</t>
  </si>
  <si>
    <t xml:space="preserve">sw</t>
  </si>
  <si>
    <t xml:space="preserve">Desviacion dentro de muestra para m = 2.</t>
  </si>
  <si>
    <t xml:space="preserve">ss_sq</t>
  </si>
  <si>
    <t xml:space="preserve">Componente entre muestras sin truncamiento, usando ABS como ptcalc.</t>
  </si>
  <si>
    <t xml:space="preserve">ss</t>
  </si>
  <si>
    <t xml:space="preserve">Desviacion entre muestras.</t>
  </si>
  <si>
    <t xml:space="preserve">median_abs_diff</t>
  </si>
  <si>
    <t xml:space="preserve">Mediana de |sample_2 - x_pt|.</t>
  </si>
  <si>
    <t xml:space="preserve">MADe</t>
  </si>
  <si>
    <t xml:space="preserve">1.483 * median_abs_diff.</t>
  </si>
  <si>
    <t xml:space="preserve">u_sigma_pt</t>
  </si>
  <si>
    <t xml:space="preserve">1.25 * MADe / sqrt(g).</t>
  </si>
  <si>
    <t xml:space="preserve">Q1</t>
  </si>
  <si>
    <t xml:space="preserve">Cuartil 25% de sample_1, type 7 equivalente.</t>
  </si>
  <si>
    <t xml:space="preserve">Q3</t>
  </si>
  <si>
    <t xml:space="preserve">Cuartil 75% de sample_1, type 7 equivalente.</t>
  </si>
  <si>
    <t xml:space="preserve">IQR</t>
  </si>
  <si>
    <t xml:space="preserve">Q3 - Q1.</t>
  </si>
  <si>
    <t xml:space="preserve">nIQR</t>
  </si>
  <si>
    <t xml:space="preserve">0.7413 * IQR.</t>
  </si>
  <si>
    <t xml:space="preserve">u_sigma_pt_niqr</t>
  </si>
  <si>
    <t xml:space="preserve">1.25 * nIQR / sqrt(g).</t>
  </si>
  <si>
    <t xml:space="preserve">criterio_made</t>
  </si>
  <si>
    <t xml:space="preserve">0.3 * MADe.</t>
  </si>
  <si>
    <t xml:space="preserve">criterio_niqr</t>
  </si>
  <si>
    <t xml:space="preserve">0.3 * nIQR.</t>
  </si>
  <si>
    <t xml:space="preserve">tabla</t>
  </si>
  <si>
    <t xml:space="preserve">app_value</t>
  </si>
  <si>
    <t xml:space="preserve">calculado</t>
  </si>
  <si>
    <t xml:space="preserve">delta_abs</t>
  </si>
  <si>
    <t xml:space="preserve">tolerancia</t>
  </si>
  <si>
    <t xml:space="preserve">estado</t>
  </si>
  <si>
    <t xml:space="preserve">Resumen del Estudio (Método MADe)</t>
  </si>
  <si>
    <t xml:space="preserve">Muestras (g)</t>
  </si>
  <si>
    <t xml:space="preserve">10</t>
  </si>
  <si>
    <t xml:space="preserve">Réplicas (m)</t>
  </si>
  <si>
    <t xml:space="preserve">2</t>
  </si>
  <si>
    <t xml:space="preserve">x_pt (hom_stab)</t>
  </si>
  <si>
    <t xml:space="preserve">176.5380</t>
  </si>
  <si>
    <t xml:space="preserve">Median |sample_2 - x_pt|</t>
  </si>
  <si>
    <t xml:space="preserve">2.8659</t>
  </si>
  <si>
    <t xml:space="preserve">MADe (1.483 × median)</t>
  </si>
  <si>
    <t xml:space="preserve">1.1328</t>
  </si>
  <si>
    <t xml:space="preserve">Resumen del Estudio (Método nIQR)</t>
  </si>
  <si>
    <t xml:space="preserve">Q1 (25%)</t>
  </si>
  <si>
    <t xml:space="preserve">176.4295</t>
  </si>
  <si>
    <t xml:space="preserve">Q3 (75%)</t>
  </si>
  <si>
    <t xml:space="preserve">180.4040</t>
  </si>
  <si>
    <t xml:space="preserve">IQR (Q3 - Q1)</t>
  </si>
  <si>
    <t xml:space="preserve">3.9745</t>
  </si>
  <si>
    <t xml:space="preserve">nIQR (0.7413 × IQR)</t>
  </si>
  <si>
    <t xml:space="preserve">2.9463</t>
  </si>
  <si>
    <t xml:space="preserve">u_sigma_pt (nIQR)</t>
  </si>
  <si>
    <t xml:space="preserve">1.1646</t>
  </si>
  <si>
    <t xml:space="preserve">g_stab</t>
  </si>
  <si>
    <t xml:space="preserve">Numero de muestras estabilidad.</t>
  </si>
  <si>
    <t xml:space="preserve">m_stab</t>
  </si>
  <si>
    <t xml:space="preserve">Numero de replicas estabilidad.</t>
  </si>
  <si>
    <t xml:space="preserve">general_mean_stab</t>
  </si>
  <si>
    <t xml:space="preserve">Promedio de todos los valores de estabilidad.</t>
  </si>
  <si>
    <t xml:space="preserve">x_pt_stab</t>
  </si>
  <si>
    <t xml:space="preserve">Mediana de sample_1 estabilidad.</t>
  </si>
  <si>
    <t xml:space="preserve">s_x_bar_sq_stab</t>
  </si>
  <si>
    <t xml:space="preserve">Varianza de promedios estabilidad.</t>
  </si>
  <si>
    <t xml:space="preserve">sw_stab</t>
  </si>
  <si>
    <t xml:space="preserve">ss_sq_stab</t>
  </si>
  <si>
    <t xml:space="preserve">Componente entre muestras estabilidad.</t>
  </si>
  <si>
    <t xml:space="preserve">ss_stab</t>
  </si>
  <si>
    <t xml:space="preserve">Desviacion entre muestras estabilidad.</t>
  </si>
  <si>
    <t xml:space="preserve">diff_hom_stab</t>
  </si>
  <si>
    <t xml:space="preserve">|media estabilidad - media homogeneidad|.</t>
  </si>
  <si>
    <t xml:space="preserve">u_hom_mean</t>
  </si>
  <si>
    <t xml:space="preserve">STDEV.S(valores homogeneidad) / sqrt(n).</t>
  </si>
  <si>
    <t xml:space="preserve">u_stab_mean</t>
  </si>
  <si>
    <t xml:space="preserve">STDEV.S(valores estabilidad) / sqrt(n).</t>
  </si>
  <si>
    <t xml:space="preserve">0.3 * MADe de homogeneidad.</t>
  </si>
  <si>
    <t xml:space="preserve">criterio_made_expandido</t>
  </si>
  <si>
    <t xml:space="preserve">criterio + 2 * incertidumbre de medias.</t>
  </si>
  <si>
    <t xml:space="preserve">0.3 * nIQR de homogeneidad.</t>
  </si>
  <si>
    <t xml:space="preserve">criterio_niqr_expandido</t>
  </si>
  <si>
    <t xml:space="preserve">criterio nIQR + 2 * incertidumbre de medias.</t>
  </si>
  <si>
    <t xml:space="preserve">participant_id</t>
  </si>
  <si>
    <t xml:space="preserve">pollutant</t>
  </si>
  <si>
    <t xml:space="preserve">level</t>
  </si>
  <si>
    <t xml:space="preserve">mean_value</t>
  </si>
  <si>
    <t xml:space="preserve">sd_value</t>
  </si>
  <si>
    <t xml:space="preserve">u_i</t>
  </si>
  <si>
    <t xml:space="preserve">u_i_check</t>
  </si>
  <si>
    <t xml:space="preserve">part_1</t>
  </si>
  <si>
    <t xml:space="preserve">part_10</t>
  </si>
  <si>
    <t xml:space="preserve">part_11</t>
  </si>
  <si>
    <t xml:space="preserve">part_12</t>
  </si>
  <si>
    <t xml:space="preserve">part_2</t>
  </si>
  <si>
    <t xml:space="preserve">part_3</t>
  </si>
  <si>
    <t xml:space="preserve">part_4</t>
  </si>
  <si>
    <t xml:space="preserve">part_5</t>
  </si>
  <si>
    <t xml:space="preserve">part_6</t>
  </si>
  <si>
    <t xml:space="preserve">part_7</t>
  </si>
  <si>
    <t xml:space="preserve">part_8</t>
  </si>
  <si>
    <t xml:space="preserve">part_9</t>
  </si>
  <si>
    <t xml:space="preserve">x_pt_ref</t>
  </si>
  <si>
    <t xml:space="preserve">u_ref_check</t>
  </si>
  <si>
    <t xml:space="preserve">ref</t>
  </si>
  <si>
    <t xml:space="preserve">metrica</t>
  </si>
  <si>
    <t xml:space="preserve">x0_mediana</t>
  </si>
  <si>
    <t xml:space="preserve">s0_MADe</t>
  </si>
  <si>
    <t xml:space="preserve">n_participantes</t>
  </si>
  <si>
    <t xml:space="preserve">iteracion_final</t>
  </si>
  <si>
    <t xml:space="preserve">x_final</t>
  </si>
  <si>
    <t xml:space="preserve">s_final</t>
  </si>
  <si>
    <t xml:space="preserve">n_winsorizadas_final</t>
  </si>
  <si>
    <t xml:space="preserve">xi</t>
  </si>
  <si>
    <t xml:space="preserve">abs_xi_x0</t>
  </si>
  <si>
    <t xml:space="preserve">iteracion</t>
  </si>
  <si>
    <t xml:space="preserve">x_prev</t>
  </si>
  <si>
    <t xml:space="preserve">s_prev</t>
  </si>
  <si>
    <t xml:space="preserve">delta</t>
  </si>
  <si>
    <t xml:space="preserve">limite_inf</t>
  </si>
  <si>
    <t xml:space="preserve">limite_sup</t>
  </si>
  <si>
    <t xml:space="preserve">w_part_1</t>
  </si>
  <si>
    <t xml:space="preserve">w_part_10</t>
  </si>
  <si>
    <t xml:space="preserve">w_part_11</t>
  </si>
  <si>
    <t xml:space="preserve">w_part_12</t>
  </si>
  <si>
    <t xml:space="preserve">w_part_2</t>
  </si>
  <si>
    <t xml:space="preserve">w_part_3</t>
  </si>
  <si>
    <t xml:space="preserve">w_part_4</t>
  </si>
  <si>
    <t xml:space="preserve">w_part_5</t>
  </si>
  <si>
    <t xml:space="preserve">w_part_6</t>
  </si>
  <si>
    <t xml:space="preserve">w_part_7</t>
  </si>
  <si>
    <t xml:space="preserve">w_part_8</t>
  </si>
  <si>
    <t xml:space="preserve">w_part_9</t>
  </si>
  <si>
    <t xml:space="preserve">x_new</t>
  </si>
  <si>
    <t xml:space="preserve">s_new</t>
  </si>
  <si>
    <t xml:space="preserve">delta_x</t>
  </si>
  <si>
    <t xml:space="preserve">delta_s</t>
  </si>
  <si>
    <t xml:space="preserve">sig3_x_prev</t>
  </si>
  <si>
    <t xml:space="preserve">sig3_s_prev</t>
  </si>
  <si>
    <t xml:space="preserve">sig3_x_new</t>
  </si>
  <si>
    <t xml:space="preserve">sig3_s_new</t>
  </si>
  <si>
    <t xml:space="preserve">signif3_converged</t>
  </si>
  <si>
    <t xml:space="preserve">guardia_numerica</t>
  </si>
  <si>
    <t xml:space="preserve">fila_seleccionada</t>
  </si>
  <si>
    <t xml:space="preserve">method_key</t>
  </si>
  <si>
    <t xml:space="preserve">method</t>
  </si>
  <si>
    <t xml:space="preserve">sigma_pt</t>
  </si>
  <si>
    <t xml:space="preserve">u_xpt</t>
  </si>
  <si>
    <t xml:space="preserve">u_hom</t>
  </si>
  <si>
    <t xml:space="preserve">u_stab</t>
  </si>
  <si>
    <t xml:space="preserve">u_xpt_def</t>
  </si>
  <si>
    <t xml:space="preserve">U_xpt</t>
  </si>
  <si>
    <t xml:space="preserve">n_participants</t>
  </si>
  <si>
    <t xml:space="preserve">Referencia (1)</t>
  </si>
  <si>
    <t xml:space="preserve">consensus_ma</t>
  </si>
  <si>
    <t xml:space="preserve">Consenso MADe (2a)</t>
  </si>
  <si>
    <t xml:space="preserve">consensus_niqr</t>
  </si>
  <si>
    <t xml:space="preserve">Consenso nIQR (2b)</t>
  </si>
  <si>
    <t xml:space="preserve">algo</t>
  </si>
  <si>
    <t xml:space="preserve">Algoritmo A (3)</t>
  </si>
  <si>
    <t xml:space="preserve">expert</t>
  </si>
  <si>
    <t xml:space="preserve">Expertos (4)</t>
  </si>
  <si>
    <t xml:space="preserve">Algoritmo A</t>
  </si>
  <si>
    <t xml:space="preserve">O3</t>
  </si>
  <si>
    <t xml:space="preserve">Esquema (n)</t>
  </si>
  <si>
    <t xml:space="preserve">13</t>
  </si>
  <si>
    <t xml:space="preserve">n participantes</t>
  </si>
  <si>
    <t xml:space="preserve">12</t>
  </si>
  <si>
    <t xml:space="preserve">x*0 = mediana</t>
  </si>
  <si>
    <t xml:space="preserve">178.2090</t>
  </si>
  <si>
    <t xml:space="preserve">s*0 = MADe</t>
  </si>
  <si>
    <t xml:space="preserve">0.3248</t>
  </si>
  <si>
    <t xml:space="preserve">x* (valor asignado)</t>
  </si>
  <si>
    <t xml:space="preserve">178.3484</t>
  </si>
  <si>
    <t xml:space="preserve">s* (desviación robusta)</t>
  </si>
  <si>
    <t xml:space="preserve">0.4940</t>
  </si>
  <si>
    <t xml:space="preserve">Observaciones winzorizadas</t>
  </si>
  <si>
    <t xml:space="preserve">Observaciones totales</t>
  </si>
  <si>
    <t xml:space="preserve">n_iteraciones</t>
  </si>
  <si>
    <t xml:space="preserve">14</t>
  </si>
  <si>
    <t xml:space="preserve">criterio</t>
  </si>
  <si>
    <t xml:space="preserve">3 cifras significativas</t>
  </si>
  <si>
    <t xml:space="preserve">guardia_numérica</t>
  </si>
  <si>
    <t xml:space="preserve">0.0000000001</t>
  </si>
  <si>
    <t xml:space="preserve">primera_iteración_3ra_cifra</t>
  </si>
  <si>
    <t xml:space="preserve">result</t>
  </si>
  <si>
    <t xml:space="preserve">u_xi</t>
  </si>
  <si>
    <t xml:space="preserve">z_score</t>
  </si>
  <si>
    <t xml:space="preserve">z_score_eval</t>
  </si>
  <si>
    <t xml:space="preserve">z_prime_score</t>
  </si>
  <si>
    <t xml:space="preserve">z_prime_score_eval</t>
  </si>
  <si>
    <t xml:space="preserve">zeta_score</t>
  </si>
  <si>
    <t xml:space="preserve">zeta_score_eval</t>
  </si>
  <si>
    <t xml:space="preserve">En_score</t>
  </si>
  <si>
    <t xml:space="preserve">En_score_eval</t>
  </si>
  <si>
    <t xml:space="preserve">score</t>
  </si>
  <si>
    <t xml:space="preserve">N/A</t>
  </si>
  <si>
    <t xml:space="preserve">Satisfactorio</t>
  </si>
  <si>
    <t xml:space="preserve">Cuestionable</t>
  </si>
  <si>
    <t xml:space="preserve">No satisfactorio</t>
  </si>
  <si>
    <t xml:space="preserve">Valores asignados e incertidumbre</t>
  </si>
  <si>
    <t xml:space="preserve">Parámetros por método</t>
  </si>
  <si>
    <t xml:space="preserve">Resumen global de evaluaciones</t>
  </si>
  <si>
    <t xml:space="preserve">Conteos por método y categoría</t>
  </si>
  <si>
    <t xml:space="preserve">z</t>
  </si>
  <si>
    <t xml:space="preserve">z_prime</t>
  </si>
  <si>
    <t xml:space="preserve">zeta</t>
  </si>
  <si>
    <t xml:space="preserve">En</t>
  </si>
  <si>
    <t xml:space="preserve">score_tipo</t>
  </si>
  <si>
    <t xml:space="preserve">score_label</t>
  </si>
  <si>
    <t xml:space="preserve">score_value</t>
  </si>
  <si>
    <t xml:space="preserve">evaluation</t>
  </si>
  <si>
    <t xml:space="preserve">etiqueta_celda</t>
  </si>
  <si>
    <t xml:space="preserve">puntajes_row</t>
  </si>
  <si>
    <t xml:space="preserve">z'</t>
  </si>
  <si>
    <t xml:space="preserve">Mapa global Referencia (1) - z</t>
  </si>
  <si>
    <t xml:space="preserve">Mapa global Referencia (1) - z'</t>
  </si>
  <si>
    <t xml:space="preserve">Mapa global Referencia (1) - zeta</t>
  </si>
  <si>
    <t xml:space="preserve">Mapa global Referencia (1) - En</t>
  </si>
  <si>
    <t xml:space="preserve">Mapa global Consenso MADe (2a) - z</t>
  </si>
  <si>
    <t xml:space="preserve">Mapa global Consenso MADe (2a) - z'</t>
  </si>
  <si>
    <t xml:space="preserve">Mapa global Consenso MADe (2a) - zeta</t>
  </si>
  <si>
    <t xml:space="preserve">Mapa global Consenso MADe (2a) - En</t>
  </si>
  <si>
    <t xml:space="preserve">Mapa global Consenso nIQR (2b) - z</t>
  </si>
  <si>
    <t xml:space="preserve">Mapa global Consenso nIQR (2b) - z'</t>
  </si>
  <si>
    <t xml:space="preserve">Mapa global Consenso nIQR (2b) - zeta</t>
  </si>
  <si>
    <t xml:space="preserve">Mapa global Consenso nIQR (2b) - En</t>
  </si>
  <si>
    <t xml:space="preserve">Mapa global Algoritmo A (3) - z</t>
  </si>
  <si>
    <t xml:space="preserve">Mapa global Algoritmo A (3) - z'</t>
  </si>
  <si>
    <t xml:space="preserve">Mapa global Algoritmo A (3) - zeta</t>
  </si>
  <si>
    <t xml:space="preserve">Mapa global Algoritmo A (3) - En</t>
  </si>
  <si>
    <t xml:space="preserve">Mapa global Expertos (4) - z</t>
  </si>
  <si>
    <t xml:space="preserve">Mapa global Expertos (4) - z'</t>
  </si>
  <si>
    <t xml:space="preserve">Mapa global Expertos (4) - zeta</t>
  </si>
  <si>
    <t xml:space="preserve">Mapa global Expertos (4) - En</t>
  </si>
  <si>
    <t xml:space="preserve">combo_id</t>
  </si>
  <si>
    <t xml:space="preserve">n_lab</t>
  </si>
  <si>
    <t xml:space="preserve">section</t>
  </si>
  <si>
    <t xml:space="preserve">resultado_homogeneidad</t>
  </si>
  <si>
    <t xml:space="preserve">resultado_estabilidad</t>
  </si>
  <si>
    <t xml:space="preserve">valor_asignado</t>
  </si>
  <si>
    <t xml:space="preserve">177.614</t>
  </si>
  <si>
    <t xml:space="preserve">4.55228</t>
  </si>
  <si>
    <t xml:space="preserve">1.781</t>
  </si>
  <si>
    <t xml:space="preserve">1.34309248668057</t>
  </si>
  <si>
    <t xml:space="preserve">0.127045926735169</t>
  </si>
  <si>
    <t xml:space="preserve">2.23427820453895</t>
  </si>
  <si>
    <t xml:space="preserve">4.4685564090779</t>
  </si>
  <si>
    <t xml:space="preserve">178.209</t>
  </si>
  <si>
    <t xml:space="preserve">0.324777000000012</t>
  </si>
  <si>
    <t xml:space="preserve">0.117193805235379</t>
  </si>
  <si>
    <t xml:space="preserve">1.35416855792155</t>
  </si>
  <si>
    <t xml:space="preserve">2.70833711584311</t>
  </si>
  <si>
    <t xml:space="preserve">0.487034100000008</t>
  </si>
  <si>
    <t xml:space="preserve">0.175743292962207</t>
  </si>
  <si>
    <t xml:space="preserve">1.36048660423357</t>
  </si>
  <si>
    <t xml:space="preserve">2.72097320846714</t>
  </si>
  <si>
    <t xml:space="preserve">178.348436434102</t>
  </si>
  <si>
    <t xml:space="preserve">0.494016722256281</t>
  </si>
  <si>
    <t xml:space="preserve">0.178262929736775</t>
  </si>
  <si>
    <t xml:space="preserve">1.36081437653933</t>
  </si>
  <si>
    <t xml:space="preserve">2.72162875307867</t>
  </si>
  <si>
    <t xml:space="preserve">algoritmo_A</t>
  </si>
  <si>
    <t xml:space="preserve">puntajes_EA</t>
  </si>
  <si>
    <t xml:space="preserve">178.722333333333</t>
  </si>
  <si>
    <t xml:space="preserve">0.334578968165167</t>
  </si>
  <si>
    <t xml:space="preserve">0.243467742171692</t>
  </si>
  <si>
    <t xml:space="preserve">0.218562173125765</t>
  </si>
  <si>
    <t xml:space="preserve">0.490588678885145</t>
  </si>
  <si>
    <t xml:space="preserve">0.245294339442572</t>
  </si>
  <si>
    <t xml:space="preserve">177.981666666667</t>
  </si>
  <si>
    <t xml:space="preserve">0.414358062941227</t>
  </si>
  <si>
    <t xml:space="preserve">0.0807653893580032</t>
  </si>
  <si>
    <t xml:space="preserve">0.072503481791791</t>
  </si>
  <si>
    <t xml:space="preserve">0.161798356328937</t>
  </si>
  <si>
    <t xml:space="preserve">0.0808991781644684</t>
  </si>
  <si>
    <t xml:space="preserve">179.610333333333</t>
  </si>
  <si>
    <t xml:space="preserve">0.380761268150885</t>
  </si>
  <si>
    <t xml:space="preserve">0.438534829433454</t>
  </si>
  <si>
    <t xml:space="preserve">0.393674843563965</t>
  </si>
  <si>
    <t xml:space="preserve">0.880803831975937</t>
  </si>
  <si>
    <t xml:space="preserve">0.440401915987968</t>
  </si>
  <si>
    <t xml:space="preserve">178.669666666667</t>
  </si>
  <si>
    <t xml:space="preserve">0.343658946047462</t>
  </si>
  <si>
    <t xml:space="preserve">0.231898447957214</t>
  </si>
  <si>
    <t xml:space="preserve">0.208176361590764</t>
  </si>
  <si>
    <t xml:space="preserve">0.466994843426909</t>
  </si>
  <si>
    <t xml:space="preserve">0.233497421713455</t>
  </si>
  <si>
    <t xml:space="preserve">177.849</t>
  </si>
  <si>
    <t xml:space="preserve">0.140176574676736</t>
  </si>
  <si>
    <t xml:space="preserve">0.0516224836785051</t>
  </si>
  <si>
    <t xml:space="preserve">0.0463417540010985</t>
  </si>
  <si>
    <t xml:space="preserve">0.104972987586357</t>
  </si>
  <si>
    <t xml:space="preserve">0.0524864937931786</t>
  </si>
  <si>
    <t xml:space="preserve">178.039333333333</t>
  </si>
  <si>
    <t xml:space="preserve">0.00796067860388924</t>
  </si>
  <si>
    <t xml:space="preserve">0.0934330342890436</t>
  </si>
  <si>
    <t xml:space="preserve">0.0838752880927725</t>
  </si>
  <si>
    <t xml:space="preserve">0.190366012941132</t>
  </si>
  <si>
    <t xml:space="preserve">0.0951830064705661</t>
  </si>
  <si>
    <t xml:space="preserve">179.197666666667</t>
  </si>
  <si>
    <t xml:space="preserve">0.23561544179908</t>
  </si>
  <si>
    <t xml:space="preserve">0.347884283626372</t>
  </si>
  <si>
    <t xml:space="preserve">0.312297408878343</t>
  </si>
  <si>
    <t xml:space="preserve">0.704895959448332</t>
  </si>
  <si>
    <t xml:space="preserve">0.352447979724166</t>
  </si>
  <si>
    <t xml:space="preserve">178.035</t>
  </si>
  <si>
    <t xml:space="preserve">0.0202713981208594</t>
  </si>
  <si>
    <t xml:space="preserve">0.0924811303346877</t>
  </si>
  <si>
    <t xml:space="preserve">0.0830207592955887</t>
  </si>
  <si>
    <t xml:space="preserve">0.188419988321675</t>
  </si>
  <si>
    <t xml:space="preserve">0.0942099941608374</t>
  </si>
  <si>
    <t xml:space="preserve">178.152666666667</t>
  </si>
  <si>
    <t xml:space="preserve">0.498874552692086</t>
  </si>
  <si>
    <t xml:space="preserve">0.118328983864491</t>
  </si>
  <si>
    <t xml:space="preserve">0.106224502788336</t>
  </si>
  <si>
    <t xml:space="preserve">0.235297983079218</t>
  </si>
  <si>
    <t xml:space="preserve">0.117648991539609</t>
  </si>
  <si>
    <t xml:space="preserve">178.290666666667</t>
  </si>
  <si>
    <t xml:space="preserve">0.355089886356072</t>
  </si>
  <si>
    <t xml:space="preserve">0.148643463641658</t>
  </si>
  <si>
    <t xml:space="preserve">0.133437958329409</t>
  </si>
  <si>
    <t xml:space="preserve">0.299103098507571</t>
  </si>
  <si>
    <t xml:space="preserve">0.149551549253785</t>
  </si>
  <si>
    <t xml:space="preserve">177.998333333333</t>
  </si>
  <si>
    <t xml:space="preserve">0.46269516615466</t>
  </si>
  <si>
    <t xml:space="preserve">0.0844265584132194</t>
  </si>
  <si>
    <t xml:space="preserve">0.0757901310117299</t>
  </si>
  <si>
    <t xml:space="preserve">0.168442774875577</t>
  </si>
  <si>
    <t xml:space="preserve">0.0842213874377886</t>
  </si>
  <si>
    <t xml:space="preserve">178.265333333333</t>
  </si>
  <si>
    <t xml:space="preserve">0.236972481628575</t>
  </si>
  <si>
    <t xml:space="preserve">0.143078486677737</t>
  </si>
  <si>
    <t xml:space="preserve">0.128442251515108</t>
  </si>
  <si>
    <t xml:space="preserve">0.289892488157954</t>
  </si>
  <si>
    <t xml:space="preserve">0.144946244078977</t>
  </si>
  <si>
    <t xml:space="preserve">1.5805716948347</t>
  </si>
  <si>
    <t xml:space="preserve">0.368622870619153</t>
  </si>
  <si>
    <t xml:space="preserve">0.368010143291955</t>
  </si>
  <si>
    <t xml:space="preserve">0.184005071645977</t>
  </si>
  <si>
    <t xml:space="preserve">-0.699967464855392</t>
  </si>
  <si>
    <t xml:space="preserve">-0.163247271274202</t>
  </si>
  <si>
    <t xml:space="preserve">-0.160529763910706</t>
  </si>
  <si>
    <t xml:space="preserve">-0.0802648819553528</t>
  </si>
  <si>
    <t xml:space="preserve">4.3147554578473</t>
  </si>
  <si>
    <t xml:space="preserve">1.00629256369017</t>
  </si>
  <si>
    <t xml:space="preserve">0.996198331933579</t>
  </si>
  <si>
    <t xml:space="preserve">0.498099165966789</t>
  </si>
  <si>
    <t xml:space="preserve">1.41840914432565</t>
  </si>
  <si>
    <t xml:space="preserve">0.33080312155562</t>
  </si>
  <si>
    <t xml:space="preserve">0.329731853487525</t>
  </si>
  <si>
    <t xml:space="preserve">0.164865926743762</t>
  </si>
  <si>
    <t xml:space="preserve">-1.10845287689707</t>
  </si>
  <si>
    <t xml:space="preserve">-0.258514740434213</t>
  </si>
  <si>
    <t xml:space="preserve">-0.264432815511743</t>
  </si>
  <si>
    <t xml:space="preserve">-0.132216407755871</t>
  </si>
  <si>
    <t xml:space="preserve">-0.522409735500559</t>
  </si>
  <si>
    <t xml:space="preserve">-0.121837039704642</t>
  </si>
  <si>
    <t xml:space="preserve">-0.125289967809736</t>
  </si>
  <si>
    <t xml:space="preserve">-0.062644983904868</t>
  </si>
  <si>
    <t xml:space="preserve">3.04414003044126</t>
  </si>
  <si>
    <t xml:space="preserve">0.709958074192445</t>
  </si>
  <si>
    <t xml:space="preserve">0.71928484513784</t>
  </si>
  <si>
    <t xml:space="preserve">0.35964242256892</t>
  </si>
  <si>
    <t xml:space="preserve">-0.535752223833584</t>
  </si>
  <si>
    <t xml:space="preserve">-0.124948791209869</t>
  </si>
  <si>
    <t xml:space="preserve">-0.128477733773758</t>
  </si>
  <si>
    <t xml:space="preserve">-0.064238866886879</t>
  </si>
  <si>
    <t xml:space="preserve">-0.173452348329327</t>
  </si>
  <si>
    <t xml:space="preserve">-0.040452769567961</t>
  </si>
  <si>
    <t xml:space="preserve">-0.0390352964156552</t>
  </si>
  <si>
    <t xml:space="preserve">-0.0195176482078276</t>
  </si>
  <si>
    <t xml:space="preserve">0.25145458781455</t>
  </si>
  <si>
    <t xml:space="preserve">0.0586445475984872</t>
  </si>
  <si>
    <t xml:space="preserve">0.0583353972723827</t>
  </si>
  <si>
    <t xml:space="preserve">0.0291676986361913</t>
  </si>
  <si>
    <t xml:space="preserve">-0.648650202036044</t>
  </si>
  <si>
    <t xml:space="preserve">-0.15127899625409</t>
  </si>
  <si>
    <t xml:space="preserve">-0.147212865452117</t>
  </si>
  <si>
    <t xml:space="preserve">-0.0736064327260587</t>
  </si>
  <si>
    <t xml:space="preserve">0.17345234832924</t>
  </si>
  <si>
    <t xml:space="preserve">0.0404527695679406</t>
  </si>
  <si>
    <t xml:space="preserve">0.0409772462529584</t>
  </si>
  <si>
    <t xml:space="preserve">0.0204886231264792</t>
  </si>
  <si>
    <t xml:space="preserve">1.05399875149059</t>
  </si>
  <si>
    <t xml:space="preserve">0.355239388730885</t>
  </si>
  <si>
    <t xml:space="preserve">0.366398799359774</t>
  </si>
  <si>
    <t xml:space="preserve">0.183199399679887</t>
  </si>
  <si>
    <t xml:space="preserve">-0.466770875660133</t>
  </si>
  <si>
    <t xml:space="preserve">-0.157320300723683</t>
  </si>
  <si>
    <t xml:space="preserve">-0.159847687324902</t>
  </si>
  <si>
    <t xml:space="preserve">-0.0799238436624511</t>
  </si>
  <si>
    <t xml:space="preserve">2.87727970861446</t>
  </si>
  <si>
    <t xml:space="preserve">0.969757396249731</t>
  </si>
  <si>
    <t xml:space="preserve">0.991908800119292</t>
  </si>
  <si>
    <t xml:space="preserve">0.495954400059646</t>
  </si>
  <si>
    <t xml:space="preserve">0.94586121724672</t>
  </si>
  <si>
    <t xml:space="preserve">0.318792750146798</t>
  </si>
  <si>
    <t xml:space="preserve">0.328292637633803</t>
  </si>
  <si>
    <t xml:space="preserve">0.164146318816901</t>
  </si>
  <si>
    <t xml:space="preserve">-0.739167955590805</t>
  </si>
  <si>
    <t xml:space="preserve">-0.249128921967116</t>
  </si>
  <si>
    <t xml:space="preserve">-0.263217729398852</t>
  </si>
  <si>
    <t xml:space="preserve">-0.131608864699426</t>
  </si>
  <si>
    <t xml:space="preserve">-0.348367119810849</t>
  </si>
  <si>
    <t xml:space="preserve">-0.11741353822339</t>
  </si>
  <si>
    <t xml:space="preserve">-0.124708146091161</t>
  </si>
  <si>
    <t xml:space="preserve">-0.0623540730455806</t>
  </si>
  <si>
    <t xml:space="preserve">2.02997421877984</t>
  </si>
  <si>
    <t xml:space="preserve">0.684181835698549</t>
  </si>
  <si>
    <t xml:space="preserve">0.716042003798227</t>
  </si>
  <si>
    <t xml:space="preserve">0.358021001899113</t>
  </si>
  <si>
    <t xml:space="preserve">-0.357264511868889</t>
  </si>
  <si>
    <t xml:space="preserve">-0.120412312284106</t>
  </si>
  <si>
    <t xml:space="preserve">-0.127881220970999</t>
  </si>
  <si>
    <t xml:space="preserve">-0.0639406104854997</t>
  </si>
  <si>
    <t xml:space="preserve">-0.115666096754529</t>
  </si>
  <si>
    <t xml:space="preserve">-0.0389840627893129</t>
  </si>
  <si>
    <t xml:space="preserve">-0.0388755479579211</t>
  </si>
  <si>
    <t xml:space="preserve">-0.0194377739789606</t>
  </si>
  <si>
    <t xml:space="preserve">0.167681619555279</t>
  </si>
  <si>
    <t xml:space="preserve">0.0565153572980815</t>
  </si>
  <si>
    <t xml:space="preserve">0.0580818054812207</t>
  </si>
  <si>
    <t xml:space="preserve">0.0290409027406104</t>
  </si>
  <si>
    <t xml:space="preserve">-0.432550136975347</t>
  </si>
  <si>
    <t xml:space="preserve">-0.145786554336308</t>
  </si>
  <si>
    <t xml:space="preserve">-0.146600239266687</t>
  </si>
  <si>
    <t xml:space="preserve">-0.0733001196333435</t>
  </si>
  <si>
    <t xml:space="preserve">0.115666096754471</t>
  </si>
  <si>
    <t xml:space="preserve">0.0389840627892932</t>
  </si>
  <si>
    <t xml:space="preserve">0.0407925657031989</t>
  </si>
  <si>
    <t xml:space="preserve">0.0203962828515994</t>
  </si>
  <si>
    <t xml:space="preserve">0.75685069429203</t>
  </si>
  <si>
    <t xml:space="preserve">0.258267566300187</t>
  </si>
  <si>
    <t xml:space="preserve">0.266813491185925</t>
  </si>
  <si>
    <t xml:space="preserve">0.133406745592962</t>
  </si>
  <si>
    <t xml:space="preserve">-0.742423790352768</t>
  </si>
  <si>
    <t xml:space="preserve">-0.2533445327379</t>
  </si>
  <si>
    <t xml:space="preserve">-0.257834499226384</t>
  </si>
  <si>
    <t xml:space="preserve">-0.128917249613192</t>
  </si>
  <si>
    <t xml:space="preserve">2.55436069748441</t>
  </si>
  <si>
    <t xml:space="preserve">0.871649488819255</t>
  </si>
  <si>
    <t xml:space="preserve">0.893011687054509</t>
  </si>
  <si>
    <t xml:space="preserve">0.446505843527254</t>
  </si>
  <si>
    <t xml:space="preserve">0.650241617526084</t>
  </si>
  <si>
    <t xml:space="preserve">0.221888308132753</t>
  </si>
  <si>
    <t xml:space="preserve">0.228871871974993</t>
  </si>
  <si>
    <t xml:space="preserve">0.114435935987497</t>
  </si>
  <si>
    <t xml:space="preserve">-1.01097070524413</t>
  </si>
  <si>
    <t xml:space="preserve">-0.344983423564699</t>
  </si>
  <si>
    <t xml:space="preserve">-0.365081090129675</t>
  </si>
  <si>
    <t xml:space="preserve">-0.182540545064837</t>
  </si>
  <si>
    <t xml:space="preserve">-0.62569359870399</t>
  </si>
  <si>
    <t xml:space="preserve">-0.213511547529259</t>
  </si>
  <si>
    <t xml:space="preserve">-0.227141788921622</t>
  </si>
  <si>
    <t xml:space="preserve">-0.113570894460811</t>
  </si>
  <si>
    <t xml:space="preserve">1.719031349154</t>
  </si>
  <si>
    <t xml:space="preserve">0.586601883684635</t>
  </si>
  <si>
    <t xml:space="preserve">0.614911309621566</t>
  </si>
  <si>
    <t xml:space="preserve">0.307455654810783</t>
  </si>
  <si>
    <t xml:space="preserve">-0.634465231602455</t>
  </si>
  <si>
    <t xml:space="preserve">-0.216504777631643</t>
  </si>
  <si>
    <t xml:space="preserve">-0.230304491584109</t>
  </si>
  <si>
    <t xml:space="preserve">-0.115152245792054</t>
  </si>
  <si>
    <t xml:space="preserve">-0.396281661359647</t>
  </si>
  <si>
    <t xml:space="preserve">-0.135227067928487</t>
  </si>
  <si>
    <t xml:space="preserve">-0.135071734513147</t>
  </si>
  <si>
    <t xml:space="preserve">-0.0675358672565733</t>
  </si>
  <si>
    <t xml:space="preserve">-0.116938890593246</t>
  </si>
  <si>
    <t xml:space="preserve">-0.039904201591058</t>
  </si>
  <si>
    <t xml:space="preserve">-0.0410769273140285</t>
  </si>
  <si>
    <t xml:space="preserve">-0.0205384636570142</t>
  </si>
  <si>
    <t xml:space="preserve">-0.708686740743274</t>
  </si>
  <si>
    <t xml:space="preserve">-0.241832109267187</t>
  </si>
  <si>
    <t xml:space="preserve">-0.243579670004489</t>
  </si>
  <si>
    <t xml:space="preserve">-0.121789835002244</t>
  </si>
  <si>
    <t xml:space="preserve">-0.168219205999613</t>
  </si>
  <si>
    <t xml:space="preserve">-0.0574030852665193</t>
  </si>
  <si>
    <t xml:space="preserve">-0.0601632462310747</t>
  </si>
  <si>
    <t xml:space="preserve">-0.0300816231155373</t>
  </si>
  <si>
    <t xml:space="preserve">informe_global</t>
  </si>
  <si>
    <t xml:space="preserve">0</t>
  </si>
  <si>
    <t xml:space="preserve">11</t>
  </si>
  <si>
    <t xml:space="preserve">1</t>
  </si>
  <si>
    <t xml:space="preserve">hoja</t>
  </si>
  <si>
    <t xml:space="preserve">datos_homogeneidad</t>
  </si>
  <si>
    <t xml:space="preserve">Implementado</t>
  </si>
  <si>
    <t xml:space="preserve">Datos de homogeneidad filtrados por combo.</t>
  </si>
  <si>
    <t xml:space="preserve">calc_homogeneidad</t>
  </si>
  <si>
    <t xml:space="preserve">Calculos Excel de homogeneidad con MADe y nIQR.</t>
  </si>
  <si>
    <t xml:space="preserve">Tabla visible app.R y comparacion contra snapshot.</t>
  </si>
  <si>
    <t xml:space="preserve">datos_estabilidad</t>
  </si>
  <si>
    <t xml:space="preserve">Datos de estabilidad filtrados por combo.</t>
  </si>
  <si>
    <t xml:space="preserve">calc_estabilidad</t>
  </si>
  <si>
    <t xml:space="preserve">Calculos Excel de estabilidad y criterios internos.</t>
  </si>
  <si>
    <t xml:space="preserve">Tabla visible app.R repetida segun comportamiento validado.</t>
  </si>
  <si>
    <t xml:space="preserve">datos_participantes</t>
  </si>
  <si>
    <t xml:space="preserve">Participantes excluyendo ref con control u_i.</t>
  </si>
  <si>
    <t xml:space="preserve">datos_referencia</t>
  </si>
  <si>
    <t xml:space="preserve">Referencia con controles de promedio e incertidumbre.</t>
  </si>
  <si>
    <t xml:space="preserve">Parametros por metodo con incertidumbres compuestas.</t>
  </si>
  <si>
    <t xml:space="preserve">algoritmo_A_iteraciones</t>
  </si>
  <si>
    <t xml:space="preserve">Traza de 50 iteraciones del Algoritmo A.</t>
  </si>
  <si>
    <t xml:space="preserve">Resumen visible app.R y comparacion contra snapshot.</t>
  </si>
  <si>
    <t xml:space="preserve">Puntajes z, z', zeta y En por metodo y participante.</t>
  </si>
  <si>
    <t xml:space="preserve">Conteos globales por metodo, score y categoria.</t>
  </si>
  <si>
    <t xml:space="preserve">heatmap_datos_globales</t>
  </si>
  <si>
    <t xml:space="preserve">Tabla larga para heat maps globales desde puntajes_EA.</t>
  </si>
  <si>
    <t xml:space="preserve">heatmap_global</t>
  </si>
  <si>
    <t xml:space="preserve">Matrices visibles por metodo y score, con etiquetas a 2 decimales.</t>
  </si>
  <si>
    <t xml:space="preserve">validacion_snapshot</t>
  </si>
  <si>
    <t xml:space="preserve">Snapshot congelado del combo.</t>
  </si>
  <si>
    <t xml:space="preserve">validacion_final</t>
  </si>
  <si>
    <t xml:space="preserve">Resumen de comparacion de estado del libro.</t>
  </si>
  <si>
    <t xml:space="preserve">Estado global</t>
  </si>
  <si>
    <t xml:space="preserve">error_excel</t>
  </si>
  <si>
    <t xml:space="preserve">etiqueta</t>
  </si>
  <si>
    <t xml:space="preserve">conteo</t>
  </si>
  <si>
    <t xml:space="preserve">#REF!</t>
  </si>
  <si>
    <t xml:space="preserve">REF</t>
  </si>
  <si>
    <t xml:space="preserve">#DIV/0!</t>
  </si>
  <si>
    <t xml:space="preserve">DIV/0</t>
  </si>
  <si>
    <t xml:space="preserve">#VALUE!</t>
  </si>
  <si>
    <t xml:space="preserve">VALUE</t>
  </si>
  <si>
    <t xml:space="preserve">#N/A</t>
  </si>
  <si>
    <t xml:space="preserve">#NAME?</t>
  </si>
  <si>
    <t xml:space="preserve">NAME</t>
  </si>
  <si>
    <t xml:space="preserve">Total errores Excel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</si>
</sst>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0000"/>
        <sz val="11"/>
      </font>
      <fill>
        <patternFill>
          <bgColor rgb="FFF4CCCC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42.99"/>
    <col collapsed="false" customWidth="true" hidden="false" outlineLevel="0" max="2" min="2" style="0" width="177.71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1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3" t="s">
        <v>9</v>
      </c>
      <c r="B7" s="3" t="s">
        <v>10</v>
      </c>
    </row>
    <row r="8" customFormat="false" ht="15" hidden="false" customHeight="false" outlineLevel="0" collapsed="false">
      <c r="A8" s="3" t="s">
        <v>11</v>
      </c>
      <c r="B8" s="3" t="s">
        <v>12</v>
      </c>
    </row>
    <row r="9" customFormat="false" ht="64.9" hidden="false" customHeight="false" outlineLevel="0" collapsed="false">
      <c r="A9" s="3" t="s">
        <v>13</v>
      </c>
      <c r="B9" s="3" t="s">
        <v>14</v>
      </c>
    </row>
    <row r="10" customFormat="false" ht="15" hidden="false" customHeight="false" outlineLevel="0" collapsed="false">
      <c r="A10" s="3" t="s">
        <v>15</v>
      </c>
      <c r="B10" s="3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3" min="2" style="0" width="8.71"/>
    <col collapsed="false" customWidth="true" hidden="false" outlineLevel="0" max="4" min="4" style="0" width="16.72"/>
    <col collapsed="false" customWidth="true" hidden="false" outlineLevel="0" max="5" min="5" style="0" width="14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customFormat="false" ht="15" hidden="false" customHeight="false" outlineLevel="0" collapsed="false">
      <c r="A2" s="3" t="n">
        <v>1</v>
      </c>
      <c r="B2" s="3" t="n">
        <v>180.414</v>
      </c>
      <c r="C2" s="3" t="n">
        <v>180.46</v>
      </c>
      <c r="D2" s="4" t="n">
        <f aca="false">AVERAGE(B2:C2)</f>
        <v>180.437</v>
      </c>
      <c r="E2" s="4" t="n">
        <f aca="false">ABS(B2-C2)</f>
        <v>0.0460000000000207</v>
      </c>
      <c r="F2" s="4" t="n">
        <f aca="false">ABS(C2-MEDIAN($B$2:$B$11))</f>
        <v>3.922</v>
      </c>
    </row>
    <row r="3" customFormat="false" ht="15" hidden="false" customHeight="false" outlineLevel="0" collapsed="false">
      <c r="A3" s="3" t="n">
        <v>2</v>
      </c>
      <c r="B3" s="3" t="n">
        <v>176.452</v>
      </c>
      <c r="C3" s="3" t="n">
        <v>176.396</v>
      </c>
      <c r="D3" s="4" t="n">
        <f aca="false">AVERAGE(B3:C3)</f>
        <v>176.424</v>
      </c>
      <c r="E3" s="4" t="n">
        <f aca="false">ABS(B3-C3)</f>
        <v>0.0560000000000116</v>
      </c>
      <c r="F3" s="4" t="n">
        <f aca="false">ABS(C3-MEDIAN($B$2:$B$11))</f>
        <v>0.142000000000024</v>
      </c>
    </row>
    <row r="4" customFormat="false" ht="15" hidden="false" customHeight="false" outlineLevel="0" collapsed="false">
      <c r="A4" s="3" t="n">
        <v>3</v>
      </c>
      <c r="B4" s="3" t="n">
        <v>176.56</v>
      </c>
      <c r="C4" s="3" t="n">
        <v>176.377</v>
      </c>
      <c r="D4" s="4" t="n">
        <f aca="false">AVERAGE(B4:C4)</f>
        <v>176.4685</v>
      </c>
      <c r="E4" s="4" t="n">
        <f aca="false">ABS(B4-C4)</f>
        <v>0.182999999999993</v>
      </c>
      <c r="F4" s="4" t="n">
        <f aca="false">ABS(C4-MEDIAN($B$2:$B$11))</f>
        <v>0.161000000000001</v>
      </c>
    </row>
    <row r="5" customFormat="false" ht="15" hidden="false" customHeight="false" outlineLevel="0" collapsed="false">
      <c r="A5" s="3" t="n">
        <v>4</v>
      </c>
      <c r="B5" s="3" t="n">
        <v>176.372</v>
      </c>
      <c r="C5" s="3" t="n">
        <v>180.242</v>
      </c>
      <c r="D5" s="4" t="n">
        <f aca="false">AVERAGE(B5:C5)</f>
        <v>178.307</v>
      </c>
      <c r="E5" s="4" t="n">
        <f aca="false">ABS(B5-C5)</f>
        <v>3.86999999999998</v>
      </c>
      <c r="F5" s="4" t="n">
        <f aca="false">ABS(C5-MEDIAN($B$2:$B$11))</f>
        <v>3.70399999999998</v>
      </c>
    </row>
    <row r="6" customFormat="false" ht="15" hidden="false" customHeight="false" outlineLevel="0" collapsed="false">
      <c r="A6" s="3" t="n">
        <v>5</v>
      </c>
      <c r="B6" s="3" t="n">
        <v>180.374</v>
      </c>
      <c r="C6" s="3" t="n">
        <v>180.34</v>
      </c>
      <c r="D6" s="4" t="n">
        <f aca="false">AVERAGE(B6:C6)</f>
        <v>180.357</v>
      </c>
      <c r="E6" s="4" t="n">
        <f aca="false">ABS(B6-C6)</f>
        <v>0.0339999999999918</v>
      </c>
      <c r="F6" s="4" t="n">
        <f aca="false">ABS(C6-MEDIAN($B$2:$B$11))</f>
        <v>3.80199999999999</v>
      </c>
    </row>
    <row r="7" customFormat="false" ht="15" hidden="false" customHeight="false" outlineLevel="0" collapsed="false">
      <c r="A7" s="3" t="n">
        <v>6</v>
      </c>
      <c r="B7" s="3" t="n">
        <v>176.362</v>
      </c>
      <c r="C7" s="3" t="n">
        <v>180.429</v>
      </c>
      <c r="D7" s="4" t="n">
        <f aca="false">AVERAGE(B7:C7)</f>
        <v>178.3955</v>
      </c>
      <c r="E7" s="4" t="n">
        <f aca="false">ABS(B7-C7)</f>
        <v>4.06700000000001</v>
      </c>
      <c r="F7" s="4" t="n">
        <f aca="false">ABS(C7-MEDIAN($B$2:$B$11))</f>
        <v>3.89099999999999</v>
      </c>
    </row>
    <row r="8" customFormat="false" ht="15" hidden="false" customHeight="false" outlineLevel="0" collapsed="false">
      <c r="A8" s="3" t="n">
        <v>7</v>
      </c>
      <c r="B8" s="3" t="n">
        <v>176.422</v>
      </c>
      <c r="C8" s="3" t="n">
        <v>176.448</v>
      </c>
      <c r="D8" s="4" t="n">
        <f aca="false">AVERAGE(B8:C8)</f>
        <v>176.435</v>
      </c>
      <c r="E8" s="4" t="n">
        <f aca="false">ABS(B8-C8)</f>
        <v>0.0260000000000105</v>
      </c>
      <c r="F8" s="4" t="n">
        <f aca="false">ABS(C8-MEDIAN($B$2:$B$11))</f>
        <v>0.0900000000000034</v>
      </c>
    </row>
    <row r="9" customFormat="false" ht="15" hidden="false" customHeight="false" outlineLevel="0" collapsed="false">
      <c r="A9" s="3" t="n">
        <v>8</v>
      </c>
      <c r="B9" s="3" t="n">
        <v>176.516</v>
      </c>
      <c r="C9" s="3" t="n">
        <v>176.592</v>
      </c>
      <c r="D9" s="4" t="n">
        <f aca="false">AVERAGE(B9:C9)</f>
        <v>176.554</v>
      </c>
      <c r="E9" s="4" t="n">
        <f aca="false">ABS(B9-C9)</f>
        <v>0.0760000000000218</v>
      </c>
      <c r="F9" s="4" t="n">
        <f aca="false">ABS(C9-MEDIAN($B$2:$B$11))</f>
        <v>0.054000000000002</v>
      </c>
    </row>
    <row r="10" customFormat="false" ht="15" hidden="false" customHeight="false" outlineLevel="0" collapsed="false">
      <c r="A10" s="3" t="n">
        <v>9</v>
      </c>
      <c r="B10" s="3" t="n">
        <v>180.529</v>
      </c>
      <c r="C10" s="3" t="n">
        <v>180.353</v>
      </c>
      <c r="D10" s="4" t="n">
        <f aca="false">AVERAGE(B10:C10)</f>
        <v>180.441</v>
      </c>
      <c r="E10" s="4" t="n">
        <f aca="false">ABS(B10-C10)</f>
        <v>0.175999999999988</v>
      </c>
      <c r="F10" s="4" t="n">
        <f aca="false">ABS(C10-MEDIAN($B$2:$B$11))</f>
        <v>3.815</v>
      </c>
    </row>
    <row r="11" customFormat="false" ht="15" hidden="false" customHeight="false" outlineLevel="0" collapsed="false">
      <c r="A11" s="3" t="n">
        <v>10</v>
      </c>
      <c r="B11" s="3" t="n">
        <v>180.456</v>
      </c>
      <c r="C11" s="3" t="n">
        <v>176.545</v>
      </c>
      <c r="D11" s="4" t="n">
        <f aca="false">AVERAGE(B11:C11)</f>
        <v>178.5005</v>
      </c>
      <c r="E11" s="4" t="n">
        <f aca="false">ABS(B11-C11)</f>
        <v>3.911</v>
      </c>
      <c r="F11" s="4" t="n">
        <f aca="false">ABS(C11-MEDIAN($B$2:$B$11))</f>
        <v>0.00699999999997658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5.71"/>
    <col collapsed="false" customWidth="true" hidden="false" outlineLevel="0" max="3" min="3" style="0" width="67.71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</row>
    <row r="2" customFormat="false" ht="15" hidden="false" customHeight="false" outlineLevel="0" collapsed="false">
      <c r="A2" s="3" t="s">
        <v>28</v>
      </c>
      <c r="B2" s="4" t="n">
        <f aca="false">COUNT(datos_homogeneidad!$B$2:$B$11)</f>
        <v>10</v>
      </c>
      <c r="C2" s="3" t="s">
        <v>29</v>
      </c>
    </row>
    <row r="3" customFormat="false" ht="15" hidden="false" customHeight="false" outlineLevel="0" collapsed="false">
      <c r="A3" s="3" t="s">
        <v>30</v>
      </c>
      <c r="B3" s="4" t="n">
        <f aca="false">2</f>
        <v>2</v>
      </c>
      <c r="C3" s="3" t="s">
        <v>31</v>
      </c>
    </row>
    <row r="4" customFormat="false" ht="15" hidden="false" customHeight="false" outlineLevel="0" collapsed="false">
      <c r="A4" s="3" t="s">
        <v>32</v>
      </c>
      <c r="B4" s="4" t="n">
        <f aca="false">AVERAGE(datos_homogeneidad!$B$2:$B$11,datos_homogeneidad!$C$2:$C$11)</f>
        <v>178.23195</v>
      </c>
      <c r="C4" s="3" t="s">
        <v>33</v>
      </c>
    </row>
    <row r="5" customFormat="false" ht="15" hidden="false" customHeight="false" outlineLevel="0" collapsed="false">
      <c r="A5" s="3" t="s">
        <v>34</v>
      </c>
      <c r="B5" s="4" t="n">
        <f aca="false">MEDIAN(datos_homogeneidad!$B$2:$B$11)</f>
        <v>176.538</v>
      </c>
      <c r="C5" s="3" t="s">
        <v>35</v>
      </c>
    </row>
    <row r="6" customFormat="false" ht="15" hidden="false" customHeight="false" outlineLevel="0" collapsed="false">
      <c r="A6" s="3" t="s">
        <v>36</v>
      </c>
      <c r="B6" s="4" t="n">
        <f aca="false">VAR(datos_homogeneidad!$D$2:$D$11)</f>
        <v>2.97616330277779</v>
      </c>
      <c r="C6" s="3" t="s">
        <v>37</v>
      </c>
    </row>
    <row r="7" customFormat="false" ht="15" hidden="false" customHeight="false" outlineLevel="0" collapsed="false">
      <c r="A7" s="3" t="s">
        <v>38</v>
      </c>
      <c r="B7" s="4" t="n">
        <f aca="false">SQRT(SUMSQ(datos_homogeneidad!$E$2:$E$11)/(2*B2))</f>
        <v>1.53118638643373</v>
      </c>
      <c r="C7" s="3" t="s">
        <v>39</v>
      </c>
    </row>
    <row r="8" customFormat="false" ht="15" hidden="false" customHeight="false" outlineLevel="0" collapsed="false">
      <c r="A8" s="3" t="s">
        <v>40</v>
      </c>
      <c r="B8" s="4" t="n">
        <f aca="false">ABS(B6-(B7^2/B3))</f>
        <v>1.80389742777779</v>
      </c>
      <c r="C8" s="3" t="s">
        <v>41</v>
      </c>
    </row>
    <row r="9" customFormat="false" ht="15" hidden="false" customHeight="false" outlineLevel="0" collapsed="false">
      <c r="A9" s="3" t="s">
        <v>42</v>
      </c>
      <c r="B9" s="4" t="n">
        <f aca="false">SQRT(B8)</f>
        <v>1.34309248668057</v>
      </c>
      <c r="C9" s="3" t="s">
        <v>43</v>
      </c>
    </row>
    <row r="10" customFormat="false" ht="15" hidden="false" customHeight="false" outlineLevel="0" collapsed="false">
      <c r="A10" s="3" t="s">
        <v>44</v>
      </c>
      <c r="B10" s="4" t="n">
        <f aca="false">MEDIAN(datos_homogeneidad!$F$2:$F$11)</f>
        <v>1.93249999999999</v>
      </c>
      <c r="C10" s="3" t="s">
        <v>45</v>
      </c>
    </row>
    <row r="11" customFormat="false" ht="15" hidden="false" customHeight="false" outlineLevel="0" collapsed="false">
      <c r="A11" s="3" t="s">
        <v>46</v>
      </c>
      <c r="B11" s="4" t="n">
        <f aca="false">1.483*B10</f>
        <v>2.86589749999999</v>
      </c>
      <c r="C11" s="3" t="s">
        <v>47</v>
      </c>
    </row>
    <row r="12" customFormat="false" ht="15" hidden="false" customHeight="false" outlineLevel="0" collapsed="false">
      <c r="A12" s="3" t="s">
        <v>48</v>
      </c>
      <c r="B12" s="4" t="n">
        <f aca="false">IFERROR(1.25*B11/SQRT(B2),0)</f>
        <v>1.1328454550728</v>
      </c>
      <c r="C12" s="3" t="s">
        <v>49</v>
      </c>
    </row>
    <row r="13" customFormat="false" ht="15" hidden="false" customHeight="false" outlineLevel="0" collapsed="false">
      <c r="A13" s="3" t="s">
        <v>50</v>
      </c>
      <c r="B13" s="4" t="n">
        <f aca="false">QUARTILE(datos_homogeneidad!$B$2:$B$11,1)</f>
        <v>176.4295</v>
      </c>
      <c r="C13" s="3" t="s">
        <v>51</v>
      </c>
    </row>
    <row r="14" customFormat="false" ht="15" hidden="false" customHeight="false" outlineLevel="0" collapsed="false">
      <c r="A14" s="3" t="s">
        <v>52</v>
      </c>
      <c r="B14" s="4" t="n">
        <f aca="false">QUARTILE(datos_homogeneidad!$B$2:$B$11,3)</f>
        <v>180.404</v>
      </c>
      <c r="C14" s="3" t="s">
        <v>53</v>
      </c>
    </row>
    <row r="15" customFormat="false" ht="15" hidden="false" customHeight="false" outlineLevel="0" collapsed="false">
      <c r="A15" s="3" t="s">
        <v>54</v>
      </c>
      <c r="B15" s="4" t="n">
        <f aca="false">B14-B13</f>
        <v>3.97450000000001</v>
      </c>
      <c r="C15" s="3" t="s">
        <v>55</v>
      </c>
    </row>
    <row r="16" customFormat="false" ht="15" hidden="false" customHeight="false" outlineLevel="0" collapsed="false">
      <c r="A16" s="3" t="s">
        <v>56</v>
      </c>
      <c r="B16" s="4" t="n">
        <f aca="false">0.7413*B15</f>
        <v>2.94629685</v>
      </c>
      <c r="C16" s="3" t="s">
        <v>57</v>
      </c>
    </row>
    <row r="17" customFormat="false" ht="15" hidden="false" customHeight="false" outlineLevel="0" collapsed="false">
      <c r="A17" s="3" t="s">
        <v>58</v>
      </c>
      <c r="B17" s="4" t="n">
        <f aca="false">IFERROR(1.25*B16/SQRT(B2),0)</f>
        <v>1.16462608862244</v>
      </c>
      <c r="C17" s="3" t="s">
        <v>59</v>
      </c>
    </row>
    <row r="18" customFormat="false" ht="15" hidden="false" customHeight="false" outlineLevel="0" collapsed="false">
      <c r="A18" s="3" t="s">
        <v>60</v>
      </c>
      <c r="B18" s="4" t="n">
        <f aca="false">0.3*B11</f>
        <v>0.859769249999996</v>
      </c>
      <c r="C18" s="3" t="s">
        <v>61</v>
      </c>
    </row>
    <row r="19" customFormat="false" ht="15" hidden="false" customHeight="false" outlineLevel="0" collapsed="false">
      <c r="A19" s="3" t="s">
        <v>62</v>
      </c>
      <c r="B19" s="4" t="n">
        <f aca="false">0.3*B16</f>
        <v>0.883889055000001</v>
      </c>
      <c r="C19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34.71"/>
    <col collapsed="false" customWidth="true" hidden="false" outlineLevel="0" max="2" min="2" style="0" width="24.71"/>
    <col collapsed="false" customWidth="true" hidden="false" outlineLevel="0" max="5" min="3" style="0" width="9.71"/>
    <col collapsed="false" customWidth="true" hidden="false" outlineLevel="0" max="6" min="6" style="0" width="10.71"/>
    <col collapsed="false" customWidth="true" hidden="false" outlineLevel="0" max="7" min="7" style="0" width="6.71"/>
  </cols>
  <sheetData>
    <row r="1" customFormat="false" ht="15" hidden="false" customHeight="false" outlineLevel="0" collapsed="false">
      <c r="A1" s="2" t="s">
        <v>64</v>
      </c>
      <c r="B1" s="2" t="s">
        <v>25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</row>
    <row r="2" customFormat="false" ht="15" hidden="false" customHeight="false" outlineLevel="0" collapsed="false">
      <c r="A2" s="3" t="s">
        <v>70</v>
      </c>
      <c r="B2" s="3" t="s">
        <v>71</v>
      </c>
      <c r="C2" s="3" t="s">
        <v>72</v>
      </c>
      <c r="D2" s="4" t="n">
        <f aca="false">calc_homogeneidad!$B$2</f>
        <v>10</v>
      </c>
      <c r="E2" s="4" t="n">
        <f aca="false">IFERROR(ABS(D2-C2),"")</f>
        <v>0</v>
      </c>
      <c r="F2" s="3" t="n">
        <v>0.0005</v>
      </c>
      <c r="G2" s="5" t="str">
        <f aca="false">IF(E2="","Pendiente",IF(E2&lt;=F2,"OK","FALLA"))</f>
        <v>OK</v>
      </c>
    </row>
    <row r="3" customFormat="false" ht="15" hidden="false" customHeight="false" outlineLevel="0" collapsed="false">
      <c r="A3" s="3" t="s">
        <v>70</v>
      </c>
      <c r="B3" s="3" t="s">
        <v>73</v>
      </c>
      <c r="C3" s="3" t="s">
        <v>74</v>
      </c>
      <c r="D3" s="4" t="n">
        <f aca="false">calc_homogeneidad!$B$3</f>
        <v>2</v>
      </c>
      <c r="E3" s="4" t="n">
        <f aca="false">IFERROR(ABS(D3-C3),"")</f>
        <v>0</v>
      </c>
      <c r="F3" s="3" t="n">
        <v>0.0005</v>
      </c>
      <c r="G3" s="5" t="str">
        <f aca="false">IF(E3="","Pendiente",IF(E3&lt;=F3,"OK","FALLA"))</f>
        <v>OK</v>
      </c>
    </row>
    <row r="4" customFormat="false" ht="15" hidden="false" customHeight="false" outlineLevel="0" collapsed="false">
      <c r="A4" s="3" t="s">
        <v>70</v>
      </c>
      <c r="B4" s="3" t="s">
        <v>75</v>
      </c>
      <c r="C4" s="3" t="s">
        <v>76</v>
      </c>
      <c r="D4" s="4" t="n">
        <f aca="false">ROUND(calc_homogeneidad!$B$5,4)</f>
        <v>176.538</v>
      </c>
      <c r="E4" s="4" t="n">
        <f aca="false">IFERROR(ABS(D4-C4),"")</f>
        <v>0</v>
      </c>
      <c r="F4" s="3" t="n">
        <v>0.0005</v>
      </c>
      <c r="G4" s="5" t="str">
        <f aca="false">IF(E4="","Pendiente",IF(E4&lt;=F4,"OK","FALLA"))</f>
        <v>OK</v>
      </c>
    </row>
    <row r="5" customFormat="false" ht="15" hidden="false" customHeight="false" outlineLevel="0" collapsed="false">
      <c r="A5" s="3" t="s">
        <v>70</v>
      </c>
      <c r="B5" s="3" t="s">
        <v>77</v>
      </c>
      <c r="C5" s="3" t="s">
        <v>78</v>
      </c>
      <c r="D5" s="4" t="n">
        <f aca="false">ROUND(calc_homogeneidad!$B$11,4)</f>
        <v>2.8659</v>
      </c>
      <c r="E5" s="4" t="n">
        <f aca="false">IFERROR(ABS(D5-C5),"")</f>
        <v>0</v>
      </c>
      <c r="F5" s="3" t="n">
        <v>0.0005</v>
      </c>
      <c r="G5" s="5" t="str">
        <f aca="false">IF(E5="","Pendiente",IF(E5&lt;=F5,"OK","FALLA"))</f>
        <v>OK</v>
      </c>
    </row>
    <row r="6" customFormat="false" ht="15" hidden="false" customHeight="false" outlineLevel="0" collapsed="false">
      <c r="A6" s="3" t="s">
        <v>70</v>
      </c>
      <c r="B6" s="3" t="s">
        <v>79</v>
      </c>
      <c r="C6" s="3" t="s">
        <v>78</v>
      </c>
      <c r="D6" s="4" t="n">
        <f aca="false">ROUND(calc_homogeneidad!$B$11,4)</f>
        <v>2.8659</v>
      </c>
      <c r="E6" s="4" t="n">
        <f aca="false">IFERROR(ABS(D6-C6),"")</f>
        <v>0</v>
      </c>
      <c r="F6" s="3" t="n">
        <v>0.0005</v>
      </c>
      <c r="G6" s="5" t="str">
        <f aca="false">IF(E6="","Pendiente",IF(E6&lt;=F6,"OK","FALLA"))</f>
        <v>OK</v>
      </c>
    </row>
    <row r="7" customFormat="false" ht="15" hidden="false" customHeight="false" outlineLevel="0" collapsed="false">
      <c r="A7" s="3" t="s">
        <v>70</v>
      </c>
      <c r="B7" s="3" t="s">
        <v>48</v>
      </c>
      <c r="C7" s="3" t="s">
        <v>80</v>
      </c>
      <c r="D7" s="4" t="n">
        <f aca="false">ROUND(calc_homogeneidad!$B$12,4)</f>
        <v>1.1328</v>
      </c>
      <c r="E7" s="4" t="n">
        <f aca="false">IFERROR(ABS(D7-C7),"")</f>
        <v>0</v>
      </c>
      <c r="F7" s="3" t="n">
        <v>0.0005</v>
      </c>
      <c r="G7" s="5" t="str">
        <f aca="false">IF(E7="","Pendiente",IF(E7&lt;=F7,"OK","FALLA"))</f>
        <v>OK</v>
      </c>
    </row>
    <row r="8" customFormat="false" ht="15" hidden="false" customHeight="false" outlineLevel="0" collapsed="false">
      <c r="A8" s="3" t="s">
        <v>81</v>
      </c>
      <c r="B8" s="3" t="s">
        <v>71</v>
      </c>
      <c r="C8" s="3" t="s">
        <v>72</v>
      </c>
      <c r="D8" s="4" t="n">
        <f aca="false">calc_homogeneidad!$B$2</f>
        <v>10</v>
      </c>
      <c r="E8" s="4" t="n">
        <f aca="false">IFERROR(ABS(D8-C8),"")</f>
        <v>0</v>
      </c>
      <c r="F8" s="3" t="n">
        <v>0.0005</v>
      </c>
      <c r="G8" s="5" t="str">
        <f aca="false">IF(E8="","Pendiente",IF(E8&lt;=F8,"OK","FALLA"))</f>
        <v>OK</v>
      </c>
    </row>
    <row r="9" customFormat="false" ht="15" hidden="false" customHeight="false" outlineLevel="0" collapsed="false">
      <c r="A9" s="3" t="s">
        <v>81</v>
      </c>
      <c r="B9" s="3" t="s">
        <v>73</v>
      </c>
      <c r="C9" s="3" t="s">
        <v>74</v>
      </c>
      <c r="D9" s="4" t="n">
        <f aca="false">calc_homogeneidad!$B$3</f>
        <v>2</v>
      </c>
      <c r="E9" s="4" t="n">
        <f aca="false">IFERROR(ABS(D9-C9),"")</f>
        <v>0</v>
      </c>
      <c r="F9" s="3" t="n">
        <v>0.0005</v>
      </c>
      <c r="G9" s="5" t="str">
        <f aca="false">IF(E9="","Pendiente",IF(E9&lt;=F9,"OK","FALLA"))</f>
        <v>OK</v>
      </c>
    </row>
    <row r="10" customFormat="false" ht="15" hidden="false" customHeight="false" outlineLevel="0" collapsed="false">
      <c r="A10" s="3" t="s">
        <v>81</v>
      </c>
      <c r="B10" s="3" t="s">
        <v>75</v>
      </c>
      <c r="C10" s="3" t="s">
        <v>76</v>
      </c>
      <c r="D10" s="4" t="n">
        <f aca="false">ROUND(calc_homogeneidad!$B$5,4)</f>
        <v>176.538</v>
      </c>
      <c r="E10" s="4" t="n">
        <f aca="false">IFERROR(ABS(D10-C10),"")</f>
        <v>0</v>
      </c>
      <c r="F10" s="3" t="n">
        <v>0.0005</v>
      </c>
      <c r="G10" s="5" t="str">
        <f aca="false">IF(E10="","Pendiente",IF(E10&lt;=F10,"OK","FALLA"))</f>
        <v>OK</v>
      </c>
    </row>
    <row r="11" customFormat="false" ht="15" hidden="false" customHeight="false" outlineLevel="0" collapsed="false">
      <c r="A11" s="3" t="s">
        <v>81</v>
      </c>
      <c r="B11" s="3" t="s">
        <v>82</v>
      </c>
      <c r="C11" s="3" t="s">
        <v>83</v>
      </c>
      <c r="D11" s="4" t="n">
        <f aca="false">ROUND(calc_homogeneidad!$B$13,4)</f>
        <v>176.4295</v>
      </c>
      <c r="E11" s="4" t="n">
        <f aca="false">IFERROR(ABS(D11-C11),"")</f>
        <v>0</v>
      </c>
      <c r="F11" s="3" t="n">
        <v>0.0005</v>
      </c>
      <c r="G11" s="5" t="str">
        <f aca="false">IF(E11="","Pendiente",IF(E11&lt;=F11,"OK","FALLA"))</f>
        <v>OK</v>
      </c>
    </row>
    <row r="12" customFormat="false" ht="15" hidden="false" customHeight="false" outlineLevel="0" collapsed="false">
      <c r="A12" s="3" t="s">
        <v>81</v>
      </c>
      <c r="B12" s="3" t="s">
        <v>84</v>
      </c>
      <c r="C12" s="3" t="s">
        <v>85</v>
      </c>
      <c r="D12" s="4" t="n">
        <f aca="false">ROUND(calc_homogeneidad!$B$14,4)</f>
        <v>180.404</v>
      </c>
      <c r="E12" s="4" t="n">
        <f aca="false">IFERROR(ABS(D12-C12),"")</f>
        <v>0</v>
      </c>
      <c r="F12" s="3" t="n">
        <v>0.0005</v>
      </c>
      <c r="G12" s="5" t="str">
        <f aca="false">IF(E12="","Pendiente",IF(E12&lt;=F12,"OK","FALLA"))</f>
        <v>OK</v>
      </c>
    </row>
    <row r="13" customFormat="false" ht="15" hidden="false" customHeight="false" outlineLevel="0" collapsed="false">
      <c r="A13" s="3" t="s">
        <v>81</v>
      </c>
      <c r="B13" s="3" t="s">
        <v>86</v>
      </c>
      <c r="C13" s="3" t="s">
        <v>87</v>
      </c>
      <c r="D13" s="4" t="n">
        <f aca="false">ROUND(calc_homogeneidad!$B$15,4)</f>
        <v>3.9745</v>
      </c>
      <c r="E13" s="4" t="n">
        <f aca="false">IFERROR(ABS(D13-C13),"")</f>
        <v>0</v>
      </c>
      <c r="F13" s="3" t="n">
        <v>0.0005</v>
      </c>
      <c r="G13" s="5" t="str">
        <f aca="false">IF(E13="","Pendiente",IF(E13&lt;=F13,"OK","FALLA"))</f>
        <v>OK</v>
      </c>
    </row>
    <row r="14" customFormat="false" ht="15" hidden="false" customHeight="false" outlineLevel="0" collapsed="false">
      <c r="A14" s="3" t="s">
        <v>81</v>
      </c>
      <c r="B14" s="3" t="s">
        <v>88</v>
      </c>
      <c r="C14" s="3" t="s">
        <v>89</v>
      </c>
      <c r="D14" s="4" t="n">
        <f aca="false">ROUND(calc_homogeneidad!$B$16,4)</f>
        <v>2.9463</v>
      </c>
      <c r="E14" s="4" t="n">
        <f aca="false">IFERROR(ABS(D14-C14),"")</f>
        <v>0</v>
      </c>
      <c r="F14" s="3" t="n">
        <v>0.0005</v>
      </c>
      <c r="G14" s="5" t="str">
        <f aca="false">IF(E14="","Pendiente",IF(E14&lt;=F14,"OK","FALLA"))</f>
        <v>OK</v>
      </c>
    </row>
    <row r="15" customFormat="false" ht="15" hidden="false" customHeight="false" outlineLevel="0" collapsed="false">
      <c r="A15" s="3" t="s">
        <v>81</v>
      </c>
      <c r="B15" s="3" t="s">
        <v>90</v>
      </c>
      <c r="C15" s="3" t="s">
        <v>91</v>
      </c>
      <c r="D15" s="4" t="n">
        <f aca="false">ROUND(calc_homogeneidad!$B$17,4)</f>
        <v>1.1646</v>
      </c>
      <c r="E15" s="4" t="n">
        <f aca="false">IFERROR(ABS(D15-C15),"")</f>
        <v>0</v>
      </c>
      <c r="F15" s="3" t="n">
        <v>0.0005</v>
      </c>
      <c r="G15" s="5" t="str">
        <f aca="false">IF(E15="","Pendiente",IF(E15&lt;=F15,"OK","FALLA"))</f>
        <v>OK</v>
      </c>
    </row>
  </sheetData>
  <conditionalFormatting sqref="G2:G15">
    <cfRule type="expression" priority="2" aboveAverage="0" equalAverage="0" bottom="0" percent="0" rank="0" text="" dxfId="0">
      <formula>G2="FALLA"</formula>
    </cfRule>
    <cfRule type="expression" priority="3" aboveAverage="0" equalAverage="0" bottom="0" percent="0" rank="0" text="" dxfId="1">
      <formula>G2="OK"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3" min="2" style="0" width="8.71"/>
    <col collapsed="false" customWidth="true" hidden="false" outlineLevel="0" max="4" min="4" style="0" width="16.72"/>
    <col collapsed="false" customWidth="true" hidden="false" outlineLevel="0" max="5" min="5" style="0" width="14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customFormat="false" ht="15" hidden="false" customHeight="false" outlineLevel="0" collapsed="false">
      <c r="A2" s="3" t="n">
        <v>1</v>
      </c>
      <c r="B2" s="3" t="n">
        <v>180.423</v>
      </c>
      <c r="C2" s="3" t="n">
        <v>176.484</v>
      </c>
      <c r="D2" s="4" t="n">
        <f aca="false">AVERAGE(B2:C2)</f>
        <v>178.4535</v>
      </c>
      <c r="E2" s="4" t="n">
        <f aca="false">ABS(B2-C2)</f>
        <v>3.93899999999999</v>
      </c>
      <c r="F2" s="4" t="n">
        <f aca="false">ABS(C2-MEDIAN($B$2:$B$3))</f>
        <v>3.93249999999998</v>
      </c>
    </row>
    <row r="3" customFormat="false" ht="15" hidden="false" customHeight="false" outlineLevel="0" collapsed="false">
      <c r="A3" s="3" t="n">
        <v>2</v>
      </c>
      <c r="B3" s="3" t="n">
        <v>180.41</v>
      </c>
      <c r="C3" s="3" t="n">
        <v>176.491</v>
      </c>
      <c r="D3" s="4" t="n">
        <f aca="false">AVERAGE(B3:C3)</f>
        <v>178.4505</v>
      </c>
      <c r="E3" s="4" t="n">
        <f aca="false">ABS(B3-C3)</f>
        <v>3.91899999999998</v>
      </c>
      <c r="F3" s="4" t="n">
        <f aca="false">ABS(C3-MEDIAN($B$2:$B$3))</f>
        <v>3.92549999999997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5.71"/>
    <col collapsed="false" customWidth="true" hidden="false" outlineLevel="0" max="3" min="3" style="0" width="45.71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</row>
    <row r="2" customFormat="false" ht="15" hidden="false" customHeight="false" outlineLevel="0" collapsed="false">
      <c r="A2" s="3" t="s">
        <v>92</v>
      </c>
      <c r="B2" s="4" t="n">
        <f aca="false">COUNT(datos_estabilidad!$B$2:$B$3)</f>
        <v>2</v>
      </c>
      <c r="C2" s="3" t="s">
        <v>93</v>
      </c>
    </row>
    <row r="3" customFormat="false" ht="15" hidden="false" customHeight="false" outlineLevel="0" collapsed="false">
      <c r="A3" s="3" t="s">
        <v>94</v>
      </c>
      <c r="B3" s="4" t="n">
        <f aca="false">2</f>
        <v>2</v>
      </c>
      <c r="C3" s="3" t="s">
        <v>95</v>
      </c>
    </row>
    <row r="4" customFormat="false" ht="15" hidden="false" customHeight="false" outlineLevel="0" collapsed="false">
      <c r="A4" s="3" t="s">
        <v>96</v>
      </c>
      <c r="B4" s="4" t="n">
        <f aca="false">AVERAGE(datos_estabilidad!$B$2:$B$3,datos_estabilidad!$C$2:$C$3)</f>
        <v>178.452</v>
      </c>
      <c r="C4" s="3" t="s">
        <v>97</v>
      </c>
    </row>
    <row r="5" customFormat="false" ht="15" hidden="false" customHeight="false" outlineLevel="0" collapsed="false">
      <c r="A5" s="3" t="s">
        <v>98</v>
      </c>
      <c r="B5" s="4" t="n">
        <f aca="false">MEDIAN(datos_estabilidad!$B$2:$B$3)</f>
        <v>180.4165</v>
      </c>
      <c r="C5" s="3" t="s">
        <v>99</v>
      </c>
    </row>
    <row r="6" customFormat="false" ht="15" hidden="false" customHeight="false" outlineLevel="0" collapsed="false">
      <c r="A6" s="3" t="s">
        <v>100</v>
      </c>
      <c r="B6" s="4" t="n">
        <f aca="false">VAR(datos_estabilidad!$D$2:$D$3)</f>
        <v>4.50000000004297E-006</v>
      </c>
      <c r="C6" s="3" t="s">
        <v>101</v>
      </c>
    </row>
    <row r="7" customFormat="false" ht="15" hidden="false" customHeight="false" outlineLevel="0" collapsed="false">
      <c r="A7" s="3" t="s">
        <v>102</v>
      </c>
      <c r="B7" s="4" t="n">
        <f aca="false">SQRT(SUMSQ(datos_estabilidad!$E$2:$E$3)/(2*B2))</f>
        <v>2.77823154182655</v>
      </c>
      <c r="C7" s="3" t="s">
        <v>39</v>
      </c>
    </row>
    <row r="8" customFormat="false" ht="15" hidden="false" customHeight="false" outlineLevel="0" collapsed="false">
      <c r="A8" s="3" t="s">
        <v>103</v>
      </c>
      <c r="B8" s="4" t="n">
        <f aca="false">ABS(B6-(B7^2/B3))</f>
        <v>3.85928074999998</v>
      </c>
      <c r="C8" s="3" t="s">
        <v>104</v>
      </c>
    </row>
    <row r="9" customFormat="false" ht="15" hidden="false" customHeight="false" outlineLevel="0" collapsed="false">
      <c r="A9" s="3" t="s">
        <v>105</v>
      </c>
      <c r="B9" s="4" t="n">
        <f aca="false">SQRT(B8)</f>
        <v>1.96450521760569</v>
      </c>
      <c r="C9" s="3" t="s">
        <v>106</v>
      </c>
    </row>
    <row r="10" customFormat="false" ht="15" hidden="false" customHeight="false" outlineLevel="0" collapsed="false">
      <c r="A10" s="3" t="s">
        <v>107</v>
      </c>
      <c r="B10" s="4" t="n">
        <f aca="false">ABS(B4-calc_homogeneidad!$B$4)</f>
        <v>0.220049999999986</v>
      </c>
      <c r="C10" s="3" t="s">
        <v>108</v>
      </c>
    </row>
    <row r="11" customFormat="false" ht="15" hidden="false" customHeight="false" outlineLevel="0" collapsed="false">
      <c r="A11" s="3" t="s">
        <v>109</v>
      </c>
      <c r="B11" s="4" t="n">
        <f aca="false">IFERROR(stdev.s(datos_homogeneidad!$B$2:$C$3)/SQRT(COUNT(datos_homogeneidad!$B$2:$C$3)),0)</f>
        <v>0</v>
      </c>
      <c r="C11" s="3" t="s">
        <v>110</v>
      </c>
    </row>
    <row r="12" customFormat="false" ht="15" hidden="false" customHeight="false" outlineLevel="0" collapsed="false">
      <c r="A12" s="3" t="s">
        <v>111</v>
      </c>
      <c r="B12" s="4" t="n">
        <f aca="false">IFERROR(stdev.s(datos_estabilidad!$B$2:$C$3)/SQRT(COUNT(datos_estabilidad!$B$2:$C$3)),0)</f>
        <v>0</v>
      </c>
      <c r="C12" s="3" t="s">
        <v>112</v>
      </c>
    </row>
    <row r="13" customFormat="false" ht="15" hidden="false" customHeight="false" outlineLevel="0" collapsed="false">
      <c r="A13" s="3" t="s">
        <v>60</v>
      </c>
      <c r="B13" s="4" t="n">
        <f aca="false">calc_homogeneidad!$B$18</f>
        <v>0.859769249999996</v>
      </c>
      <c r="C13" s="3" t="s">
        <v>113</v>
      </c>
    </row>
    <row r="14" customFormat="false" ht="15" hidden="false" customHeight="false" outlineLevel="0" collapsed="false">
      <c r="A14" s="3" t="s">
        <v>114</v>
      </c>
      <c r="B14" s="4" t="n">
        <f aca="false">B13+2*SQRT(B11^2+B12^2)</f>
        <v>0.859769249999996</v>
      </c>
      <c r="C14" s="3" t="s">
        <v>115</v>
      </c>
    </row>
    <row r="15" customFormat="false" ht="15" hidden="false" customHeight="false" outlineLevel="0" collapsed="false">
      <c r="A15" s="3" t="s">
        <v>62</v>
      </c>
      <c r="B15" s="4" t="n">
        <f aca="false">calc_homogeneidad!$B$19</f>
        <v>0.883889055000001</v>
      </c>
      <c r="C15" s="3" t="s">
        <v>116</v>
      </c>
    </row>
    <row r="16" customFormat="false" ht="15" hidden="false" customHeight="false" outlineLevel="0" collapsed="false">
      <c r="A16" s="3" t="s">
        <v>117</v>
      </c>
      <c r="B16" s="4" t="n">
        <f aca="false">B15+2*SQRT(B11^2+B12^2)</f>
        <v>0.883889055000001</v>
      </c>
      <c r="C16" s="3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34.71"/>
    <col collapsed="false" customWidth="true" hidden="false" outlineLevel="0" max="2" min="2" style="0" width="24.71"/>
    <col collapsed="false" customWidth="true" hidden="false" outlineLevel="0" max="5" min="3" style="0" width="9.71"/>
    <col collapsed="false" customWidth="true" hidden="false" outlineLevel="0" max="6" min="6" style="0" width="10.71"/>
    <col collapsed="false" customWidth="true" hidden="false" outlineLevel="0" max="7" min="7" style="0" width="6.71"/>
  </cols>
  <sheetData>
    <row r="1" customFormat="false" ht="15" hidden="false" customHeight="false" outlineLevel="0" collapsed="false">
      <c r="A1" s="2" t="s">
        <v>64</v>
      </c>
      <c r="B1" s="2" t="s">
        <v>25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</row>
    <row r="2" customFormat="false" ht="15" hidden="false" customHeight="false" outlineLevel="0" collapsed="false">
      <c r="A2" s="3" t="s">
        <v>70</v>
      </c>
      <c r="B2" s="3" t="s">
        <v>71</v>
      </c>
      <c r="C2" s="3" t="s">
        <v>72</v>
      </c>
      <c r="D2" s="4" t="n">
        <f aca="false">calc_homogeneidad!$B$2</f>
        <v>10</v>
      </c>
      <c r="E2" s="4" t="n">
        <f aca="false">IFERROR(ABS(D2-C2),"")</f>
        <v>0</v>
      </c>
      <c r="F2" s="3" t="n">
        <v>0.0005</v>
      </c>
      <c r="G2" s="5" t="str">
        <f aca="false">IF(E2="","Pendiente",IF(E2&lt;=F2,"OK","FALLA"))</f>
        <v>OK</v>
      </c>
    </row>
    <row r="3" customFormat="false" ht="15" hidden="false" customHeight="false" outlineLevel="0" collapsed="false">
      <c r="A3" s="3" t="s">
        <v>70</v>
      </c>
      <c r="B3" s="3" t="s">
        <v>73</v>
      </c>
      <c r="C3" s="3" t="s">
        <v>74</v>
      </c>
      <c r="D3" s="4" t="n">
        <f aca="false">calc_homogeneidad!$B$3</f>
        <v>2</v>
      </c>
      <c r="E3" s="4" t="n">
        <f aca="false">IFERROR(ABS(D3-C3),"")</f>
        <v>0</v>
      </c>
      <c r="F3" s="3" t="n">
        <v>0.0005</v>
      </c>
      <c r="G3" s="5" t="str">
        <f aca="false">IF(E3="","Pendiente",IF(E3&lt;=F3,"OK","FALLA"))</f>
        <v>OK</v>
      </c>
    </row>
    <row r="4" customFormat="false" ht="15" hidden="false" customHeight="false" outlineLevel="0" collapsed="false">
      <c r="A4" s="3" t="s">
        <v>70</v>
      </c>
      <c r="B4" s="3" t="s">
        <v>75</v>
      </c>
      <c r="C4" s="3" t="s">
        <v>76</v>
      </c>
      <c r="D4" s="4" t="n">
        <f aca="false">ROUND(calc_homogeneidad!$B$5,4)</f>
        <v>176.538</v>
      </c>
      <c r="E4" s="4" t="n">
        <f aca="false">IFERROR(ABS(D4-C4),"")</f>
        <v>0</v>
      </c>
      <c r="F4" s="3" t="n">
        <v>0.0005</v>
      </c>
      <c r="G4" s="5" t="str">
        <f aca="false">IF(E4="","Pendiente",IF(E4&lt;=F4,"OK","FALLA"))</f>
        <v>OK</v>
      </c>
    </row>
    <row r="5" customFormat="false" ht="15" hidden="false" customHeight="false" outlineLevel="0" collapsed="false">
      <c r="A5" s="3" t="s">
        <v>70</v>
      </c>
      <c r="B5" s="3" t="s">
        <v>77</v>
      </c>
      <c r="C5" s="3" t="s">
        <v>78</v>
      </c>
      <c r="D5" s="4" t="n">
        <f aca="false">ROUND(calc_homogeneidad!$B$11,4)</f>
        <v>2.8659</v>
      </c>
      <c r="E5" s="4" t="n">
        <f aca="false">IFERROR(ABS(D5-C5),"")</f>
        <v>0</v>
      </c>
      <c r="F5" s="3" t="n">
        <v>0.0005</v>
      </c>
      <c r="G5" s="5" t="str">
        <f aca="false">IF(E5="","Pendiente",IF(E5&lt;=F5,"OK","FALLA"))</f>
        <v>OK</v>
      </c>
    </row>
    <row r="6" customFormat="false" ht="15" hidden="false" customHeight="false" outlineLevel="0" collapsed="false">
      <c r="A6" s="3" t="s">
        <v>70</v>
      </c>
      <c r="B6" s="3" t="s">
        <v>79</v>
      </c>
      <c r="C6" s="3" t="s">
        <v>78</v>
      </c>
      <c r="D6" s="4" t="n">
        <f aca="false">ROUND(calc_homogeneidad!$B$11,4)</f>
        <v>2.8659</v>
      </c>
      <c r="E6" s="4" t="n">
        <f aca="false">IFERROR(ABS(D6-C6),"")</f>
        <v>0</v>
      </c>
      <c r="F6" s="3" t="n">
        <v>0.0005</v>
      </c>
      <c r="G6" s="5" t="str">
        <f aca="false">IF(E6="","Pendiente",IF(E6&lt;=F6,"OK","FALLA"))</f>
        <v>OK</v>
      </c>
    </row>
    <row r="7" customFormat="false" ht="15" hidden="false" customHeight="false" outlineLevel="0" collapsed="false">
      <c r="A7" s="3" t="s">
        <v>70</v>
      </c>
      <c r="B7" s="3" t="s">
        <v>48</v>
      </c>
      <c r="C7" s="3" t="s">
        <v>80</v>
      </c>
      <c r="D7" s="4" t="n">
        <f aca="false">ROUND(calc_homogeneidad!$B$12,4)</f>
        <v>1.1328</v>
      </c>
      <c r="E7" s="4" t="n">
        <f aca="false">IFERROR(ABS(D7-C7),"")</f>
        <v>0</v>
      </c>
      <c r="F7" s="3" t="n">
        <v>0.0005</v>
      </c>
      <c r="G7" s="5" t="str">
        <f aca="false">IF(E7="","Pendiente",IF(E7&lt;=F7,"OK","FALLA"))</f>
        <v>OK</v>
      </c>
    </row>
    <row r="8" customFormat="false" ht="15" hidden="false" customHeight="false" outlineLevel="0" collapsed="false">
      <c r="A8" s="3" t="s">
        <v>81</v>
      </c>
      <c r="B8" s="3" t="s">
        <v>71</v>
      </c>
      <c r="C8" s="3" t="s">
        <v>72</v>
      </c>
      <c r="D8" s="4" t="n">
        <f aca="false">calc_homogeneidad!$B$2</f>
        <v>10</v>
      </c>
      <c r="E8" s="4" t="n">
        <f aca="false">IFERROR(ABS(D8-C8),"")</f>
        <v>0</v>
      </c>
      <c r="F8" s="3" t="n">
        <v>0.0005</v>
      </c>
      <c r="G8" s="5" t="str">
        <f aca="false">IF(E8="","Pendiente",IF(E8&lt;=F8,"OK","FALLA"))</f>
        <v>OK</v>
      </c>
    </row>
    <row r="9" customFormat="false" ht="15" hidden="false" customHeight="false" outlineLevel="0" collapsed="false">
      <c r="A9" s="3" t="s">
        <v>81</v>
      </c>
      <c r="B9" s="3" t="s">
        <v>73</v>
      </c>
      <c r="C9" s="3" t="s">
        <v>74</v>
      </c>
      <c r="D9" s="4" t="n">
        <f aca="false">calc_homogeneidad!$B$3</f>
        <v>2</v>
      </c>
      <c r="E9" s="4" t="n">
        <f aca="false">IFERROR(ABS(D9-C9),"")</f>
        <v>0</v>
      </c>
      <c r="F9" s="3" t="n">
        <v>0.0005</v>
      </c>
      <c r="G9" s="5" t="str">
        <f aca="false">IF(E9="","Pendiente",IF(E9&lt;=F9,"OK","FALLA"))</f>
        <v>OK</v>
      </c>
    </row>
    <row r="10" customFormat="false" ht="15" hidden="false" customHeight="false" outlineLevel="0" collapsed="false">
      <c r="A10" s="3" t="s">
        <v>81</v>
      </c>
      <c r="B10" s="3" t="s">
        <v>75</v>
      </c>
      <c r="C10" s="3" t="s">
        <v>76</v>
      </c>
      <c r="D10" s="4" t="n">
        <f aca="false">ROUND(calc_homogeneidad!$B$5,4)</f>
        <v>176.538</v>
      </c>
      <c r="E10" s="4" t="n">
        <f aca="false">IFERROR(ABS(D10-C10),"")</f>
        <v>0</v>
      </c>
      <c r="F10" s="3" t="n">
        <v>0.0005</v>
      </c>
      <c r="G10" s="5" t="str">
        <f aca="false">IF(E10="","Pendiente",IF(E10&lt;=F10,"OK","FALLA"))</f>
        <v>OK</v>
      </c>
    </row>
    <row r="11" customFormat="false" ht="15" hidden="false" customHeight="false" outlineLevel="0" collapsed="false">
      <c r="A11" s="3" t="s">
        <v>81</v>
      </c>
      <c r="B11" s="3" t="s">
        <v>82</v>
      </c>
      <c r="C11" s="3" t="s">
        <v>83</v>
      </c>
      <c r="D11" s="4" t="n">
        <f aca="false">ROUND(calc_homogeneidad!$B$13,4)</f>
        <v>176.4295</v>
      </c>
      <c r="E11" s="4" t="n">
        <f aca="false">IFERROR(ABS(D11-C11),"")</f>
        <v>0</v>
      </c>
      <c r="F11" s="3" t="n">
        <v>0.0005</v>
      </c>
      <c r="G11" s="5" t="str">
        <f aca="false">IF(E11="","Pendiente",IF(E11&lt;=F11,"OK","FALLA"))</f>
        <v>OK</v>
      </c>
    </row>
    <row r="12" customFormat="false" ht="15" hidden="false" customHeight="false" outlineLevel="0" collapsed="false">
      <c r="A12" s="3" t="s">
        <v>81</v>
      </c>
      <c r="B12" s="3" t="s">
        <v>84</v>
      </c>
      <c r="C12" s="3" t="s">
        <v>85</v>
      </c>
      <c r="D12" s="4" t="n">
        <f aca="false">ROUND(calc_homogeneidad!$B$14,4)</f>
        <v>180.404</v>
      </c>
      <c r="E12" s="4" t="n">
        <f aca="false">IFERROR(ABS(D12-C12),"")</f>
        <v>0</v>
      </c>
      <c r="F12" s="3" t="n">
        <v>0.0005</v>
      </c>
      <c r="G12" s="5" t="str">
        <f aca="false">IF(E12="","Pendiente",IF(E12&lt;=F12,"OK","FALLA"))</f>
        <v>OK</v>
      </c>
    </row>
    <row r="13" customFormat="false" ht="15" hidden="false" customHeight="false" outlineLevel="0" collapsed="false">
      <c r="A13" s="3" t="s">
        <v>81</v>
      </c>
      <c r="B13" s="3" t="s">
        <v>86</v>
      </c>
      <c r="C13" s="3" t="s">
        <v>87</v>
      </c>
      <c r="D13" s="4" t="n">
        <f aca="false">ROUND(calc_homogeneidad!$B$15,4)</f>
        <v>3.9745</v>
      </c>
      <c r="E13" s="4" t="n">
        <f aca="false">IFERROR(ABS(D13-C13),"")</f>
        <v>0</v>
      </c>
      <c r="F13" s="3" t="n">
        <v>0.0005</v>
      </c>
      <c r="G13" s="5" t="str">
        <f aca="false">IF(E13="","Pendiente",IF(E13&lt;=F13,"OK","FALLA"))</f>
        <v>OK</v>
      </c>
    </row>
    <row r="14" customFormat="false" ht="15" hidden="false" customHeight="false" outlineLevel="0" collapsed="false">
      <c r="A14" s="3" t="s">
        <v>81</v>
      </c>
      <c r="B14" s="3" t="s">
        <v>88</v>
      </c>
      <c r="C14" s="3" t="s">
        <v>89</v>
      </c>
      <c r="D14" s="4" t="n">
        <f aca="false">ROUND(calc_homogeneidad!$B$16,4)</f>
        <v>2.9463</v>
      </c>
      <c r="E14" s="4" t="n">
        <f aca="false">IFERROR(ABS(D14-C14),"")</f>
        <v>0</v>
      </c>
      <c r="F14" s="3" t="n">
        <v>0.0005</v>
      </c>
      <c r="G14" s="5" t="str">
        <f aca="false">IF(E14="","Pendiente",IF(E14&lt;=F14,"OK","FALLA"))</f>
        <v>OK</v>
      </c>
    </row>
    <row r="15" customFormat="false" ht="15" hidden="false" customHeight="false" outlineLevel="0" collapsed="false">
      <c r="A15" s="3" t="s">
        <v>81</v>
      </c>
      <c r="B15" s="3" t="s">
        <v>90</v>
      </c>
      <c r="C15" s="3" t="s">
        <v>91</v>
      </c>
      <c r="D15" s="4" t="n">
        <f aca="false">ROUND(calc_homogeneidad!$B$17,4)</f>
        <v>1.1646</v>
      </c>
      <c r="E15" s="4" t="n">
        <f aca="false">IFERROR(ABS(D15-C15),"")</f>
        <v>0</v>
      </c>
      <c r="F15" s="3" t="n">
        <v>0.0005</v>
      </c>
      <c r="G15" s="5" t="str">
        <f aca="false">IF(E15="","Pendiente",IF(E15&lt;=F15,"OK","FALLA"))</f>
        <v>OK</v>
      </c>
    </row>
  </sheetData>
  <conditionalFormatting sqref="G2:G15">
    <cfRule type="expression" priority="2" aboveAverage="0" equalAverage="0" bottom="0" percent="0" rank="0" text="" dxfId="0">
      <formula>G2="FALLA"</formula>
    </cfRule>
    <cfRule type="expression" priority="3" aboveAverage="0" equalAverage="0" bottom="0" percent="0" rank="0" text="" dxfId="1">
      <formula>G2="OK"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9.71"/>
    <col collapsed="false" customWidth="true" hidden="false" outlineLevel="0" max="3" min="3" style="0" width="12.71"/>
    <col collapsed="false" customWidth="true" hidden="false" outlineLevel="0" max="6" min="4" style="0" width="11.71"/>
    <col collapsed="false" customWidth="true" hidden="false" outlineLevel="0" max="7" min="7" style="0" width="9.71"/>
  </cols>
  <sheetData>
    <row r="1" customFormat="false" ht="15" hidden="false" customHeight="false" outlineLevel="0" collapsed="false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</row>
    <row r="2" customFormat="false" ht="15" hidden="false" customHeight="false" outlineLevel="0" collapsed="false">
      <c r="A2" s="3" t="s">
        <v>126</v>
      </c>
      <c r="B2" s="3" t="s">
        <v>8</v>
      </c>
      <c r="C2" s="3" t="s">
        <v>6</v>
      </c>
      <c r="D2" s="3" t="n">
        <v>178.722333333333</v>
      </c>
      <c r="E2" s="3" t="n">
        <v>1.96266666666667</v>
      </c>
      <c r="F2" s="3" t="n">
        <v>0.334578968165167</v>
      </c>
      <c r="G2" s="4" t="n">
        <f aca="false">IFERROR(F2/SQRT(3),"")</f>
        <v>0.193169257335346</v>
      </c>
    </row>
    <row r="3" customFormat="false" ht="15" hidden="false" customHeight="false" outlineLevel="0" collapsed="false">
      <c r="A3" s="3" t="s">
        <v>127</v>
      </c>
      <c r="B3" s="3" t="s">
        <v>8</v>
      </c>
      <c r="C3" s="3" t="s">
        <v>6</v>
      </c>
      <c r="D3" s="3" t="n">
        <v>177.981666666667</v>
      </c>
      <c r="E3" s="3" t="n">
        <v>2</v>
      </c>
      <c r="F3" s="3" t="n">
        <v>0.414358062941227</v>
      </c>
      <c r="G3" s="4" t="n">
        <f aca="false">IFERROR(F3/SQRT(3),"")</f>
        <v>0.239229739180009</v>
      </c>
    </row>
    <row r="4" customFormat="false" ht="15" hidden="false" customHeight="false" outlineLevel="0" collapsed="false">
      <c r="A4" s="3" t="s">
        <v>128</v>
      </c>
      <c r="B4" s="3" t="s">
        <v>8</v>
      </c>
      <c r="C4" s="3" t="s">
        <v>6</v>
      </c>
      <c r="D4" s="3" t="n">
        <v>179.610333333333</v>
      </c>
      <c r="E4" s="3" t="n">
        <v>1.30033333333333</v>
      </c>
      <c r="F4" s="3" t="n">
        <v>0.380761268150885</v>
      </c>
      <c r="G4" s="4" t="n">
        <f aca="false">IFERROR(F4/SQRT(3),"")</f>
        <v>0.219832620663897</v>
      </c>
    </row>
    <row r="5" customFormat="false" ht="15" hidden="false" customHeight="false" outlineLevel="0" collapsed="false">
      <c r="A5" s="3" t="s">
        <v>129</v>
      </c>
      <c r="B5" s="3" t="s">
        <v>8</v>
      </c>
      <c r="C5" s="3" t="s">
        <v>6</v>
      </c>
      <c r="D5" s="3" t="n">
        <v>178.669666666667</v>
      </c>
      <c r="E5" s="3" t="n">
        <v>2.00566666666667</v>
      </c>
      <c r="F5" s="3" t="n">
        <v>0.343658946047462</v>
      </c>
      <c r="G5" s="4" t="n">
        <f aca="false">IFERROR(F5/SQRT(3),"")</f>
        <v>0.198411585009925</v>
      </c>
    </row>
    <row r="6" customFormat="false" ht="15" hidden="false" customHeight="false" outlineLevel="0" collapsed="false">
      <c r="A6" s="3" t="s">
        <v>130</v>
      </c>
      <c r="B6" s="3" t="s">
        <v>8</v>
      </c>
      <c r="C6" s="3" t="s">
        <v>6</v>
      </c>
      <c r="D6" s="3" t="n">
        <v>177.849</v>
      </c>
      <c r="E6" s="3" t="n">
        <v>2</v>
      </c>
      <c r="F6" s="3" t="n">
        <v>0.140176574676736</v>
      </c>
      <c r="G6" s="4" t="n">
        <f aca="false">IFERROR(F6/SQRT(3),"")</f>
        <v>0.0809309831236932</v>
      </c>
    </row>
    <row r="7" customFormat="false" ht="15" hidden="false" customHeight="false" outlineLevel="0" collapsed="false">
      <c r="A7" s="3" t="s">
        <v>131</v>
      </c>
      <c r="B7" s="3" t="s">
        <v>8</v>
      </c>
      <c r="C7" s="3" t="s">
        <v>6</v>
      </c>
      <c r="D7" s="3" t="n">
        <v>178.039333333333</v>
      </c>
      <c r="E7" s="3" t="n">
        <v>2.06566666666667</v>
      </c>
      <c r="F7" s="3" t="n">
        <v>0.00796067860388924</v>
      </c>
      <c r="G7" s="4" t="n">
        <f aca="false">IFERROR(F7/SQRT(3),"")</f>
        <v>0.00459609993488755</v>
      </c>
    </row>
    <row r="8" customFormat="false" ht="15" hidden="false" customHeight="false" outlineLevel="0" collapsed="false">
      <c r="A8" s="3" t="s">
        <v>132</v>
      </c>
      <c r="B8" s="3" t="s">
        <v>8</v>
      </c>
      <c r="C8" s="3" t="s">
        <v>6</v>
      </c>
      <c r="D8" s="3" t="n">
        <v>179.197666666667</v>
      </c>
      <c r="E8" s="3" t="n">
        <v>1.89233333333333</v>
      </c>
      <c r="F8" s="3" t="n">
        <v>0.23561544179908</v>
      </c>
      <c r="G8" s="4" t="n">
        <f aca="false">IFERROR(F8/SQRT(3),"")</f>
        <v>0.136032638747931</v>
      </c>
    </row>
    <row r="9" customFormat="false" ht="15" hidden="false" customHeight="false" outlineLevel="0" collapsed="false">
      <c r="A9" s="3" t="s">
        <v>133</v>
      </c>
      <c r="B9" s="3" t="s">
        <v>8</v>
      </c>
      <c r="C9" s="3" t="s">
        <v>6</v>
      </c>
      <c r="D9" s="3" t="n">
        <v>178.035</v>
      </c>
      <c r="E9" s="3" t="n">
        <v>2.02666666666667</v>
      </c>
      <c r="F9" s="3" t="n">
        <v>0.0202713981208594</v>
      </c>
      <c r="G9" s="4" t="n">
        <f aca="false">IFERROR(F9/SQRT(3),"")</f>
        <v>0.0117036971619282</v>
      </c>
    </row>
    <row r="10" customFormat="false" ht="15" hidden="false" customHeight="false" outlineLevel="0" collapsed="false">
      <c r="A10" s="3" t="s">
        <v>134</v>
      </c>
      <c r="B10" s="3" t="s">
        <v>8</v>
      </c>
      <c r="C10" s="3" t="s">
        <v>6</v>
      </c>
      <c r="D10" s="3" t="n">
        <v>178.152666666667</v>
      </c>
      <c r="E10" s="3" t="n">
        <v>1.94533333333333</v>
      </c>
      <c r="F10" s="3" t="n">
        <v>0.498874552692086</v>
      </c>
      <c r="G10" s="4" t="n">
        <f aca="false">IFERROR(F10/SQRT(3),"")</f>
        <v>0.28802535728863</v>
      </c>
    </row>
    <row r="11" customFormat="false" ht="15" hidden="false" customHeight="false" outlineLevel="0" collapsed="false">
      <c r="A11" s="3" t="s">
        <v>135</v>
      </c>
      <c r="B11" s="3" t="s">
        <v>8</v>
      </c>
      <c r="C11" s="3" t="s">
        <v>6</v>
      </c>
      <c r="D11" s="3" t="n">
        <v>178.290666666667</v>
      </c>
      <c r="E11" s="3" t="n">
        <v>1.99733333333333</v>
      </c>
      <c r="F11" s="3" t="n">
        <v>0.355089886356072</v>
      </c>
      <c r="G11" s="4" t="n">
        <f aca="false">IFERROR(F11/SQRT(3),"")</f>
        <v>0.205011241474192</v>
      </c>
    </row>
    <row r="12" customFormat="false" ht="15" hidden="false" customHeight="false" outlineLevel="0" collapsed="false">
      <c r="A12" s="3" t="s">
        <v>136</v>
      </c>
      <c r="B12" s="3" t="s">
        <v>8</v>
      </c>
      <c r="C12" s="3" t="s">
        <v>6</v>
      </c>
      <c r="D12" s="3" t="n">
        <v>177.998333333333</v>
      </c>
      <c r="E12" s="3" t="n">
        <v>1.923</v>
      </c>
      <c r="F12" s="3" t="n">
        <v>0.46269516615466</v>
      </c>
      <c r="G12" s="4" t="n">
        <f aca="false">IFERROR(F12/SQRT(3),"")</f>
        <v>0.267137178732132</v>
      </c>
    </row>
    <row r="13" customFormat="false" ht="15" hidden="false" customHeight="false" outlineLevel="0" collapsed="false">
      <c r="A13" s="3" t="s">
        <v>137</v>
      </c>
      <c r="B13" s="3" t="s">
        <v>8</v>
      </c>
      <c r="C13" s="3" t="s">
        <v>6</v>
      </c>
      <c r="D13" s="3" t="n">
        <v>178.265333333333</v>
      </c>
      <c r="E13" s="3" t="n">
        <v>2.064</v>
      </c>
      <c r="F13" s="3" t="n">
        <v>0.236972481628575</v>
      </c>
      <c r="G13" s="4" t="n">
        <f aca="false">IFERROR(F13/SQRT(3),"")</f>
        <v>0.136816126058791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2.71"/>
    <col collapsed="false" customWidth="true" hidden="false" outlineLevel="0" max="3" min="3" style="0" width="14.71"/>
    <col collapsed="false" customWidth="true" hidden="false" outlineLevel="0" max="4" min="4" style="0" width="10.71"/>
    <col collapsed="false" customWidth="true" hidden="false" outlineLevel="0" max="6" min="5" style="0" width="8.71"/>
    <col collapsed="false" customWidth="true" hidden="false" outlineLevel="0" max="7" min="7" style="0" width="11.71"/>
  </cols>
  <sheetData>
    <row r="1" customFormat="false" ht="15" hidden="false" customHeight="false" outlineLevel="0" collapsed="false">
      <c r="A1" s="2" t="s">
        <v>120</v>
      </c>
      <c r="B1" s="2" t="s">
        <v>121</v>
      </c>
      <c r="C1" s="2" t="s">
        <v>119</v>
      </c>
      <c r="D1" s="2" t="s">
        <v>122</v>
      </c>
      <c r="E1" s="2" t="s">
        <v>123</v>
      </c>
      <c r="F1" s="2" t="s">
        <v>138</v>
      </c>
      <c r="G1" s="2" t="s">
        <v>139</v>
      </c>
    </row>
    <row r="2" customFormat="false" ht="15" hidden="false" customHeight="false" outlineLevel="0" collapsed="false">
      <c r="A2" s="3" t="s">
        <v>8</v>
      </c>
      <c r="B2" s="3" t="s">
        <v>6</v>
      </c>
      <c r="C2" s="3" t="s">
        <v>140</v>
      </c>
      <c r="D2" s="3" t="n">
        <v>177.614</v>
      </c>
      <c r="E2" s="3" t="n">
        <v>1.781</v>
      </c>
      <c r="F2" s="4" t="n">
        <f aca="false">AVERAGE(D2)</f>
        <v>177.614</v>
      </c>
      <c r="G2" s="4" t="str">
        <f aca="false">IFERROR(stdev.s(D2)/SQRT(COUNT(D2)),"")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1.71"/>
    <col collapsed="false" customWidth="true" hidden="false" outlineLevel="0" max="3" min="3" style="0" width="9.71"/>
  </cols>
  <sheetData>
    <row r="1" customFormat="false" ht="15" hidden="false" customHeight="false" outlineLevel="0" collapsed="false">
      <c r="A1" s="2" t="s">
        <v>141</v>
      </c>
      <c r="B1" s="2" t="s">
        <v>26</v>
      </c>
    </row>
    <row r="2" customFormat="false" ht="15" hidden="false" customHeight="false" outlineLevel="0" collapsed="false">
      <c r="A2" s="3" t="s">
        <v>142</v>
      </c>
      <c r="B2" s="4" t="n">
        <f aca="false">MEDIAN(algoritmo_A_iteraciones!B11:B22)</f>
        <v>178.209</v>
      </c>
    </row>
    <row r="3" customFormat="false" ht="15" hidden="false" customHeight="false" outlineLevel="0" collapsed="false">
      <c r="A3" s="3" t="s">
        <v>143</v>
      </c>
      <c r="B3" s="4" t="n">
        <f aca="false">1.483*MEDIAN(C11:C22)</f>
        <v>0.324777000000012</v>
      </c>
    </row>
    <row r="4" customFormat="false" ht="15" hidden="false" customHeight="false" outlineLevel="0" collapsed="false">
      <c r="A4" s="3" t="s">
        <v>68</v>
      </c>
      <c r="B4" s="3" t="n">
        <v>1E-010</v>
      </c>
    </row>
    <row r="5" customFormat="false" ht="15" hidden="false" customHeight="false" outlineLevel="0" collapsed="false">
      <c r="A5" s="3" t="s">
        <v>144</v>
      </c>
      <c r="B5" s="4" t="n">
        <f aca="false">COUNT(algoritmo_A_iteraciones!B11:B22)</f>
        <v>12</v>
      </c>
    </row>
    <row r="6" customFormat="false" ht="15" hidden="false" customHeight="false" outlineLevel="0" collapsed="false">
      <c r="A6" s="3" t="s">
        <v>145</v>
      </c>
      <c r="B6" s="5" t="n">
        <f aca="false">IFERROR(MATCH(1,AC27:AC76,0),50)</f>
        <v>14</v>
      </c>
    </row>
    <row r="7" customFormat="false" ht="15" hidden="false" customHeight="false" outlineLevel="0" collapsed="false">
      <c r="A7" s="3" t="s">
        <v>146</v>
      </c>
      <c r="B7" s="4" t="n">
        <f aca="false">INDEX(S27:S76,$B$6)</f>
        <v>178.348436434102</v>
      </c>
    </row>
    <row r="8" customFormat="false" ht="15" hidden="false" customHeight="false" outlineLevel="0" collapsed="false">
      <c r="A8" s="3" t="s">
        <v>147</v>
      </c>
      <c r="B8" s="4" t="n">
        <f aca="false">INDEX(T27:T76,$B$6)</f>
        <v>0.494016722256306</v>
      </c>
    </row>
    <row r="9" customFormat="false" ht="15" hidden="false" customHeight="false" outlineLevel="0" collapsed="false">
      <c r="A9" s="3" t="s">
        <v>148</v>
      </c>
      <c r="B9" s="4" t="n">
        <f aca="false">--(INDEX(G27:G76,$B$6)&lt;&gt;$B$11)+--(INDEX(H27:H76,$B$6)&lt;&gt;$B$12)+--(INDEX(I27:I76,$B$6)&lt;&gt;$B$13)+--(INDEX(J27:J76,$B$6)&lt;&gt;$B$14)+--(INDEX(K27:K76,$B$6)&lt;&gt;$B$15)+--(INDEX(L27:L76,$B$6)&lt;&gt;$B$16)+--(INDEX(M27:M76,$B$6)&lt;&gt;$B$17)+--(INDEX(N27:N76,$B$6)&lt;&gt;$B$18)+--(INDEX(O27:O76,$B$6)&lt;&gt;$B$19)+--(INDEX(P27:P76,$B$6)&lt;&gt;$B$20)+--(INDEX(Q27:Q76,$B$6)&lt;&gt;$B$21)+--(INDEX(R27:R76,$B$6)&lt;&gt;$B$22)</f>
        <v>2</v>
      </c>
    </row>
    <row r="10" customFormat="false" ht="15" hidden="false" customHeight="false" outlineLevel="0" collapsed="false">
      <c r="A10" s="2" t="s">
        <v>119</v>
      </c>
      <c r="B10" s="2" t="s">
        <v>149</v>
      </c>
      <c r="C10" s="2" t="s">
        <v>150</v>
      </c>
    </row>
    <row r="11" customFormat="false" ht="15" hidden="false" customHeight="false" outlineLevel="0" collapsed="false">
      <c r="A11" s="3" t="s">
        <v>126</v>
      </c>
      <c r="B11" s="3" t="n">
        <v>178.722333333333</v>
      </c>
      <c r="C11" s="4" t="n">
        <f aca="false">ABS(B11-$B$2)</f>
        <v>0.513333333333009</v>
      </c>
    </row>
    <row r="12" customFormat="false" ht="15" hidden="false" customHeight="false" outlineLevel="0" collapsed="false">
      <c r="A12" s="3" t="s">
        <v>127</v>
      </c>
      <c r="B12" s="3" t="n">
        <v>177.981666666667</v>
      </c>
      <c r="C12" s="4" t="n">
        <f aca="false">ABS(B12-$B$2)</f>
        <v>0.227333333333007</v>
      </c>
    </row>
    <row r="13" customFormat="false" ht="15" hidden="false" customHeight="false" outlineLevel="0" collapsed="false">
      <c r="A13" s="3" t="s">
        <v>128</v>
      </c>
      <c r="B13" s="3" t="n">
        <v>179.610333333333</v>
      </c>
      <c r="C13" s="4" t="n">
        <f aca="false">ABS(B13-$B$2)</f>
        <v>1.40133333333299</v>
      </c>
    </row>
    <row r="14" customFormat="false" ht="15" hidden="false" customHeight="false" outlineLevel="0" collapsed="false">
      <c r="A14" s="3" t="s">
        <v>129</v>
      </c>
      <c r="B14" s="3" t="n">
        <v>178.669666666667</v>
      </c>
      <c r="C14" s="4" t="n">
        <f aca="false">ABS(B14-$B$2)</f>
        <v>0.460666666667009</v>
      </c>
    </row>
    <row r="15" customFormat="false" ht="15" hidden="false" customHeight="false" outlineLevel="0" collapsed="false">
      <c r="A15" s="3" t="s">
        <v>130</v>
      </c>
      <c r="B15" s="3" t="n">
        <v>177.849</v>
      </c>
      <c r="C15" s="4" t="n">
        <f aca="false">ABS(B15-$B$2)</f>
        <v>0.360000000000014</v>
      </c>
    </row>
    <row r="16" customFormat="false" ht="15" hidden="false" customHeight="false" outlineLevel="0" collapsed="false">
      <c r="A16" s="3" t="s">
        <v>131</v>
      </c>
      <c r="B16" s="3" t="n">
        <v>178.039333333333</v>
      </c>
      <c r="C16" s="4" t="n">
        <f aca="false">ABS(B16-$B$2)</f>
        <v>0.169666666667013</v>
      </c>
    </row>
    <row r="17" customFormat="false" ht="15" hidden="false" customHeight="false" outlineLevel="0" collapsed="false">
      <c r="A17" s="3" t="s">
        <v>132</v>
      </c>
      <c r="B17" s="3" t="n">
        <v>179.197666666667</v>
      </c>
      <c r="C17" s="4" t="n">
        <f aca="false">ABS(B17-$B$2)</f>
        <v>0.988666666667001</v>
      </c>
    </row>
    <row r="18" customFormat="false" ht="15" hidden="false" customHeight="false" outlineLevel="0" collapsed="false">
      <c r="A18" s="3" t="s">
        <v>133</v>
      </c>
      <c r="B18" s="3" t="n">
        <v>178.035</v>
      </c>
      <c r="C18" s="4" t="n">
        <f aca="false">ABS(B18-$B$2)</f>
        <v>0.174000000000007</v>
      </c>
    </row>
    <row r="19" customFormat="false" ht="15" hidden="false" customHeight="false" outlineLevel="0" collapsed="false">
      <c r="A19" s="3" t="s">
        <v>134</v>
      </c>
      <c r="B19" s="3" t="n">
        <v>178.152666666667</v>
      </c>
      <c r="C19" s="4" t="n">
        <f aca="false">ABS(B19-$B$2)</f>
        <v>0.0563333333330149</v>
      </c>
    </row>
    <row r="20" customFormat="false" ht="15" hidden="false" customHeight="false" outlineLevel="0" collapsed="false">
      <c r="A20" s="3" t="s">
        <v>135</v>
      </c>
      <c r="B20" s="3" t="n">
        <v>178.290666666667</v>
      </c>
      <c r="C20" s="4" t="n">
        <f aca="false">ABS(B20-$B$2)</f>
        <v>0.0816666666669903</v>
      </c>
    </row>
    <row r="21" customFormat="false" ht="15" hidden="false" customHeight="false" outlineLevel="0" collapsed="false">
      <c r="A21" s="3" t="s">
        <v>136</v>
      </c>
      <c r="B21" s="3" t="n">
        <v>177.998333333333</v>
      </c>
      <c r="C21" s="4" t="n">
        <f aca="false">ABS(B21-$B$2)</f>
        <v>0.210666666667009</v>
      </c>
    </row>
    <row r="22" customFormat="false" ht="15" hidden="false" customHeight="false" outlineLevel="0" collapsed="false">
      <c r="A22" s="3" t="s">
        <v>137</v>
      </c>
      <c r="B22" s="3" t="n">
        <v>178.265333333333</v>
      </c>
      <c r="C22" s="4" t="n">
        <f aca="false">ABS(B22-$B$2)</f>
        <v>0.0563333333329865</v>
      </c>
    </row>
    <row r="26" customFormat="false" ht="15" hidden="false" customHeight="false" outlineLevel="0" collapsed="false">
      <c r="A26" s="2" t="s">
        <v>151</v>
      </c>
      <c r="B26" s="2" t="s">
        <v>152</v>
      </c>
      <c r="C26" s="2" t="s">
        <v>153</v>
      </c>
      <c r="D26" s="2" t="s">
        <v>154</v>
      </c>
      <c r="E26" s="2" t="s">
        <v>155</v>
      </c>
      <c r="F26" s="2" t="s">
        <v>156</v>
      </c>
      <c r="G26" s="2" t="s">
        <v>157</v>
      </c>
      <c r="H26" s="2" t="s">
        <v>158</v>
      </c>
      <c r="I26" s="2" t="s">
        <v>159</v>
      </c>
      <c r="J26" s="2" t="s">
        <v>160</v>
      </c>
      <c r="K26" s="2" t="s">
        <v>161</v>
      </c>
      <c r="L26" s="2" t="s">
        <v>162</v>
      </c>
      <c r="M26" s="2" t="s">
        <v>163</v>
      </c>
      <c r="N26" s="2" t="s">
        <v>164</v>
      </c>
      <c r="O26" s="2" t="s">
        <v>165</v>
      </c>
      <c r="P26" s="2" t="s">
        <v>166</v>
      </c>
      <c r="Q26" s="2" t="s">
        <v>167</v>
      </c>
      <c r="R26" s="2" t="s">
        <v>168</v>
      </c>
      <c r="S26" s="2" t="s">
        <v>169</v>
      </c>
      <c r="T26" s="2" t="s">
        <v>170</v>
      </c>
      <c r="U26" s="2" t="s">
        <v>171</v>
      </c>
      <c r="V26" s="2" t="s">
        <v>172</v>
      </c>
      <c r="W26" s="2" t="s">
        <v>173</v>
      </c>
      <c r="X26" s="2" t="s">
        <v>174</v>
      </c>
      <c r="Y26" s="2" t="s">
        <v>175</v>
      </c>
      <c r="Z26" s="2" t="s">
        <v>176</v>
      </c>
      <c r="AA26" s="2" t="s">
        <v>177</v>
      </c>
      <c r="AB26" s="2" t="s">
        <v>178</v>
      </c>
      <c r="AC26" s="2" t="s">
        <v>179</v>
      </c>
    </row>
    <row r="27" customFormat="false" ht="15" hidden="false" customHeight="false" outlineLevel="0" collapsed="false">
      <c r="A27" s="0" t="n">
        <v>1</v>
      </c>
      <c r="B27" s="6" t="n">
        <f aca="false">$B$2</f>
        <v>178.209</v>
      </c>
      <c r="C27" s="6" t="n">
        <f aca="false">$B$3</f>
        <v>0.324777000000012</v>
      </c>
      <c r="D27" s="6" t="n">
        <f aca="false">1.5*C27</f>
        <v>0.487165500000018</v>
      </c>
      <c r="E27" s="6" t="n">
        <f aca="false">B27-D27</f>
        <v>177.7218345</v>
      </c>
      <c r="F27" s="6" t="n">
        <f aca="false">B27+D27</f>
        <v>178.6961655</v>
      </c>
      <c r="G27" s="6" t="n">
        <f aca="false">MIN(MAX($B$11,$E27),$F27)</f>
        <v>178.6961655</v>
      </c>
      <c r="H27" s="6" t="n">
        <f aca="false">MIN(MAX($B$12,$E27),$F27)</f>
        <v>177.981666666667</v>
      </c>
      <c r="I27" s="6" t="n">
        <f aca="false">MIN(MAX($B$13,$E27),$F27)</f>
        <v>178.6961655</v>
      </c>
      <c r="J27" s="6" t="n">
        <f aca="false">MIN(MAX($B$14,$E27),$F27)</f>
        <v>178.669666666667</v>
      </c>
      <c r="K27" s="6" t="n">
        <f aca="false">MIN(MAX($B$15,$E27),$F27)</f>
        <v>177.849</v>
      </c>
      <c r="L27" s="6" t="n">
        <f aca="false">MIN(MAX($B$16,$E27),$F27)</f>
        <v>178.039333333333</v>
      </c>
      <c r="M27" s="6" t="n">
        <f aca="false">MIN(MAX($B$17,$E27),$F27)</f>
        <v>178.6961655</v>
      </c>
      <c r="N27" s="6" t="n">
        <f aca="false">MIN(MAX($B$18,$E27),$F27)</f>
        <v>178.035</v>
      </c>
      <c r="O27" s="6" t="n">
        <f aca="false">MIN(MAX($B$19,$E27),$F27)</f>
        <v>178.152666666667</v>
      </c>
      <c r="P27" s="6" t="n">
        <f aca="false">MIN(MAX($B$20,$E27),$F27)</f>
        <v>178.290666666667</v>
      </c>
      <c r="Q27" s="6" t="n">
        <f aca="false">MIN(MAX($B$21,$E27),$F27)</f>
        <v>177.998333333333</v>
      </c>
      <c r="R27" s="6" t="n">
        <f aca="false">MIN(MAX($B$22,$E27),$F27)</f>
        <v>178.265333333333</v>
      </c>
      <c r="S27" s="6" t="n">
        <f aca="false">AVERAGE(G27:R27)</f>
        <v>178.280846930556</v>
      </c>
      <c r="T27" s="6" t="n">
        <f aca="false">1.134*STDEV(G27:R27)</f>
        <v>0.368252609255591</v>
      </c>
      <c r="U27" s="6" t="n">
        <f aca="false">ABS(S27-B27)</f>
        <v>0.0718469305556084</v>
      </c>
      <c r="V27" s="6" t="n">
        <f aca="false">ABS(T27-C27)</f>
        <v>0.0434756092555786</v>
      </c>
      <c r="W27" s="6" t="n">
        <f aca="false">IF(OR(NOT(ISNUMBER(B27)),B27=0),B27,ROUND(B27,MAX(3-1-INT(LOG10(ABS(B27))),0)))</f>
        <v>178</v>
      </c>
      <c r="X27" s="6" t="n">
        <f aca="false">IF(OR(NOT(ISNUMBER(C27)),C27=0),C27,ROUND(C27,MAX(3-1-INT(LOG10(ABS(C27))),0)))</f>
        <v>0.325</v>
      </c>
      <c r="Y27" s="6" t="n">
        <f aca="false">IF(OR(NOT(ISNUMBER(S27)),S27=0),S27,ROUND(S27,MAX(3-1-INT(LOG10(ABS(S27))),0)))</f>
        <v>178</v>
      </c>
      <c r="Z27" s="6" t="n">
        <f aca="false">IF(OR(NOT(ISNUMBER(T27)),T27=0),T27,ROUND(T27,MAX(3-1-INT(LOG10(ABS(T27))),0)))</f>
        <v>0.368</v>
      </c>
      <c r="AA27" s="7" t="n">
        <f aca="false">IF(AND(Y27=W27,Z27=X27),1,0)</f>
        <v>0</v>
      </c>
      <c r="AB27" s="7" t="n">
        <f aca="false">IF(AND(U27&lt;$B$4,V27&lt;$B$4),1,0)</f>
        <v>0</v>
      </c>
      <c r="AC27" s="7" t="n">
        <f aca="false">IF(OR(AA27=1,AB27=1),1,0)</f>
        <v>0</v>
      </c>
    </row>
    <row r="28" customFormat="false" ht="15" hidden="false" customHeight="false" outlineLevel="0" collapsed="false">
      <c r="A28" s="0" t="n">
        <v>2</v>
      </c>
      <c r="B28" s="6" t="n">
        <f aca="false">S27</f>
        <v>178.280846930556</v>
      </c>
      <c r="C28" s="6" t="n">
        <f aca="false">T27</f>
        <v>0.368252609255591</v>
      </c>
      <c r="D28" s="6" t="n">
        <f aca="false">1.5*C28</f>
        <v>0.552378913883386</v>
      </c>
      <c r="E28" s="6" t="n">
        <f aca="false">B28-D28</f>
        <v>177.728468016672</v>
      </c>
      <c r="F28" s="6" t="n">
        <f aca="false">B28+D28</f>
        <v>178.833225844439</v>
      </c>
      <c r="G28" s="6" t="n">
        <f aca="false">MIN(MAX($B$11,$E28),$F28)</f>
        <v>178.722333333333</v>
      </c>
      <c r="H28" s="6" t="n">
        <f aca="false">MIN(MAX($B$12,$E28),$F28)</f>
        <v>177.981666666667</v>
      </c>
      <c r="I28" s="6" t="n">
        <f aca="false">MIN(MAX($B$13,$E28),$F28)</f>
        <v>178.833225844439</v>
      </c>
      <c r="J28" s="6" t="n">
        <f aca="false">MIN(MAX($B$14,$E28),$F28)</f>
        <v>178.669666666667</v>
      </c>
      <c r="K28" s="6" t="n">
        <f aca="false">MIN(MAX($B$15,$E28),$F28)</f>
        <v>177.849</v>
      </c>
      <c r="L28" s="6" t="n">
        <f aca="false">MIN(MAX($B$16,$E28),$F28)</f>
        <v>178.039333333333</v>
      </c>
      <c r="M28" s="6" t="n">
        <f aca="false">MIN(MAX($B$17,$E28),$F28)</f>
        <v>178.833225844439</v>
      </c>
      <c r="N28" s="6" t="n">
        <f aca="false">MIN(MAX($B$18,$E28),$F28)</f>
        <v>178.035</v>
      </c>
      <c r="O28" s="6" t="n">
        <f aca="false">MIN(MAX($B$19,$E28),$F28)</f>
        <v>178.152666666667</v>
      </c>
      <c r="P28" s="6" t="n">
        <f aca="false">MIN(MAX($B$20,$E28),$F28)</f>
        <v>178.290666666667</v>
      </c>
      <c r="Q28" s="6" t="n">
        <f aca="false">MIN(MAX($B$21,$E28),$F28)</f>
        <v>177.998333333333</v>
      </c>
      <c r="R28" s="6" t="n">
        <f aca="false">MIN(MAX($B$22,$E28),$F28)</f>
        <v>178.265333333333</v>
      </c>
      <c r="S28" s="6" t="n">
        <f aca="false">AVERAGE(G28:R28)</f>
        <v>178.305870974073</v>
      </c>
      <c r="T28" s="6" t="n">
        <f aca="false">1.134*STDEV(G28:R28)</f>
        <v>0.410321264904818</v>
      </c>
      <c r="U28" s="6" t="n">
        <f aca="false">ABS(S28-B28)</f>
        <v>0.0250240435175613</v>
      </c>
      <c r="V28" s="6" t="n">
        <f aca="false">ABS(T28-C28)</f>
        <v>0.0420686556492267</v>
      </c>
      <c r="W28" s="6" t="n">
        <f aca="false">IF(OR(NOT(ISNUMBER(B28)),B28=0),B28,ROUND(B28,MAX(3-1-INT(LOG10(ABS(B28))),0)))</f>
        <v>178</v>
      </c>
      <c r="X28" s="6" t="n">
        <f aca="false">IF(OR(NOT(ISNUMBER(C28)),C28=0),C28,ROUND(C28,MAX(3-1-INT(LOG10(ABS(C28))),0)))</f>
        <v>0.368</v>
      </c>
      <c r="Y28" s="6" t="n">
        <f aca="false">IF(OR(NOT(ISNUMBER(S28)),S28=0),S28,ROUND(S28,MAX(3-1-INT(LOG10(ABS(S28))),0)))</f>
        <v>178</v>
      </c>
      <c r="Z28" s="6" t="n">
        <f aca="false">IF(OR(NOT(ISNUMBER(T28)),T28=0),T28,ROUND(T28,MAX(3-1-INT(LOG10(ABS(T28))),0)))</f>
        <v>0.41</v>
      </c>
      <c r="AA28" s="7" t="n">
        <f aca="false">IF(AND(Y28=W28,Z28=X28),1,0)</f>
        <v>0</v>
      </c>
      <c r="AB28" s="7" t="n">
        <f aca="false">IF(AND(U28&lt;$B$4,V28&lt;$B$4),1,0)</f>
        <v>0</v>
      </c>
      <c r="AC28" s="7" t="n">
        <f aca="false">IF(OR(AA28=1,AB28=1),1,0)</f>
        <v>0</v>
      </c>
    </row>
    <row r="29" customFormat="false" ht="15" hidden="false" customHeight="false" outlineLevel="0" collapsed="false">
      <c r="A29" s="0" t="n">
        <v>3</v>
      </c>
      <c r="B29" s="6" t="n">
        <f aca="false">S28</f>
        <v>178.305870974073</v>
      </c>
      <c r="C29" s="6" t="n">
        <f aca="false">T28</f>
        <v>0.410321264904818</v>
      </c>
      <c r="D29" s="6" t="n">
        <f aca="false">1.5*C29</f>
        <v>0.615481897357227</v>
      </c>
      <c r="E29" s="6" t="n">
        <f aca="false">B29-D29</f>
        <v>177.690389076716</v>
      </c>
      <c r="F29" s="6" t="n">
        <f aca="false">B29+D29</f>
        <v>178.92135287143</v>
      </c>
      <c r="G29" s="6" t="n">
        <f aca="false">MIN(MAX($B$11,$E29),$F29)</f>
        <v>178.722333333333</v>
      </c>
      <c r="H29" s="6" t="n">
        <f aca="false">MIN(MAX($B$12,$E29),$F29)</f>
        <v>177.981666666667</v>
      </c>
      <c r="I29" s="6" t="n">
        <f aca="false">MIN(MAX($B$13,$E29),$F29)</f>
        <v>178.92135287143</v>
      </c>
      <c r="J29" s="6" t="n">
        <f aca="false">MIN(MAX($B$14,$E29),$F29)</f>
        <v>178.669666666667</v>
      </c>
      <c r="K29" s="6" t="n">
        <f aca="false">MIN(MAX($B$15,$E29),$F29)</f>
        <v>177.849</v>
      </c>
      <c r="L29" s="6" t="n">
        <f aca="false">MIN(MAX($B$16,$E29),$F29)</f>
        <v>178.039333333333</v>
      </c>
      <c r="M29" s="6" t="n">
        <f aca="false">MIN(MAX($B$17,$E29),$F29)</f>
        <v>178.92135287143</v>
      </c>
      <c r="N29" s="6" t="n">
        <f aca="false">MIN(MAX($B$18,$E29),$F29)</f>
        <v>178.035</v>
      </c>
      <c r="O29" s="6" t="n">
        <f aca="false">MIN(MAX($B$19,$E29),$F29)</f>
        <v>178.152666666667</v>
      </c>
      <c r="P29" s="6" t="n">
        <f aca="false">MIN(MAX($B$20,$E29),$F29)</f>
        <v>178.290666666667</v>
      </c>
      <c r="Q29" s="6" t="n">
        <f aca="false">MIN(MAX($B$21,$E29),$F29)</f>
        <v>177.998333333333</v>
      </c>
      <c r="R29" s="6" t="n">
        <f aca="false">MIN(MAX($B$22,$E29),$F29)</f>
        <v>178.265333333333</v>
      </c>
      <c r="S29" s="6" t="n">
        <f aca="false">AVERAGE(G29:R29)</f>
        <v>178.320558811905</v>
      </c>
      <c r="T29" s="6" t="n">
        <f aca="false">1.134*STDEV(G29:R29)</f>
        <v>0.437731704187615</v>
      </c>
      <c r="U29" s="6" t="n">
        <f aca="false">ABS(S29-B29)</f>
        <v>0.0146878378318718</v>
      </c>
      <c r="V29" s="6" t="n">
        <f aca="false">ABS(T29-C29)</f>
        <v>0.0274104392827971</v>
      </c>
      <c r="W29" s="6" t="n">
        <f aca="false">IF(OR(NOT(ISNUMBER(B29)),B29=0),B29,ROUND(B29,MAX(3-1-INT(LOG10(ABS(B29))),0)))</f>
        <v>178</v>
      </c>
      <c r="X29" s="6" t="n">
        <f aca="false">IF(OR(NOT(ISNUMBER(C29)),C29=0),C29,ROUND(C29,MAX(3-1-INT(LOG10(ABS(C29))),0)))</f>
        <v>0.41</v>
      </c>
      <c r="Y29" s="6" t="n">
        <f aca="false">IF(OR(NOT(ISNUMBER(S29)),S29=0),S29,ROUND(S29,MAX(3-1-INT(LOG10(ABS(S29))),0)))</f>
        <v>178</v>
      </c>
      <c r="Z29" s="6" t="n">
        <f aca="false">IF(OR(NOT(ISNUMBER(T29)),T29=0),T29,ROUND(T29,MAX(3-1-INT(LOG10(ABS(T29))),0)))</f>
        <v>0.438</v>
      </c>
      <c r="AA29" s="7" t="n">
        <f aca="false">IF(AND(Y29=W29,Z29=X29),1,0)</f>
        <v>0</v>
      </c>
      <c r="AB29" s="7" t="n">
        <f aca="false">IF(AND(U29&lt;$B$4,V29&lt;$B$4),1,0)</f>
        <v>0</v>
      </c>
      <c r="AC29" s="7" t="n">
        <f aca="false">IF(OR(AA29=1,AB29=1),1,0)</f>
        <v>0</v>
      </c>
    </row>
    <row r="30" customFormat="false" ht="15" hidden="false" customHeight="false" outlineLevel="0" collapsed="false">
      <c r="A30" s="0" t="n">
        <v>4</v>
      </c>
      <c r="B30" s="6" t="n">
        <f aca="false">S29</f>
        <v>178.320558811905</v>
      </c>
      <c r="C30" s="6" t="n">
        <f aca="false">T29</f>
        <v>0.437731704187615</v>
      </c>
      <c r="D30" s="6" t="n">
        <f aca="false">1.5*C30</f>
        <v>0.656597556281422</v>
      </c>
      <c r="E30" s="6" t="n">
        <f aca="false">B30-D30</f>
        <v>177.663961255624</v>
      </c>
      <c r="F30" s="6" t="n">
        <f aca="false">B30+D30</f>
        <v>178.977156368186</v>
      </c>
      <c r="G30" s="6" t="n">
        <f aca="false">MIN(MAX($B$11,$E30),$F30)</f>
        <v>178.722333333333</v>
      </c>
      <c r="H30" s="6" t="n">
        <f aca="false">MIN(MAX($B$12,$E30),$F30)</f>
        <v>177.981666666667</v>
      </c>
      <c r="I30" s="6" t="n">
        <f aca="false">MIN(MAX($B$13,$E30),$F30)</f>
        <v>178.977156368186</v>
      </c>
      <c r="J30" s="6" t="n">
        <f aca="false">MIN(MAX($B$14,$E30),$F30)</f>
        <v>178.669666666667</v>
      </c>
      <c r="K30" s="6" t="n">
        <f aca="false">MIN(MAX($B$15,$E30),$F30)</f>
        <v>177.849</v>
      </c>
      <c r="L30" s="6" t="n">
        <f aca="false">MIN(MAX($B$16,$E30),$F30)</f>
        <v>178.039333333333</v>
      </c>
      <c r="M30" s="6" t="n">
        <f aca="false">MIN(MAX($B$17,$E30),$F30)</f>
        <v>178.977156368186</v>
      </c>
      <c r="N30" s="6" t="n">
        <f aca="false">MIN(MAX($B$18,$E30),$F30)</f>
        <v>178.035</v>
      </c>
      <c r="O30" s="6" t="n">
        <f aca="false">MIN(MAX($B$19,$E30),$F30)</f>
        <v>178.152666666667</v>
      </c>
      <c r="P30" s="6" t="n">
        <f aca="false">MIN(MAX($B$20,$E30),$F30)</f>
        <v>178.290666666667</v>
      </c>
      <c r="Q30" s="6" t="n">
        <f aca="false">MIN(MAX($B$21,$E30),$F30)</f>
        <v>177.998333333333</v>
      </c>
      <c r="R30" s="6" t="n">
        <f aca="false">MIN(MAX($B$22,$E30),$F30)</f>
        <v>178.265333333333</v>
      </c>
      <c r="S30" s="6" t="n">
        <f aca="false">AVERAGE(G30:R30)</f>
        <v>178.329859394698</v>
      </c>
      <c r="T30" s="6" t="n">
        <f aca="false">1.134*STDEV(G30:R30)</f>
        <v>0.455953308902696</v>
      </c>
      <c r="U30" s="6" t="n">
        <f aca="false">ABS(S30-B30)</f>
        <v>0.00930058279271862</v>
      </c>
      <c r="V30" s="6" t="n">
        <f aca="false">ABS(T30-C30)</f>
        <v>0.0182216047150809</v>
      </c>
      <c r="W30" s="6" t="n">
        <f aca="false">IF(OR(NOT(ISNUMBER(B30)),B30=0),B30,ROUND(B30,MAX(3-1-INT(LOG10(ABS(B30))),0)))</f>
        <v>178</v>
      </c>
      <c r="X30" s="6" t="n">
        <f aca="false">IF(OR(NOT(ISNUMBER(C30)),C30=0),C30,ROUND(C30,MAX(3-1-INT(LOG10(ABS(C30))),0)))</f>
        <v>0.438</v>
      </c>
      <c r="Y30" s="6" t="n">
        <f aca="false">IF(OR(NOT(ISNUMBER(S30)),S30=0),S30,ROUND(S30,MAX(3-1-INT(LOG10(ABS(S30))),0)))</f>
        <v>178</v>
      </c>
      <c r="Z30" s="6" t="n">
        <f aca="false">IF(OR(NOT(ISNUMBER(T30)),T30=0),T30,ROUND(T30,MAX(3-1-INT(LOG10(ABS(T30))),0)))</f>
        <v>0.456</v>
      </c>
      <c r="AA30" s="7" t="n">
        <f aca="false">IF(AND(Y30=W30,Z30=X30),1,0)</f>
        <v>0</v>
      </c>
      <c r="AB30" s="7" t="n">
        <f aca="false">IF(AND(U30&lt;$B$4,V30&lt;$B$4),1,0)</f>
        <v>0</v>
      </c>
      <c r="AC30" s="7" t="n">
        <f aca="false">IF(OR(AA30=1,AB30=1),1,0)</f>
        <v>0</v>
      </c>
    </row>
    <row r="31" customFormat="false" ht="15" hidden="false" customHeight="false" outlineLevel="0" collapsed="false">
      <c r="A31" s="0" t="n">
        <v>5</v>
      </c>
      <c r="B31" s="6" t="n">
        <f aca="false">S30</f>
        <v>178.329859394698</v>
      </c>
      <c r="C31" s="6" t="n">
        <f aca="false">T30</f>
        <v>0.455953308902696</v>
      </c>
      <c r="D31" s="6" t="n">
        <f aca="false">1.5*C31</f>
        <v>0.683929963354044</v>
      </c>
      <c r="E31" s="6" t="n">
        <f aca="false">B31-D31</f>
        <v>177.645929431344</v>
      </c>
      <c r="F31" s="6" t="n">
        <f aca="false">B31+D31</f>
        <v>179.013789358052</v>
      </c>
      <c r="G31" s="6" t="n">
        <f aca="false">MIN(MAX($B$11,$E31),$F31)</f>
        <v>178.722333333333</v>
      </c>
      <c r="H31" s="6" t="n">
        <f aca="false">MIN(MAX($B$12,$E31),$F31)</f>
        <v>177.981666666667</v>
      </c>
      <c r="I31" s="6" t="n">
        <f aca="false">MIN(MAX($B$13,$E31),$F31)</f>
        <v>179.013789358052</v>
      </c>
      <c r="J31" s="6" t="n">
        <f aca="false">MIN(MAX($B$14,$E31),$F31)</f>
        <v>178.669666666667</v>
      </c>
      <c r="K31" s="6" t="n">
        <f aca="false">MIN(MAX($B$15,$E31),$F31)</f>
        <v>177.849</v>
      </c>
      <c r="L31" s="6" t="n">
        <f aca="false">MIN(MAX($B$16,$E31),$F31)</f>
        <v>178.039333333333</v>
      </c>
      <c r="M31" s="6" t="n">
        <f aca="false">MIN(MAX($B$17,$E31),$F31)</f>
        <v>179.013789358052</v>
      </c>
      <c r="N31" s="6" t="n">
        <f aca="false">MIN(MAX($B$18,$E31),$F31)</f>
        <v>178.035</v>
      </c>
      <c r="O31" s="6" t="n">
        <f aca="false">MIN(MAX($B$19,$E31),$F31)</f>
        <v>178.152666666667</v>
      </c>
      <c r="P31" s="6" t="n">
        <f aca="false">MIN(MAX($B$20,$E31),$F31)</f>
        <v>178.290666666667</v>
      </c>
      <c r="Q31" s="6" t="n">
        <f aca="false">MIN(MAX($B$21,$E31),$F31)</f>
        <v>177.998333333333</v>
      </c>
      <c r="R31" s="6" t="n">
        <f aca="false">MIN(MAX($B$22,$E31),$F31)</f>
        <v>178.265333333333</v>
      </c>
      <c r="S31" s="6" t="n">
        <f aca="false">AVERAGE(G31:R31)</f>
        <v>178.335964893009</v>
      </c>
      <c r="T31" s="6" t="n">
        <f aca="false">1.134*STDEV(G31:R31)</f>
        <v>0.468234241612335</v>
      </c>
      <c r="U31" s="6" t="n">
        <f aca="false">ABS(S31-B31)</f>
        <v>0.00610549831085905</v>
      </c>
      <c r="V31" s="6" t="n">
        <f aca="false">ABS(T31-C31)</f>
        <v>0.0122809327096394</v>
      </c>
      <c r="W31" s="6" t="n">
        <f aca="false">IF(OR(NOT(ISNUMBER(B31)),B31=0),B31,ROUND(B31,MAX(3-1-INT(LOG10(ABS(B31))),0)))</f>
        <v>178</v>
      </c>
      <c r="X31" s="6" t="n">
        <f aca="false">IF(OR(NOT(ISNUMBER(C31)),C31=0),C31,ROUND(C31,MAX(3-1-INT(LOG10(ABS(C31))),0)))</f>
        <v>0.456</v>
      </c>
      <c r="Y31" s="6" t="n">
        <f aca="false">IF(OR(NOT(ISNUMBER(S31)),S31=0),S31,ROUND(S31,MAX(3-1-INT(LOG10(ABS(S31))),0)))</f>
        <v>178</v>
      </c>
      <c r="Z31" s="6" t="n">
        <f aca="false">IF(OR(NOT(ISNUMBER(T31)),T31=0),T31,ROUND(T31,MAX(3-1-INT(LOG10(ABS(T31))),0)))</f>
        <v>0.468</v>
      </c>
      <c r="AA31" s="7" t="n">
        <f aca="false">IF(AND(Y31=W31,Z31=X31),1,0)</f>
        <v>0</v>
      </c>
      <c r="AB31" s="7" t="n">
        <f aca="false">IF(AND(U31&lt;$B$4,V31&lt;$B$4),1,0)</f>
        <v>0</v>
      </c>
      <c r="AC31" s="7" t="n">
        <f aca="false">IF(OR(AA31=1,AB31=1),1,0)</f>
        <v>0</v>
      </c>
    </row>
    <row r="32" customFormat="false" ht="15" hidden="false" customHeight="false" outlineLevel="0" collapsed="false">
      <c r="A32" s="0" t="n">
        <v>6</v>
      </c>
      <c r="B32" s="6" t="n">
        <f aca="false">S31</f>
        <v>178.335964893009</v>
      </c>
      <c r="C32" s="6" t="n">
        <f aca="false">T31</f>
        <v>0.468234241612335</v>
      </c>
      <c r="D32" s="6" t="n">
        <f aca="false">1.5*C32</f>
        <v>0.702351362418503</v>
      </c>
      <c r="E32" s="6" t="n">
        <f aca="false">B32-D32</f>
        <v>177.63361353059</v>
      </c>
      <c r="F32" s="6" t="n">
        <f aca="false">B32+D32</f>
        <v>179.038316255427</v>
      </c>
      <c r="G32" s="6" t="n">
        <f aca="false">MIN(MAX($B$11,$E32),$F32)</f>
        <v>178.722333333333</v>
      </c>
      <c r="H32" s="6" t="n">
        <f aca="false">MIN(MAX($B$12,$E32),$F32)</f>
        <v>177.981666666667</v>
      </c>
      <c r="I32" s="6" t="n">
        <f aca="false">MIN(MAX($B$13,$E32),$F32)</f>
        <v>179.038316255427</v>
      </c>
      <c r="J32" s="6" t="n">
        <f aca="false">MIN(MAX($B$14,$E32),$F32)</f>
        <v>178.669666666667</v>
      </c>
      <c r="K32" s="6" t="n">
        <f aca="false">MIN(MAX($B$15,$E32),$F32)</f>
        <v>177.849</v>
      </c>
      <c r="L32" s="6" t="n">
        <f aca="false">MIN(MAX($B$16,$E32),$F32)</f>
        <v>178.039333333333</v>
      </c>
      <c r="M32" s="6" t="n">
        <f aca="false">MIN(MAX($B$17,$E32),$F32)</f>
        <v>179.038316255427</v>
      </c>
      <c r="N32" s="6" t="n">
        <f aca="false">MIN(MAX($B$18,$E32),$F32)</f>
        <v>178.035</v>
      </c>
      <c r="O32" s="6" t="n">
        <f aca="false">MIN(MAX($B$19,$E32),$F32)</f>
        <v>178.152666666667</v>
      </c>
      <c r="P32" s="6" t="n">
        <f aca="false">MIN(MAX($B$20,$E32),$F32)</f>
        <v>178.290666666667</v>
      </c>
      <c r="Q32" s="6" t="n">
        <f aca="false">MIN(MAX($B$21,$E32),$F32)</f>
        <v>177.998333333333</v>
      </c>
      <c r="R32" s="6" t="n">
        <f aca="false">MIN(MAX($B$22,$E32),$F32)</f>
        <v>178.265333333333</v>
      </c>
      <c r="S32" s="6" t="n">
        <f aca="false">AVERAGE(G32:R32)</f>
        <v>178.340052709238</v>
      </c>
      <c r="T32" s="6" t="n">
        <f aca="false">1.134*STDEV(G32:R32)</f>
        <v>0.476586479119474</v>
      </c>
      <c r="U32" s="6" t="n">
        <f aca="false">ABS(S32-B32)</f>
        <v>0.00408781622923016</v>
      </c>
      <c r="V32" s="6" t="n">
        <f aca="false">ABS(T32-C32)</f>
        <v>0.00835223750713848</v>
      </c>
      <c r="W32" s="6" t="n">
        <f aca="false">IF(OR(NOT(ISNUMBER(B32)),B32=0),B32,ROUND(B32,MAX(3-1-INT(LOG10(ABS(B32))),0)))</f>
        <v>178</v>
      </c>
      <c r="X32" s="6" t="n">
        <f aca="false">IF(OR(NOT(ISNUMBER(C32)),C32=0),C32,ROUND(C32,MAX(3-1-INT(LOG10(ABS(C32))),0)))</f>
        <v>0.468</v>
      </c>
      <c r="Y32" s="6" t="n">
        <f aca="false">IF(OR(NOT(ISNUMBER(S32)),S32=0),S32,ROUND(S32,MAX(3-1-INT(LOG10(ABS(S32))),0)))</f>
        <v>178</v>
      </c>
      <c r="Z32" s="6" t="n">
        <f aca="false">IF(OR(NOT(ISNUMBER(T32)),T32=0),T32,ROUND(T32,MAX(3-1-INT(LOG10(ABS(T32))),0)))</f>
        <v>0.477</v>
      </c>
      <c r="AA32" s="7" t="n">
        <f aca="false">IF(AND(Y32=W32,Z32=X32),1,0)</f>
        <v>0</v>
      </c>
      <c r="AB32" s="7" t="n">
        <f aca="false">IF(AND(U32&lt;$B$4,V32&lt;$B$4),1,0)</f>
        <v>0</v>
      </c>
      <c r="AC32" s="7" t="n">
        <f aca="false">IF(OR(AA32=1,AB32=1),1,0)</f>
        <v>0</v>
      </c>
    </row>
    <row r="33" customFormat="false" ht="15" hidden="false" customHeight="false" outlineLevel="0" collapsed="false">
      <c r="A33" s="0" t="n">
        <v>7</v>
      </c>
      <c r="B33" s="6" t="n">
        <f aca="false">S32</f>
        <v>178.340052709238</v>
      </c>
      <c r="C33" s="6" t="n">
        <f aca="false">T32</f>
        <v>0.476586479119474</v>
      </c>
      <c r="D33" s="6" t="n">
        <f aca="false">1.5*C33</f>
        <v>0.71487971867921</v>
      </c>
      <c r="E33" s="6" t="n">
        <f aca="false">B33-D33</f>
        <v>177.625172990559</v>
      </c>
      <c r="F33" s="6" t="n">
        <f aca="false">B33+D33</f>
        <v>179.054932427917</v>
      </c>
      <c r="G33" s="6" t="n">
        <f aca="false">MIN(MAX($B$11,$E33),$F33)</f>
        <v>178.722333333333</v>
      </c>
      <c r="H33" s="6" t="n">
        <f aca="false">MIN(MAX($B$12,$E33),$F33)</f>
        <v>177.981666666667</v>
      </c>
      <c r="I33" s="6" t="n">
        <f aca="false">MIN(MAX($B$13,$E33),$F33)</f>
        <v>179.054932427917</v>
      </c>
      <c r="J33" s="6" t="n">
        <f aca="false">MIN(MAX($B$14,$E33),$F33)</f>
        <v>178.669666666667</v>
      </c>
      <c r="K33" s="6" t="n">
        <f aca="false">MIN(MAX($B$15,$E33),$F33)</f>
        <v>177.849</v>
      </c>
      <c r="L33" s="6" t="n">
        <f aca="false">MIN(MAX($B$16,$E33),$F33)</f>
        <v>178.039333333333</v>
      </c>
      <c r="M33" s="6" t="n">
        <f aca="false">MIN(MAX($B$17,$E33),$F33)</f>
        <v>179.054932427917</v>
      </c>
      <c r="N33" s="6" t="n">
        <f aca="false">MIN(MAX($B$18,$E33),$F33)</f>
        <v>178.035</v>
      </c>
      <c r="O33" s="6" t="n">
        <f aca="false">MIN(MAX($B$19,$E33),$F33)</f>
        <v>178.152666666667</v>
      </c>
      <c r="P33" s="6" t="n">
        <f aca="false">MIN(MAX($B$20,$E33),$F33)</f>
        <v>178.290666666667</v>
      </c>
      <c r="Q33" s="6" t="n">
        <f aca="false">MIN(MAX($B$21,$E33),$F33)</f>
        <v>177.998333333333</v>
      </c>
      <c r="R33" s="6" t="n">
        <f aca="false">MIN(MAX($B$22,$E33),$F33)</f>
        <v>178.265333333333</v>
      </c>
      <c r="S33" s="6" t="n">
        <f aca="false">AVERAGE(G33:R33)</f>
        <v>178.34282207132</v>
      </c>
      <c r="T33" s="6" t="n">
        <f aca="false">1.134*STDEV(G33:R33)</f>
        <v>0.482300754137558</v>
      </c>
      <c r="U33" s="6" t="n">
        <f aca="false">ABS(S33-B33)</f>
        <v>0.00276936208163647</v>
      </c>
      <c r="V33" s="6" t="n">
        <f aca="false">ABS(T33-C33)</f>
        <v>0.00571427501808464</v>
      </c>
      <c r="W33" s="6" t="n">
        <f aca="false">IF(OR(NOT(ISNUMBER(B33)),B33=0),B33,ROUND(B33,MAX(3-1-INT(LOG10(ABS(B33))),0)))</f>
        <v>178</v>
      </c>
      <c r="X33" s="6" t="n">
        <f aca="false">IF(OR(NOT(ISNUMBER(C33)),C33=0),C33,ROUND(C33,MAX(3-1-INT(LOG10(ABS(C33))),0)))</f>
        <v>0.477</v>
      </c>
      <c r="Y33" s="6" t="n">
        <f aca="false">IF(OR(NOT(ISNUMBER(S33)),S33=0),S33,ROUND(S33,MAX(3-1-INT(LOG10(ABS(S33))),0)))</f>
        <v>178</v>
      </c>
      <c r="Z33" s="6" t="n">
        <f aca="false">IF(OR(NOT(ISNUMBER(T33)),T33=0),T33,ROUND(T33,MAX(3-1-INT(LOG10(ABS(T33))),0)))</f>
        <v>0.482</v>
      </c>
      <c r="AA33" s="7" t="n">
        <f aca="false">IF(AND(Y33=W33,Z33=X33),1,0)</f>
        <v>0</v>
      </c>
      <c r="AB33" s="7" t="n">
        <f aca="false">IF(AND(U33&lt;$B$4,V33&lt;$B$4),1,0)</f>
        <v>0</v>
      </c>
      <c r="AC33" s="7" t="n">
        <f aca="false">IF(OR(AA33=1,AB33=1),1,0)</f>
        <v>0</v>
      </c>
    </row>
    <row r="34" customFormat="false" ht="15" hidden="false" customHeight="false" outlineLevel="0" collapsed="false">
      <c r="A34" s="0" t="n">
        <v>8</v>
      </c>
      <c r="B34" s="6" t="n">
        <f aca="false">S33</f>
        <v>178.34282207132</v>
      </c>
      <c r="C34" s="6" t="n">
        <f aca="false">T33</f>
        <v>0.482300754137558</v>
      </c>
      <c r="D34" s="6" t="n">
        <f aca="false">1.5*C34</f>
        <v>0.723451131206337</v>
      </c>
      <c r="E34" s="6" t="n">
        <f aca="false">B34-D34</f>
        <v>177.619370940113</v>
      </c>
      <c r="F34" s="6" t="n">
        <f aca="false">B34+D34</f>
        <v>179.066273202526</v>
      </c>
      <c r="G34" s="6" t="n">
        <f aca="false">MIN(MAX($B$11,$E34),$F34)</f>
        <v>178.722333333333</v>
      </c>
      <c r="H34" s="6" t="n">
        <f aca="false">MIN(MAX($B$12,$E34),$F34)</f>
        <v>177.981666666667</v>
      </c>
      <c r="I34" s="6" t="n">
        <f aca="false">MIN(MAX($B$13,$E34),$F34)</f>
        <v>179.066273202526</v>
      </c>
      <c r="J34" s="6" t="n">
        <f aca="false">MIN(MAX($B$14,$E34),$F34)</f>
        <v>178.669666666667</v>
      </c>
      <c r="K34" s="6" t="n">
        <f aca="false">MIN(MAX($B$15,$E34),$F34)</f>
        <v>177.849</v>
      </c>
      <c r="L34" s="6" t="n">
        <f aca="false">MIN(MAX($B$16,$E34),$F34)</f>
        <v>178.039333333333</v>
      </c>
      <c r="M34" s="6" t="n">
        <f aca="false">MIN(MAX($B$17,$E34),$F34)</f>
        <v>179.066273202526</v>
      </c>
      <c r="N34" s="6" t="n">
        <f aca="false">MIN(MAX($B$18,$E34),$F34)</f>
        <v>178.035</v>
      </c>
      <c r="O34" s="6" t="n">
        <f aca="false">MIN(MAX($B$19,$E34),$F34)</f>
        <v>178.152666666667</v>
      </c>
      <c r="P34" s="6" t="n">
        <f aca="false">MIN(MAX($B$20,$E34),$F34)</f>
        <v>178.290666666667</v>
      </c>
      <c r="Q34" s="6" t="n">
        <f aca="false">MIN(MAX($B$21,$E34),$F34)</f>
        <v>177.998333333333</v>
      </c>
      <c r="R34" s="6" t="n">
        <f aca="false">MIN(MAX($B$22,$E34),$F34)</f>
        <v>178.265333333333</v>
      </c>
      <c r="S34" s="6" t="n">
        <f aca="false">AVERAGE(G34:R34)</f>
        <v>178.344712200421</v>
      </c>
      <c r="T34" s="6" t="n">
        <f aca="false">1.134*STDEV(G34:R34)</f>
        <v>0.486225795319585</v>
      </c>
      <c r="U34" s="6" t="n">
        <f aca="false">ABS(S34-B34)</f>
        <v>0.00189012910146857</v>
      </c>
      <c r="V34" s="6" t="n">
        <f aca="false">ABS(T34-C34)</f>
        <v>0.00392504118202636</v>
      </c>
      <c r="W34" s="6" t="n">
        <f aca="false">IF(OR(NOT(ISNUMBER(B34)),B34=0),B34,ROUND(B34,MAX(3-1-INT(LOG10(ABS(B34))),0)))</f>
        <v>178</v>
      </c>
      <c r="X34" s="6" t="n">
        <f aca="false">IF(OR(NOT(ISNUMBER(C34)),C34=0),C34,ROUND(C34,MAX(3-1-INT(LOG10(ABS(C34))),0)))</f>
        <v>0.482</v>
      </c>
      <c r="Y34" s="6" t="n">
        <f aca="false">IF(OR(NOT(ISNUMBER(S34)),S34=0),S34,ROUND(S34,MAX(3-1-INT(LOG10(ABS(S34))),0)))</f>
        <v>178</v>
      </c>
      <c r="Z34" s="6" t="n">
        <f aca="false">IF(OR(NOT(ISNUMBER(T34)),T34=0),T34,ROUND(T34,MAX(3-1-INT(LOG10(ABS(T34))),0)))</f>
        <v>0.486</v>
      </c>
      <c r="AA34" s="7" t="n">
        <f aca="false">IF(AND(Y34=W34,Z34=X34),1,0)</f>
        <v>0</v>
      </c>
      <c r="AB34" s="7" t="n">
        <f aca="false">IF(AND(U34&lt;$B$4,V34&lt;$B$4),1,0)</f>
        <v>0</v>
      </c>
      <c r="AC34" s="7" t="n">
        <f aca="false">IF(OR(AA34=1,AB34=1),1,0)</f>
        <v>0</v>
      </c>
    </row>
    <row r="35" customFormat="false" ht="15" hidden="false" customHeight="false" outlineLevel="0" collapsed="false">
      <c r="A35" s="0" t="n">
        <v>9</v>
      </c>
      <c r="B35" s="6" t="n">
        <f aca="false">S34</f>
        <v>178.344712200421</v>
      </c>
      <c r="C35" s="6" t="n">
        <f aca="false">T34</f>
        <v>0.486225795319585</v>
      </c>
      <c r="D35" s="6" t="n">
        <f aca="false">1.5*C35</f>
        <v>0.729338692979377</v>
      </c>
      <c r="E35" s="6" t="n">
        <f aca="false">B35-D35</f>
        <v>177.615373507442</v>
      </c>
      <c r="F35" s="6" t="n">
        <f aca="false">B35+D35</f>
        <v>179.0740508934</v>
      </c>
      <c r="G35" s="6" t="n">
        <f aca="false">MIN(MAX($B$11,$E35),$F35)</f>
        <v>178.722333333333</v>
      </c>
      <c r="H35" s="6" t="n">
        <f aca="false">MIN(MAX($B$12,$E35),$F35)</f>
        <v>177.981666666667</v>
      </c>
      <c r="I35" s="6" t="n">
        <f aca="false">MIN(MAX($B$13,$E35),$F35)</f>
        <v>179.0740508934</v>
      </c>
      <c r="J35" s="6" t="n">
        <f aca="false">MIN(MAX($B$14,$E35),$F35)</f>
        <v>178.669666666667</v>
      </c>
      <c r="K35" s="6" t="n">
        <f aca="false">MIN(MAX($B$15,$E35),$F35)</f>
        <v>177.849</v>
      </c>
      <c r="L35" s="6" t="n">
        <f aca="false">MIN(MAX($B$16,$E35),$F35)</f>
        <v>178.039333333333</v>
      </c>
      <c r="M35" s="6" t="n">
        <f aca="false">MIN(MAX($B$17,$E35),$F35)</f>
        <v>179.0740508934</v>
      </c>
      <c r="N35" s="6" t="n">
        <f aca="false">MIN(MAX($B$18,$E35),$F35)</f>
        <v>178.035</v>
      </c>
      <c r="O35" s="6" t="n">
        <f aca="false">MIN(MAX($B$19,$E35),$F35)</f>
        <v>178.152666666667</v>
      </c>
      <c r="P35" s="6" t="n">
        <f aca="false">MIN(MAX($B$20,$E35),$F35)</f>
        <v>178.290666666667</v>
      </c>
      <c r="Q35" s="6" t="n">
        <f aca="false">MIN(MAX($B$21,$E35),$F35)</f>
        <v>177.998333333333</v>
      </c>
      <c r="R35" s="6" t="n">
        <f aca="false">MIN(MAX($B$22,$E35),$F35)</f>
        <v>178.265333333333</v>
      </c>
      <c r="S35" s="6" t="n">
        <f aca="false">AVERAGE(G35:R35)</f>
        <v>178.346008482233</v>
      </c>
      <c r="T35" s="6" t="n">
        <f aca="false">1.134*STDEV(G35:R35)</f>
        <v>0.488929067094862</v>
      </c>
      <c r="U35" s="6" t="n">
        <f aca="false">ABS(S35-B35)</f>
        <v>0.00129628181244357</v>
      </c>
      <c r="V35" s="6" t="n">
        <f aca="false">ABS(T35-C35)</f>
        <v>0.00270327177527763</v>
      </c>
      <c r="W35" s="6" t="n">
        <f aca="false">IF(OR(NOT(ISNUMBER(B35)),B35=0),B35,ROUND(B35,MAX(3-1-INT(LOG10(ABS(B35))),0)))</f>
        <v>178</v>
      </c>
      <c r="X35" s="6" t="n">
        <f aca="false">IF(OR(NOT(ISNUMBER(C35)),C35=0),C35,ROUND(C35,MAX(3-1-INT(LOG10(ABS(C35))),0)))</f>
        <v>0.486</v>
      </c>
      <c r="Y35" s="6" t="n">
        <f aca="false">IF(OR(NOT(ISNUMBER(S35)),S35=0),S35,ROUND(S35,MAX(3-1-INT(LOG10(ABS(S35))),0)))</f>
        <v>178</v>
      </c>
      <c r="Z35" s="6" t="n">
        <f aca="false">IF(OR(NOT(ISNUMBER(T35)),T35=0),T35,ROUND(T35,MAX(3-1-INT(LOG10(ABS(T35))),0)))</f>
        <v>0.489</v>
      </c>
      <c r="AA35" s="7" t="n">
        <f aca="false">IF(AND(Y35=W35,Z35=X35),1,0)</f>
        <v>0</v>
      </c>
      <c r="AB35" s="7" t="n">
        <f aca="false">IF(AND(U35&lt;$B$4,V35&lt;$B$4),1,0)</f>
        <v>0</v>
      </c>
      <c r="AC35" s="7" t="n">
        <f aca="false">IF(OR(AA35=1,AB35=1),1,0)</f>
        <v>0</v>
      </c>
    </row>
    <row r="36" customFormat="false" ht="15" hidden="false" customHeight="false" outlineLevel="0" collapsed="false">
      <c r="A36" s="0" t="n">
        <v>10</v>
      </c>
      <c r="B36" s="6" t="n">
        <f aca="false">S35</f>
        <v>178.346008482233</v>
      </c>
      <c r="C36" s="6" t="n">
        <f aca="false">T35</f>
        <v>0.488929067094862</v>
      </c>
      <c r="D36" s="6" t="n">
        <f aca="false">1.5*C36</f>
        <v>0.733393600642293</v>
      </c>
      <c r="E36" s="6" t="n">
        <f aca="false">B36-D36</f>
        <v>177.612614881591</v>
      </c>
      <c r="F36" s="6" t="n">
        <f aca="false">B36+D36</f>
        <v>179.079402082876</v>
      </c>
      <c r="G36" s="6" t="n">
        <f aca="false">MIN(MAX($B$11,$E36),$F36)</f>
        <v>178.722333333333</v>
      </c>
      <c r="H36" s="6" t="n">
        <f aca="false">MIN(MAX($B$12,$E36),$F36)</f>
        <v>177.981666666667</v>
      </c>
      <c r="I36" s="6" t="n">
        <f aca="false">MIN(MAX($B$13,$E36),$F36)</f>
        <v>179.079402082876</v>
      </c>
      <c r="J36" s="6" t="n">
        <f aca="false">MIN(MAX($B$14,$E36),$F36)</f>
        <v>178.669666666667</v>
      </c>
      <c r="K36" s="6" t="n">
        <f aca="false">MIN(MAX($B$15,$E36),$F36)</f>
        <v>177.849</v>
      </c>
      <c r="L36" s="6" t="n">
        <f aca="false">MIN(MAX($B$16,$E36),$F36)</f>
        <v>178.039333333333</v>
      </c>
      <c r="M36" s="6" t="n">
        <f aca="false">MIN(MAX($B$17,$E36),$F36)</f>
        <v>179.079402082876</v>
      </c>
      <c r="N36" s="6" t="n">
        <f aca="false">MIN(MAX($B$18,$E36),$F36)</f>
        <v>178.035</v>
      </c>
      <c r="O36" s="6" t="n">
        <f aca="false">MIN(MAX($B$19,$E36),$F36)</f>
        <v>178.152666666667</v>
      </c>
      <c r="P36" s="6" t="n">
        <f aca="false">MIN(MAX($B$20,$E36),$F36)</f>
        <v>178.290666666667</v>
      </c>
      <c r="Q36" s="6" t="n">
        <f aca="false">MIN(MAX($B$21,$E36),$F36)</f>
        <v>177.998333333333</v>
      </c>
      <c r="R36" s="6" t="n">
        <f aca="false">MIN(MAX($B$22,$E36),$F36)</f>
        <v>178.265333333333</v>
      </c>
      <c r="S36" s="6" t="n">
        <f aca="false">AVERAGE(G36:R36)</f>
        <v>178.346900347146</v>
      </c>
      <c r="T36" s="6" t="n">
        <f aca="false">1.134*STDEV(G36:R36)</f>
        <v>0.490794265287798</v>
      </c>
      <c r="U36" s="6" t="n">
        <f aca="false">ABS(S36-B36)</f>
        <v>0.000891864912546225</v>
      </c>
      <c r="V36" s="6" t="n">
        <f aca="false">ABS(T36-C36)</f>
        <v>0.00186519819293612</v>
      </c>
      <c r="W36" s="6" t="n">
        <f aca="false">IF(OR(NOT(ISNUMBER(B36)),B36=0),B36,ROUND(B36,MAX(3-1-INT(LOG10(ABS(B36))),0)))</f>
        <v>178</v>
      </c>
      <c r="X36" s="6" t="n">
        <f aca="false">IF(OR(NOT(ISNUMBER(C36)),C36=0),C36,ROUND(C36,MAX(3-1-INT(LOG10(ABS(C36))),0)))</f>
        <v>0.489</v>
      </c>
      <c r="Y36" s="6" t="n">
        <f aca="false">IF(OR(NOT(ISNUMBER(S36)),S36=0),S36,ROUND(S36,MAX(3-1-INT(LOG10(ABS(S36))),0)))</f>
        <v>178</v>
      </c>
      <c r="Z36" s="6" t="n">
        <f aca="false">IF(OR(NOT(ISNUMBER(T36)),T36=0),T36,ROUND(T36,MAX(3-1-INT(LOG10(ABS(T36))),0)))</f>
        <v>0.491</v>
      </c>
      <c r="AA36" s="7" t="n">
        <f aca="false">IF(AND(Y36=W36,Z36=X36),1,0)</f>
        <v>0</v>
      </c>
      <c r="AB36" s="7" t="n">
        <f aca="false">IF(AND(U36&lt;$B$4,V36&lt;$B$4),1,0)</f>
        <v>0</v>
      </c>
      <c r="AC36" s="7" t="n">
        <f aca="false">IF(OR(AA36=1,AB36=1),1,0)</f>
        <v>0</v>
      </c>
    </row>
    <row r="37" customFormat="false" ht="15" hidden="false" customHeight="false" outlineLevel="0" collapsed="false">
      <c r="A37" s="0" t="n">
        <v>11</v>
      </c>
      <c r="B37" s="6" t="n">
        <f aca="false">S36</f>
        <v>178.346900347146</v>
      </c>
      <c r="C37" s="6" t="n">
        <f aca="false">T36</f>
        <v>0.490794265287798</v>
      </c>
      <c r="D37" s="6" t="n">
        <f aca="false">1.5*C37</f>
        <v>0.736191397931697</v>
      </c>
      <c r="E37" s="6" t="n">
        <f aca="false">B37-D37</f>
        <v>177.610708949214</v>
      </c>
      <c r="F37" s="6" t="n">
        <f aca="false">B37+D37</f>
        <v>179.083091745078</v>
      </c>
      <c r="G37" s="6" t="n">
        <f aca="false">MIN(MAX($B$11,$E37),$F37)</f>
        <v>178.722333333333</v>
      </c>
      <c r="H37" s="6" t="n">
        <f aca="false">MIN(MAX($B$12,$E37),$F37)</f>
        <v>177.981666666667</v>
      </c>
      <c r="I37" s="6" t="n">
        <f aca="false">MIN(MAX($B$13,$E37),$F37)</f>
        <v>179.083091745078</v>
      </c>
      <c r="J37" s="6" t="n">
        <f aca="false">MIN(MAX($B$14,$E37),$F37)</f>
        <v>178.669666666667</v>
      </c>
      <c r="K37" s="6" t="n">
        <f aca="false">MIN(MAX($B$15,$E37),$F37)</f>
        <v>177.849</v>
      </c>
      <c r="L37" s="6" t="n">
        <f aca="false">MIN(MAX($B$16,$E37),$F37)</f>
        <v>178.039333333333</v>
      </c>
      <c r="M37" s="6" t="n">
        <f aca="false">MIN(MAX($B$17,$E37),$F37)</f>
        <v>179.083091745078</v>
      </c>
      <c r="N37" s="6" t="n">
        <f aca="false">MIN(MAX($B$18,$E37),$F37)</f>
        <v>178.035</v>
      </c>
      <c r="O37" s="6" t="n">
        <f aca="false">MIN(MAX($B$19,$E37),$F37)</f>
        <v>178.152666666667</v>
      </c>
      <c r="P37" s="6" t="n">
        <f aca="false">MIN(MAX($B$20,$E37),$F37)</f>
        <v>178.290666666667</v>
      </c>
      <c r="Q37" s="6" t="n">
        <f aca="false">MIN(MAX($B$21,$E37),$F37)</f>
        <v>177.998333333333</v>
      </c>
      <c r="R37" s="6" t="n">
        <f aca="false">MIN(MAX($B$22,$E37),$F37)</f>
        <v>178.265333333333</v>
      </c>
      <c r="S37" s="6" t="n">
        <f aca="false">AVERAGE(G37:R37)</f>
        <v>178.347515290846</v>
      </c>
      <c r="T37" s="6" t="n">
        <f aca="false">1.134*STDEV(G37:R37)</f>
        <v>0.492082811525546</v>
      </c>
      <c r="U37" s="6" t="n">
        <f aca="false">ABS(S37-B37)</f>
        <v>0.000614943700298909</v>
      </c>
      <c r="V37" s="6" t="n">
        <f aca="false">ABS(T37-C37)</f>
        <v>0.00128854623774749</v>
      </c>
      <c r="W37" s="6" t="n">
        <f aca="false">IF(OR(NOT(ISNUMBER(B37)),B37=0),B37,ROUND(B37,MAX(3-1-INT(LOG10(ABS(B37))),0)))</f>
        <v>178</v>
      </c>
      <c r="X37" s="6" t="n">
        <f aca="false">IF(OR(NOT(ISNUMBER(C37)),C37=0),C37,ROUND(C37,MAX(3-1-INT(LOG10(ABS(C37))),0)))</f>
        <v>0.491</v>
      </c>
      <c r="Y37" s="6" t="n">
        <f aca="false">IF(OR(NOT(ISNUMBER(S37)),S37=0),S37,ROUND(S37,MAX(3-1-INT(LOG10(ABS(S37))),0)))</f>
        <v>178</v>
      </c>
      <c r="Z37" s="6" t="n">
        <f aca="false">IF(OR(NOT(ISNUMBER(T37)),T37=0),T37,ROUND(T37,MAX(3-1-INT(LOG10(ABS(T37))),0)))</f>
        <v>0.492</v>
      </c>
      <c r="AA37" s="7" t="n">
        <f aca="false">IF(AND(Y37=W37,Z37=X37),1,0)</f>
        <v>0</v>
      </c>
      <c r="AB37" s="7" t="n">
        <f aca="false">IF(AND(U37&lt;$B$4,V37&lt;$B$4),1,0)</f>
        <v>0</v>
      </c>
      <c r="AC37" s="7" t="n">
        <f aca="false">IF(OR(AA37=1,AB37=1),1,0)</f>
        <v>0</v>
      </c>
    </row>
    <row r="38" customFormat="false" ht="15" hidden="false" customHeight="false" outlineLevel="0" collapsed="false">
      <c r="A38" s="0" t="n">
        <v>12</v>
      </c>
      <c r="B38" s="6" t="n">
        <f aca="false">S37</f>
        <v>178.347515290846</v>
      </c>
      <c r="C38" s="6" t="n">
        <f aca="false">T37</f>
        <v>0.492082811525546</v>
      </c>
      <c r="D38" s="6" t="n">
        <f aca="false">1.5*C38</f>
        <v>0.738124217288319</v>
      </c>
      <c r="E38" s="6" t="n">
        <f aca="false">B38-D38</f>
        <v>177.609391073558</v>
      </c>
      <c r="F38" s="6" t="n">
        <f aca="false">B38+D38</f>
        <v>179.085639508135</v>
      </c>
      <c r="G38" s="6" t="n">
        <f aca="false">MIN(MAX($B$11,$E38),$F38)</f>
        <v>178.722333333333</v>
      </c>
      <c r="H38" s="6" t="n">
        <f aca="false">MIN(MAX($B$12,$E38),$F38)</f>
        <v>177.981666666667</v>
      </c>
      <c r="I38" s="6" t="n">
        <f aca="false">MIN(MAX($B$13,$E38),$F38)</f>
        <v>179.085639508135</v>
      </c>
      <c r="J38" s="6" t="n">
        <f aca="false">MIN(MAX($B$14,$E38),$F38)</f>
        <v>178.669666666667</v>
      </c>
      <c r="K38" s="6" t="n">
        <f aca="false">MIN(MAX($B$15,$E38),$F38)</f>
        <v>177.849</v>
      </c>
      <c r="L38" s="6" t="n">
        <f aca="false">MIN(MAX($B$16,$E38),$F38)</f>
        <v>178.039333333333</v>
      </c>
      <c r="M38" s="6" t="n">
        <f aca="false">MIN(MAX($B$17,$E38),$F38)</f>
        <v>179.085639508135</v>
      </c>
      <c r="N38" s="6" t="n">
        <f aca="false">MIN(MAX($B$18,$E38),$F38)</f>
        <v>178.035</v>
      </c>
      <c r="O38" s="6" t="n">
        <f aca="false">MIN(MAX($B$19,$E38),$F38)</f>
        <v>178.152666666667</v>
      </c>
      <c r="P38" s="6" t="n">
        <f aca="false">MIN(MAX($B$20,$E38),$F38)</f>
        <v>178.290666666667</v>
      </c>
      <c r="Q38" s="6" t="n">
        <f aca="false">MIN(MAX($B$21,$E38),$F38)</f>
        <v>177.998333333333</v>
      </c>
      <c r="R38" s="6" t="n">
        <f aca="false">MIN(MAX($B$22,$E38),$F38)</f>
        <v>178.265333333333</v>
      </c>
      <c r="S38" s="6" t="n">
        <f aca="false">AVERAGE(G38:R38)</f>
        <v>178.347939918022</v>
      </c>
      <c r="T38" s="6" t="n">
        <f aca="false">1.134*STDEV(G38:R38)</f>
        <v>0.492973745287141</v>
      </c>
      <c r="U38" s="6" t="n">
        <f aca="false">ABS(S38-B38)</f>
        <v>0.000424627176187187</v>
      </c>
      <c r="V38" s="6" t="n">
        <f aca="false">ABS(T38-C38)</f>
        <v>0.000890933761594936</v>
      </c>
      <c r="W38" s="6" t="n">
        <f aca="false">IF(OR(NOT(ISNUMBER(B38)),B38=0),B38,ROUND(B38,MAX(3-1-INT(LOG10(ABS(B38))),0)))</f>
        <v>178</v>
      </c>
      <c r="X38" s="6" t="n">
        <f aca="false">IF(OR(NOT(ISNUMBER(C38)),C38=0),C38,ROUND(C38,MAX(3-1-INT(LOG10(ABS(C38))),0)))</f>
        <v>0.492</v>
      </c>
      <c r="Y38" s="6" t="n">
        <f aca="false">IF(OR(NOT(ISNUMBER(S38)),S38=0),S38,ROUND(S38,MAX(3-1-INT(LOG10(ABS(S38))),0)))</f>
        <v>178</v>
      </c>
      <c r="Z38" s="6" t="n">
        <f aca="false">IF(OR(NOT(ISNUMBER(T38)),T38=0),T38,ROUND(T38,MAX(3-1-INT(LOG10(ABS(T38))),0)))</f>
        <v>0.493</v>
      </c>
      <c r="AA38" s="7" t="n">
        <f aca="false">IF(AND(Y38=W38,Z38=X38),1,0)</f>
        <v>0</v>
      </c>
      <c r="AB38" s="7" t="n">
        <f aca="false">IF(AND(U38&lt;$B$4,V38&lt;$B$4),1,0)</f>
        <v>0</v>
      </c>
      <c r="AC38" s="7" t="n">
        <f aca="false">IF(OR(AA38=1,AB38=1),1,0)</f>
        <v>0</v>
      </c>
    </row>
    <row r="39" customFormat="false" ht="15" hidden="false" customHeight="false" outlineLevel="0" collapsed="false">
      <c r="A39" s="0" t="n">
        <v>13</v>
      </c>
      <c r="B39" s="6" t="n">
        <f aca="false">S38</f>
        <v>178.347939918022</v>
      </c>
      <c r="C39" s="6" t="n">
        <f aca="false">T38</f>
        <v>0.492973745287141</v>
      </c>
      <c r="D39" s="6" t="n">
        <f aca="false">1.5*C39</f>
        <v>0.739460617930711</v>
      </c>
      <c r="E39" s="6" t="n">
        <f aca="false">B39-D39</f>
        <v>177.608479300092</v>
      </c>
      <c r="F39" s="6" t="n">
        <f aca="false">B39+D39</f>
        <v>179.087400535953</v>
      </c>
      <c r="G39" s="6" t="n">
        <f aca="false">MIN(MAX($B$11,$E39),$F39)</f>
        <v>178.722333333333</v>
      </c>
      <c r="H39" s="6" t="n">
        <f aca="false">MIN(MAX($B$12,$E39),$F39)</f>
        <v>177.981666666667</v>
      </c>
      <c r="I39" s="6" t="n">
        <f aca="false">MIN(MAX($B$13,$E39),$F39)</f>
        <v>179.087400535953</v>
      </c>
      <c r="J39" s="6" t="n">
        <f aca="false">MIN(MAX($B$14,$E39),$F39)</f>
        <v>178.669666666667</v>
      </c>
      <c r="K39" s="6" t="n">
        <f aca="false">MIN(MAX($B$15,$E39),$F39)</f>
        <v>177.849</v>
      </c>
      <c r="L39" s="6" t="n">
        <f aca="false">MIN(MAX($B$16,$E39),$F39)</f>
        <v>178.039333333333</v>
      </c>
      <c r="M39" s="6" t="n">
        <f aca="false">MIN(MAX($B$17,$E39),$F39)</f>
        <v>179.087400535953</v>
      </c>
      <c r="N39" s="6" t="n">
        <f aca="false">MIN(MAX($B$18,$E39),$F39)</f>
        <v>178.035</v>
      </c>
      <c r="O39" s="6" t="n">
        <f aca="false">MIN(MAX($B$19,$E39),$F39)</f>
        <v>178.152666666667</v>
      </c>
      <c r="P39" s="6" t="n">
        <f aca="false">MIN(MAX($B$20,$E39),$F39)</f>
        <v>178.290666666667</v>
      </c>
      <c r="Q39" s="6" t="n">
        <f aca="false">MIN(MAX($B$21,$E39),$F39)</f>
        <v>177.998333333333</v>
      </c>
      <c r="R39" s="6" t="n">
        <f aca="false">MIN(MAX($B$22,$E39),$F39)</f>
        <v>178.265333333333</v>
      </c>
      <c r="S39" s="6" t="n">
        <f aca="false">AVERAGE(G39:R39)</f>
        <v>178.348233422659</v>
      </c>
      <c r="T39" s="6" t="n">
        <f aca="false">1.134*STDEV(G39:R39)</f>
        <v>0.493590121301414</v>
      </c>
      <c r="U39" s="6" t="n">
        <f aca="false">ABS(S39-B39)</f>
        <v>0.000293504636431408</v>
      </c>
      <c r="V39" s="6" t="n">
        <f aca="false">ABS(T39-C39)</f>
        <v>0.000616376014273112</v>
      </c>
      <c r="W39" s="6" t="n">
        <f aca="false">IF(OR(NOT(ISNUMBER(B39)),B39=0),B39,ROUND(B39,MAX(3-1-INT(LOG10(ABS(B39))),0)))</f>
        <v>178</v>
      </c>
      <c r="X39" s="6" t="n">
        <f aca="false">IF(OR(NOT(ISNUMBER(C39)),C39=0),C39,ROUND(C39,MAX(3-1-INT(LOG10(ABS(C39))),0)))</f>
        <v>0.493</v>
      </c>
      <c r="Y39" s="6" t="n">
        <f aca="false">IF(OR(NOT(ISNUMBER(S39)),S39=0),S39,ROUND(S39,MAX(3-1-INT(LOG10(ABS(S39))),0)))</f>
        <v>178</v>
      </c>
      <c r="Z39" s="6" t="n">
        <f aca="false">IF(OR(NOT(ISNUMBER(T39)),T39=0),T39,ROUND(T39,MAX(3-1-INT(LOG10(ABS(T39))),0)))</f>
        <v>0.494</v>
      </c>
      <c r="AA39" s="7" t="n">
        <f aca="false">IF(AND(Y39=W39,Z39=X39),1,0)</f>
        <v>0</v>
      </c>
      <c r="AB39" s="7" t="n">
        <f aca="false">IF(AND(U39&lt;$B$4,V39&lt;$B$4),1,0)</f>
        <v>0</v>
      </c>
      <c r="AC39" s="7" t="n">
        <f aca="false">IF(OR(AA39=1,AB39=1),1,0)</f>
        <v>0</v>
      </c>
    </row>
    <row r="40" customFormat="false" ht="15" hidden="false" customHeight="false" outlineLevel="0" collapsed="false">
      <c r="A40" s="0" t="n">
        <v>14</v>
      </c>
      <c r="B40" s="6" t="n">
        <f aca="false">S39</f>
        <v>178.348233422659</v>
      </c>
      <c r="C40" s="6" t="n">
        <f aca="false">T39</f>
        <v>0.493590121301414</v>
      </c>
      <c r="D40" s="6" t="n">
        <f aca="false">1.5*C40</f>
        <v>0.740385181952121</v>
      </c>
      <c r="E40" s="6" t="n">
        <f aca="false">B40-D40</f>
        <v>177.607848240707</v>
      </c>
      <c r="F40" s="6" t="n">
        <f aca="false">B40+D40</f>
        <v>179.088618604611</v>
      </c>
      <c r="G40" s="6" t="n">
        <f aca="false">MIN(MAX($B$11,$E40),$F40)</f>
        <v>178.722333333333</v>
      </c>
      <c r="H40" s="6" t="n">
        <f aca="false">MIN(MAX($B$12,$E40),$F40)</f>
        <v>177.981666666667</v>
      </c>
      <c r="I40" s="6" t="n">
        <f aca="false">MIN(MAX($B$13,$E40),$F40)</f>
        <v>179.088618604611</v>
      </c>
      <c r="J40" s="6" t="n">
        <f aca="false">MIN(MAX($B$14,$E40),$F40)</f>
        <v>178.669666666667</v>
      </c>
      <c r="K40" s="6" t="n">
        <f aca="false">MIN(MAX($B$15,$E40),$F40)</f>
        <v>177.849</v>
      </c>
      <c r="L40" s="6" t="n">
        <f aca="false">MIN(MAX($B$16,$E40),$F40)</f>
        <v>178.039333333333</v>
      </c>
      <c r="M40" s="6" t="n">
        <f aca="false">MIN(MAX($B$17,$E40),$F40)</f>
        <v>179.088618604611</v>
      </c>
      <c r="N40" s="6" t="n">
        <f aca="false">MIN(MAX($B$18,$E40),$F40)</f>
        <v>178.035</v>
      </c>
      <c r="O40" s="6" t="n">
        <f aca="false">MIN(MAX($B$19,$E40),$F40)</f>
        <v>178.152666666667</v>
      </c>
      <c r="P40" s="6" t="n">
        <f aca="false">MIN(MAX($B$20,$E40),$F40)</f>
        <v>178.290666666667</v>
      </c>
      <c r="Q40" s="6" t="n">
        <f aca="false">MIN(MAX($B$21,$E40),$F40)</f>
        <v>177.998333333333</v>
      </c>
      <c r="R40" s="6" t="n">
        <f aca="false">MIN(MAX($B$22,$E40),$F40)</f>
        <v>178.265333333333</v>
      </c>
      <c r="S40" s="6" t="n">
        <f aca="false">AVERAGE(G40:R40)</f>
        <v>178.348436434102</v>
      </c>
      <c r="T40" s="6" t="n">
        <f aca="false">1.134*STDEV(G40:R40)</f>
        <v>0.494016722256306</v>
      </c>
      <c r="U40" s="6" t="n">
        <f aca="false">ABS(S40-B40)</f>
        <v>0.000203011442948764</v>
      </c>
      <c r="V40" s="6" t="n">
        <f aca="false">ABS(T40-C40)</f>
        <v>0.000426600954892387</v>
      </c>
      <c r="W40" s="6" t="n">
        <f aca="false">IF(OR(NOT(ISNUMBER(B40)),B40=0),B40,ROUND(B40,MAX(3-1-INT(LOG10(ABS(B40))),0)))</f>
        <v>178</v>
      </c>
      <c r="X40" s="6" t="n">
        <f aca="false">IF(OR(NOT(ISNUMBER(C40)),C40=0),C40,ROUND(C40,MAX(3-1-INT(LOG10(ABS(C40))),0)))</f>
        <v>0.494</v>
      </c>
      <c r="Y40" s="6" t="n">
        <f aca="false">IF(OR(NOT(ISNUMBER(S40)),S40=0),S40,ROUND(S40,MAX(3-1-INT(LOG10(ABS(S40))),0)))</f>
        <v>178</v>
      </c>
      <c r="Z40" s="6" t="n">
        <f aca="false">IF(OR(NOT(ISNUMBER(T40)),T40=0),T40,ROUND(T40,MAX(3-1-INT(LOG10(ABS(T40))),0)))</f>
        <v>0.494</v>
      </c>
      <c r="AA40" s="7" t="n">
        <f aca="false">IF(AND(Y40=W40,Z40=X40),1,0)</f>
        <v>1</v>
      </c>
      <c r="AB40" s="7" t="n">
        <f aca="false">IF(AND(U40&lt;$B$4,V40&lt;$B$4),1,0)</f>
        <v>0</v>
      </c>
      <c r="AC40" s="7" t="n">
        <f aca="false">IF(OR(AA40=1,AB40=1),1,0)</f>
        <v>1</v>
      </c>
    </row>
    <row r="41" customFormat="false" ht="15" hidden="false" customHeight="false" outlineLevel="0" collapsed="false">
      <c r="A41" s="0" t="n">
        <v>15</v>
      </c>
      <c r="B41" s="6" t="n">
        <f aca="false">S40</f>
        <v>178.348436434102</v>
      </c>
      <c r="C41" s="6" t="n">
        <f aca="false">T40</f>
        <v>0.494016722256306</v>
      </c>
      <c r="D41" s="6" t="n">
        <f aca="false">1.5*C41</f>
        <v>0.741025083384459</v>
      </c>
      <c r="E41" s="6" t="n">
        <f aca="false">B41-D41</f>
        <v>177.607411350717</v>
      </c>
      <c r="F41" s="6" t="n">
        <f aca="false">B41+D41</f>
        <v>179.089461517486</v>
      </c>
      <c r="G41" s="6" t="n">
        <f aca="false">MIN(MAX($B$11,$E41),$F41)</f>
        <v>178.722333333333</v>
      </c>
      <c r="H41" s="6" t="n">
        <f aca="false">MIN(MAX($B$12,$E41),$F41)</f>
        <v>177.981666666667</v>
      </c>
      <c r="I41" s="6" t="n">
        <f aca="false">MIN(MAX($B$13,$E41),$F41)</f>
        <v>179.089461517486</v>
      </c>
      <c r="J41" s="6" t="n">
        <f aca="false">MIN(MAX($B$14,$E41),$F41)</f>
        <v>178.669666666667</v>
      </c>
      <c r="K41" s="6" t="n">
        <f aca="false">MIN(MAX($B$15,$E41),$F41)</f>
        <v>177.849</v>
      </c>
      <c r="L41" s="6" t="n">
        <f aca="false">MIN(MAX($B$16,$E41),$F41)</f>
        <v>178.039333333333</v>
      </c>
      <c r="M41" s="6" t="n">
        <f aca="false">MIN(MAX($B$17,$E41),$F41)</f>
        <v>179.089461517486</v>
      </c>
      <c r="N41" s="6" t="n">
        <f aca="false">MIN(MAX($B$18,$E41),$F41)</f>
        <v>178.035</v>
      </c>
      <c r="O41" s="6" t="n">
        <f aca="false">MIN(MAX($B$19,$E41),$F41)</f>
        <v>178.152666666667</v>
      </c>
      <c r="P41" s="6" t="n">
        <f aca="false">MIN(MAX($B$20,$E41),$F41)</f>
        <v>178.290666666667</v>
      </c>
      <c r="Q41" s="6" t="n">
        <f aca="false">MIN(MAX($B$21,$E41),$F41)</f>
        <v>177.998333333333</v>
      </c>
      <c r="R41" s="6" t="n">
        <f aca="false">MIN(MAX($B$22,$E41),$F41)</f>
        <v>178.265333333333</v>
      </c>
      <c r="S41" s="6" t="n">
        <f aca="false">AVERAGE(G41:R41)</f>
        <v>178.348576919581</v>
      </c>
      <c r="T41" s="6" t="n">
        <f aca="false">1.134*STDEV(G41:R41)</f>
        <v>0.494312060237253</v>
      </c>
      <c r="U41" s="6" t="n">
        <f aca="false">ABS(S41-B41)</f>
        <v>0.000140485479249719</v>
      </c>
      <c r="V41" s="6" t="n">
        <f aca="false">ABS(T41-C41)</f>
        <v>0.000295337980946331</v>
      </c>
      <c r="W41" s="6" t="n">
        <f aca="false">IF(OR(NOT(ISNUMBER(B41)),B41=0),B41,ROUND(B41,MAX(3-1-INT(LOG10(ABS(B41))),0)))</f>
        <v>178</v>
      </c>
      <c r="X41" s="6" t="n">
        <f aca="false">IF(OR(NOT(ISNUMBER(C41)),C41=0),C41,ROUND(C41,MAX(3-1-INT(LOG10(ABS(C41))),0)))</f>
        <v>0.494</v>
      </c>
      <c r="Y41" s="6" t="n">
        <f aca="false">IF(OR(NOT(ISNUMBER(S41)),S41=0),S41,ROUND(S41,MAX(3-1-INT(LOG10(ABS(S41))),0)))</f>
        <v>178</v>
      </c>
      <c r="Z41" s="6" t="n">
        <f aca="false">IF(OR(NOT(ISNUMBER(T41)),T41=0),T41,ROUND(T41,MAX(3-1-INT(LOG10(ABS(T41))),0)))</f>
        <v>0.494</v>
      </c>
      <c r="AA41" s="7" t="n">
        <f aca="false">IF(AND(Y41=W41,Z41=X41),1,0)</f>
        <v>1</v>
      </c>
      <c r="AB41" s="7" t="n">
        <f aca="false">IF(AND(U41&lt;$B$4,V41&lt;$B$4),1,0)</f>
        <v>0</v>
      </c>
      <c r="AC41" s="7" t="n">
        <f aca="false">IF(OR(AA41=1,AB41=1),1,0)</f>
        <v>1</v>
      </c>
    </row>
    <row r="42" customFormat="false" ht="15" hidden="false" customHeight="false" outlineLevel="0" collapsed="false">
      <c r="A42" s="0" t="n">
        <v>16</v>
      </c>
      <c r="B42" s="6" t="n">
        <f aca="false">S41</f>
        <v>178.348576919581</v>
      </c>
      <c r="C42" s="6" t="n">
        <f aca="false">T41</f>
        <v>0.494312060237253</v>
      </c>
      <c r="D42" s="6" t="n">
        <f aca="false">1.5*C42</f>
        <v>0.741468090355879</v>
      </c>
      <c r="E42" s="6" t="n">
        <f aca="false">B42-D42</f>
        <v>177.607108829225</v>
      </c>
      <c r="F42" s="6" t="n">
        <f aca="false">B42+D42</f>
        <v>179.090045009937</v>
      </c>
      <c r="G42" s="6" t="n">
        <f aca="false">MIN(MAX($B$11,$E42),$F42)</f>
        <v>178.722333333333</v>
      </c>
      <c r="H42" s="6" t="n">
        <f aca="false">MIN(MAX($B$12,$E42),$F42)</f>
        <v>177.981666666667</v>
      </c>
      <c r="I42" s="6" t="n">
        <f aca="false">MIN(MAX($B$13,$E42),$F42)</f>
        <v>179.090045009937</v>
      </c>
      <c r="J42" s="6" t="n">
        <f aca="false">MIN(MAX($B$14,$E42),$F42)</f>
        <v>178.669666666667</v>
      </c>
      <c r="K42" s="6" t="n">
        <f aca="false">MIN(MAX($B$15,$E42),$F42)</f>
        <v>177.849</v>
      </c>
      <c r="L42" s="6" t="n">
        <f aca="false">MIN(MAX($B$16,$E42),$F42)</f>
        <v>178.039333333333</v>
      </c>
      <c r="M42" s="6" t="n">
        <f aca="false">MIN(MAX($B$17,$E42),$F42)</f>
        <v>179.090045009937</v>
      </c>
      <c r="N42" s="6" t="n">
        <f aca="false">MIN(MAX($B$18,$E42),$F42)</f>
        <v>178.035</v>
      </c>
      <c r="O42" s="6" t="n">
        <f aca="false">MIN(MAX($B$19,$E42),$F42)</f>
        <v>178.152666666667</v>
      </c>
      <c r="P42" s="6" t="n">
        <f aca="false">MIN(MAX($B$20,$E42),$F42)</f>
        <v>178.290666666667</v>
      </c>
      <c r="Q42" s="6" t="n">
        <f aca="false">MIN(MAX($B$21,$E42),$F42)</f>
        <v>177.998333333333</v>
      </c>
      <c r="R42" s="6" t="n">
        <f aca="false">MIN(MAX($B$22,$E42),$F42)</f>
        <v>178.265333333333</v>
      </c>
      <c r="S42" s="6" t="n">
        <f aca="false">AVERAGE(G42:R42)</f>
        <v>178.348674168323</v>
      </c>
      <c r="T42" s="6" t="n">
        <f aca="false">1.134*STDEV(G42:R42)</f>
        <v>0.494516563708548</v>
      </c>
      <c r="U42" s="6" t="n">
        <f aca="false">ABS(S42-B42)</f>
        <v>9.72487417811863E-005</v>
      </c>
      <c r="V42" s="6" t="n">
        <f aca="false">ABS(T42-C42)</f>
        <v>0.000204503471295137</v>
      </c>
      <c r="W42" s="6" t="n">
        <f aca="false">IF(OR(NOT(ISNUMBER(B42)),B42=0),B42,ROUND(B42,MAX(3-1-INT(LOG10(ABS(B42))),0)))</f>
        <v>178</v>
      </c>
      <c r="X42" s="6" t="n">
        <f aca="false">IF(OR(NOT(ISNUMBER(C42)),C42=0),C42,ROUND(C42,MAX(3-1-INT(LOG10(ABS(C42))),0)))</f>
        <v>0.494</v>
      </c>
      <c r="Y42" s="6" t="n">
        <f aca="false">IF(OR(NOT(ISNUMBER(S42)),S42=0),S42,ROUND(S42,MAX(3-1-INT(LOG10(ABS(S42))),0)))</f>
        <v>178</v>
      </c>
      <c r="Z42" s="6" t="n">
        <f aca="false">IF(OR(NOT(ISNUMBER(T42)),T42=0),T42,ROUND(T42,MAX(3-1-INT(LOG10(ABS(T42))),0)))</f>
        <v>0.495</v>
      </c>
      <c r="AA42" s="7" t="n">
        <f aca="false">IF(AND(Y42=W42,Z42=X42),1,0)</f>
        <v>0</v>
      </c>
      <c r="AB42" s="7" t="n">
        <f aca="false">IF(AND(U42&lt;$B$4,V42&lt;$B$4),1,0)</f>
        <v>0</v>
      </c>
      <c r="AC42" s="7" t="n">
        <f aca="false">IF(OR(AA42=1,AB42=1),1,0)</f>
        <v>0</v>
      </c>
    </row>
    <row r="43" customFormat="false" ht="15" hidden="false" customHeight="false" outlineLevel="0" collapsed="false">
      <c r="A43" s="0" t="n">
        <v>17</v>
      </c>
      <c r="B43" s="6" t="n">
        <f aca="false">S42</f>
        <v>178.348674168323</v>
      </c>
      <c r="C43" s="6" t="n">
        <f aca="false">T42</f>
        <v>0.494516563708548</v>
      </c>
      <c r="D43" s="6" t="n">
        <f aca="false">1.5*C43</f>
        <v>0.741774845562822</v>
      </c>
      <c r="E43" s="6" t="n">
        <f aca="false">B43-D43</f>
        <v>177.60689932276</v>
      </c>
      <c r="F43" s="6" t="n">
        <f aca="false">B43+D43</f>
        <v>179.090449013886</v>
      </c>
      <c r="G43" s="6" t="n">
        <f aca="false">MIN(MAX($B$11,$E43),$F43)</f>
        <v>178.722333333333</v>
      </c>
      <c r="H43" s="6" t="n">
        <f aca="false">MIN(MAX($B$12,$E43),$F43)</f>
        <v>177.981666666667</v>
      </c>
      <c r="I43" s="6" t="n">
        <f aca="false">MIN(MAX($B$13,$E43),$F43)</f>
        <v>179.090449013886</v>
      </c>
      <c r="J43" s="6" t="n">
        <f aca="false">MIN(MAX($B$14,$E43),$F43)</f>
        <v>178.669666666667</v>
      </c>
      <c r="K43" s="6" t="n">
        <f aca="false">MIN(MAX($B$15,$E43),$F43)</f>
        <v>177.849</v>
      </c>
      <c r="L43" s="6" t="n">
        <f aca="false">MIN(MAX($B$16,$E43),$F43)</f>
        <v>178.039333333333</v>
      </c>
      <c r="M43" s="6" t="n">
        <f aca="false">MIN(MAX($B$17,$E43),$F43)</f>
        <v>179.090449013886</v>
      </c>
      <c r="N43" s="6" t="n">
        <f aca="false">MIN(MAX($B$18,$E43),$F43)</f>
        <v>178.035</v>
      </c>
      <c r="O43" s="6" t="n">
        <f aca="false">MIN(MAX($B$19,$E43),$F43)</f>
        <v>178.152666666667</v>
      </c>
      <c r="P43" s="6" t="n">
        <f aca="false">MIN(MAX($B$20,$E43),$F43)</f>
        <v>178.290666666667</v>
      </c>
      <c r="Q43" s="6" t="n">
        <f aca="false">MIN(MAX($B$21,$E43),$F43)</f>
        <v>177.998333333333</v>
      </c>
      <c r="R43" s="6" t="n">
        <f aca="false">MIN(MAX($B$22,$E43),$F43)</f>
        <v>178.265333333333</v>
      </c>
      <c r="S43" s="6" t="n">
        <f aca="false">AVERAGE(G43:R43)</f>
        <v>178.348741502314</v>
      </c>
      <c r="T43" s="6" t="n">
        <f aca="false">1.134*STDEV(G43:R43)</f>
        <v>0.494658188767156</v>
      </c>
      <c r="U43" s="6" t="n">
        <f aca="false">ABS(S43-B43)</f>
        <v>6.73339914385451E-005</v>
      </c>
      <c r="V43" s="6" t="n">
        <f aca="false">ABS(T43-C43)</f>
        <v>0.000141625058608652</v>
      </c>
      <c r="W43" s="6" t="n">
        <f aca="false">IF(OR(NOT(ISNUMBER(B43)),B43=0),B43,ROUND(B43,MAX(3-1-INT(LOG10(ABS(B43))),0)))</f>
        <v>178</v>
      </c>
      <c r="X43" s="6" t="n">
        <f aca="false">IF(OR(NOT(ISNUMBER(C43)),C43=0),C43,ROUND(C43,MAX(3-1-INT(LOG10(ABS(C43))),0)))</f>
        <v>0.495</v>
      </c>
      <c r="Y43" s="6" t="n">
        <f aca="false">IF(OR(NOT(ISNUMBER(S43)),S43=0),S43,ROUND(S43,MAX(3-1-INT(LOG10(ABS(S43))),0)))</f>
        <v>178</v>
      </c>
      <c r="Z43" s="6" t="n">
        <f aca="false">IF(OR(NOT(ISNUMBER(T43)),T43=0),T43,ROUND(T43,MAX(3-1-INT(LOG10(ABS(T43))),0)))</f>
        <v>0.495</v>
      </c>
      <c r="AA43" s="7" t="n">
        <f aca="false">IF(AND(Y43=W43,Z43=X43),1,0)</f>
        <v>1</v>
      </c>
      <c r="AB43" s="7" t="n">
        <f aca="false">IF(AND(U43&lt;$B$4,V43&lt;$B$4),1,0)</f>
        <v>0</v>
      </c>
      <c r="AC43" s="7" t="n">
        <f aca="false">IF(OR(AA43=1,AB43=1),1,0)</f>
        <v>1</v>
      </c>
    </row>
    <row r="44" customFormat="false" ht="15" hidden="false" customHeight="false" outlineLevel="0" collapsed="false">
      <c r="A44" s="0" t="n">
        <v>18</v>
      </c>
      <c r="B44" s="6" t="n">
        <f aca="false">S43</f>
        <v>178.348741502314</v>
      </c>
      <c r="C44" s="6" t="n">
        <f aca="false">T43</f>
        <v>0.494658188767156</v>
      </c>
      <c r="D44" s="6" t="n">
        <f aca="false">1.5*C44</f>
        <v>0.741987283150735</v>
      </c>
      <c r="E44" s="6" t="n">
        <f aca="false">B44-D44</f>
        <v>177.606754219164</v>
      </c>
      <c r="F44" s="6" t="n">
        <f aca="false">B44+D44</f>
        <v>179.090728785465</v>
      </c>
      <c r="G44" s="6" t="n">
        <f aca="false">MIN(MAX($B$11,$E44),$F44)</f>
        <v>178.722333333333</v>
      </c>
      <c r="H44" s="6" t="n">
        <f aca="false">MIN(MAX($B$12,$E44),$F44)</f>
        <v>177.981666666667</v>
      </c>
      <c r="I44" s="6" t="n">
        <f aca="false">MIN(MAX($B$13,$E44),$F44)</f>
        <v>179.090728785465</v>
      </c>
      <c r="J44" s="6" t="n">
        <f aca="false">MIN(MAX($B$14,$E44),$F44)</f>
        <v>178.669666666667</v>
      </c>
      <c r="K44" s="6" t="n">
        <f aca="false">MIN(MAX($B$15,$E44),$F44)</f>
        <v>177.849</v>
      </c>
      <c r="L44" s="6" t="n">
        <f aca="false">MIN(MAX($B$16,$E44),$F44)</f>
        <v>178.039333333333</v>
      </c>
      <c r="M44" s="6" t="n">
        <f aca="false">MIN(MAX($B$17,$E44),$F44)</f>
        <v>179.090728785465</v>
      </c>
      <c r="N44" s="6" t="n">
        <f aca="false">MIN(MAX($B$18,$E44),$F44)</f>
        <v>178.035</v>
      </c>
      <c r="O44" s="6" t="n">
        <f aca="false">MIN(MAX($B$19,$E44),$F44)</f>
        <v>178.152666666667</v>
      </c>
      <c r="P44" s="6" t="n">
        <f aca="false">MIN(MAX($B$20,$E44),$F44)</f>
        <v>178.290666666667</v>
      </c>
      <c r="Q44" s="6" t="n">
        <f aca="false">MIN(MAX($B$21,$E44),$F44)</f>
        <v>177.998333333333</v>
      </c>
      <c r="R44" s="6" t="n">
        <f aca="false">MIN(MAX($B$22,$E44),$F44)</f>
        <v>178.265333333333</v>
      </c>
      <c r="S44" s="6" t="n">
        <f aca="false">AVERAGE(G44:R44)</f>
        <v>178.348788130911</v>
      </c>
      <c r="T44" s="6" t="n">
        <f aca="false">1.134*STDEV(G44:R44)</f>
        <v>0.494756277626058</v>
      </c>
      <c r="U44" s="6" t="n">
        <f aca="false">ABS(S44-B44)</f>
        <v>4.66285965501356E-005</v>
      </c>
      <c r="V44" s="6" t="n">
        <f aca="false">ABS(T44-C44)</f>
        <v>9.80888589012241E-005</v>
      </c>
      <c r="W44" s="6" t="n">
        <f aca="false">IF(OR(NOT(ISNUMBER(B44)),B44=0),B44,ROUND(B44,MAX(3-1-INT(LOG10(ABS(B44))),0)))</f>
        <v>178</v>
      </c>
      <c r="X44" s="6" t="n">
        <f aca="false">IF(OR(NOT(ISNUMBER(C44)),C44=0),C44,ROUND(C44,MAX(3-1-INT(LOG10(ABS(C44))),0)))</f>
        <v>0.495</v>
      </c>
      <c r="Y44" s="6" t="n">
        <f aca="false">IF(OR(NOT(ISNUMBER(S44)),S44=0),S44,ROUND(S44,MAX(3-1-INT(LOG10(ABS(S44))),0)))</f>
        <v>178</v>
      </c>
      <c r="Z44" s="6" t="n">
        <f aca="false">IF(OR(NOT(ISNUMBER(T44)),T44=0),T44,ROUND(T44,MAX(3-1-INT(LOG10(ABS(T44))),0)))</f>
        <v>0.495</v>
      </c>
      <c r="AA44" s="7" t="n">
        <f aca="false">IF(AND(Y44=W44,Z44=X44),1,0)</f>
        <v>1</v>
      </c>
      <c r="AB44" s="7" t="n">
        <f aca="false">IF(AND(U44&lt;$B$4,V44&lt;$B$4),1,0)</f>
        <v>0</v>
      </c>
      <c r="AC44" s="7" t="n">
        <f aca="false">IF(OR(AA44=1,AB44=1),1,0)</f>
        <v>1</v>
      </c>
    </row>
    <row r="45" customFormat="false" ht="15" hidden="false" customHeight="false" outlineLevel="0" collapsed="false">
      <c r="A45" s="0" t="n">
        <v>19</v>
      </c>
      <c r="B45" s="6" t="n">
        <f aca="false">S44</f>
        <v>178.348788130911</v>
      </c>
      <c r="C45" s="6" t="n">
        <f aca="false">T44</f>
        <v>0.494756277626058</v>
      </c>
      <c r="D45" s="6" t="n">
        <f aca="false">1.5*C45</f>
        <v>0.742134416439086</v>
      </c>
      <c r="E45" s="6" t="n">
        <f aca="false">B45-D45</f>
        <v>177.606653714472</v>
      </c>
      <c r="F45" s="6" t="n">
        <f aca="false">B45+D45</f>
        <v>179.09092254735</v>
      </c>
      <c r="G45" s="6" t="n">
        <f aca="false">MIN(MAX($B$11,$E45),$F45)</f>
        <v>178.722333333333</v>
      </c>
      <c r="H45" s="6" t="n">
        <f aca="false">MIN(MAX($B$12,$E45),$F45)</f>
        <v>177.981666666667</v>
      </c>
      <c r="I45" s="6" t="n">
        <f aca="false">MIN(MAX($B$13,$E45),$F45)</f>
        <v>179.09092254735</v>
      </c>
      <c r="J45" s="6" t="n">
        <f aca="false">MIN(MAX($B$14,$E45),$F45)</f>
        <v>178.669666666667</v>
      </c>
      <c r="K45" s="6" t="n">
        <f aca="false">MIN(MAX($B$15,$E45),$F45)</f>
        <v>177.849</v>
      </c>
      <c r="L45" s="6" t="n">
        <f aca="false">MIN(MAX($B$16,$E45),$F45)</f>
        <v>178.039333333333</v>
      </c>
      <c r="M45" s="6" t="n">
        <f aca="false">MIN(MAX($B$17,$E45),$F45)</f>
        <v>179.09092254735</v>
      </c>
      <c r="N45" s="6" t="n">
        <f aca="false">MIN(MAX($B$18,$E45),$F45)</f>
        <v>178.035</v>
      </c>
      <c r="O45" s="6" t="n">
        <f aca="false">MIN(MAX($B$19,$E45),$F45)</f>
        <v>178.152666666667</v>
      </c>
      <c r="P45" s="6" t="n">
        <f aca="false">MIN(MAX($B$20,$E45),$F45)</f>
        <v>178.290666666667</v>
      </c>
      <c r="Q45" s="6" t="n">
        <f aca="false">MIN(MAX($B$21,$E45),$F45)</f>
        <v>177.998333333333</v>
      </c>
      <c r="R45" s="6" t="n">
        <f aca="false">MIN(MAX($B$22,$E45),$F45)</f>
        <v>178.265333333333</v>
      </c>
      <c r="S45" s="6" t="n">
        <f aca="false">AVERAGE(G45:R45)</f>
        <v>178.348820424558</v>
      </c>
      <c r="T45" s="6" t="n">
        <f aca="false">1.134*STDEV(G45:R45)</f>
        <v>0.494824217863919</v>
      </c>
      <c r="U45" s="6" t="n">
        <f aca="false">ABS(S45-B45)</f>
        <v>3.22936474788094E-005</v>
      </c>
      <c r="V45" s="6" t="n">
        <f aca="false">ABS(T45-C45)</f>
        <v>6.79402378609972E-005</v>
      </c>
      <c r="W45" s="6" t="n">
        <f aca="false">IF(OR(NOT(ISNUMBER(B45)),B45=0),B45,ROUND(B45,MAX(3-1-INT(LOG10(ABS(B45))),0)))</f>
        <v>178</v>
      </c>
      <c r="X45" s="6" t="n">
        <f aca="false">IF(OR(NOT(ISNUMBER(C45)),C45=0),C45,ROUND(C45,MAX(3-1-INT(LOG10(ABS(C45))),0)))</f>
        <v>0.495</v>
      </c>
      <c r="Y45" s="6" t="n">
        <f aca="false">IF(OR(NOT(ISNUMBER(S45)),S45=0),S45,ROUND(S45,MAX(3-1-INT(LOG10(ABS(S45))),0)))</f>
        <v>178</v>
      </c>
      <c r="Z45" s="6" t="n">
        <f aca="false">IF(OR(NOT(ISNUMBER(T45)),T45=0),T45,ROUND(T45,MAX(3-1-INT(LOG10(ABS(T45))),0)))</f>
        <v>0.495</v>
      </c>
      <c r="AA45" s="7" t="n">
        <f aca="false">IF(AND(Y45=W45,Z45=X45),1,0)</f>
        <v>1</v>
      </c>
      <c r="AB45" s="7" t="n">
        <f aca="false">IF(AND(U45&lt;$B$4,V45&lt;$B$4),1,0)</f>
        <v>0</v>
      </c>
      <c r="AC45" s="7" t="n">
        <f aca="false">IF(OR(AA45=1,AB45=1),1,0)</f>
        <v>1</v>
      </c>
    </row>
    <row r="46" customFormat="false" ht="15" hidden="false" customHeight="false" outlineLevel="0" collapsed="false">
      <c r="A46" s="0" t="n">
        <v>20</v>
      </c>
      <c r="B46" s="6" t="n">
        <f aca="false">S45</f>
        <v>178.348820424558</v>
      </c>
      <c r="C46" s="6" t="n">
        <f aca="false">T45</f>
        <v>0.494824217863919</v>
      </c>
      <c r="D46" s="6" t="n">
        <f aca="false">1.5*C46</f>
        <v>0.742236326795878</v>
      </c>
      <c r="E46" s="6" t="n">
        <f aca="false">B46-D46</f>
        <v>177.606584097762</v>
      </c>
      <c r="F46" s="6" t="n">
        <f aca="false">B46+D46</f>
        <v>179.091056751354</v>
      </c>
      <c r="G46" s="6" t="n">
        <f aca="false">MIN(MAX($B$11,$E46),$F46)</f>
        <v>178.722333333333</v>
      </c>
      <c r="H46" s="6" t="n">
        <f aca="false">MIN(MAX($B$12,$E46),$F46)</f>
        <v>177.981666666667</v>
      </c>
      <c r="I46" s="6" t="n">
        <f aca="false">MIN(MAX($B$13,$E46),$F46)</f>
        <v>179.091056751354</v>
      </c>
      <c r="J46" s="6" t="n">
        <f aca="false">MIN(MAX($B$14,$E46),$F46)</f>
        <v>178.669666666667</v>
      </c>
      <c r="K46" s="6" t="n">
        <f aca="false">MIN(MAX($B$15,$E46),$F46)</f>
        <v>177.849</v>
      </c>
      <c r="L46" s="6" t="n">
        <f aca="false">MIN(MAX($B$16,$E46),$F46)</f>
        <v>178.039333333333</v>
      </c>
      <c r="M46" s="6" t="n">
        <f aca="false">MIN(MAX($B$17,$E46),$F46)</f>
        <v>179.091056751354</v>
      </c>
      <c r="N46" s="6" t="n">
        <f aca="false">MIN(MAX($B$18,$E46),$F46)</f>
        <v>178.035</v>
      </c>
      <c r="O46" s="6" t="n">
        <f aca="false">MIN(MAX($B$19,$E46),$F46)</f>
        <v>178.152666666667</v>
      </c>
      <c r="P46" s="6" t="n">
        <f aca="false">MIN(MAX($B$20,$E46),$F46)</f>
        <v>178.290666666667</v>
      </c>
      <c r="Q46" s="6" t="n">
        <f aca="false">MIN(MAX($B$21,$E46),$F46)</f>
        <v>177.998333333333</v>
      </c>
      <c r="R46" s="6" t="n">
        <f aca="false">MIN(MAX($B$22,$E46),$F46)</f>
        <v>178.265333333333</v>
      </c>
      <c r="S46" s="6" t="n">
        <f aca="false">AVERAGE(G46:R46)</f>
        <v>178.348842791892</v>
      </c>
      <c r="T46" s="6" t="n">
        <f aca="false">1.134*STDEV(G46:R46)</f>
        <v>0.494871278055725</v>
      </c>
      <c r="U46" s="6" t="n">
        <f aca="false">ABS(S46-B46)</f>
        <v>2.23673340542518E-005</v>
      </c>
      <c r="V46" s="6" t="n">
        <f aca="false">ABS(T46-C46)</f>
        <v>4.70601918064473E-005</v>
      </c>
      <c r="W46" s="6" t="n">
        <f aca="false">IF(OR(NOT(ISNUMBER(B46)),B46=0),B46,ROUND(B46,MAX(3-1-INT(LOG10(ABS(B46))),0)))</f>
        <v>178</v>
      </c>
      <c r="X46" s="6" t="n">
        <f aca="false">IF(OR(NOT(ISNUMBER(C46)),C46=0),C46,ROUND(C46,MAX(3-1-INT(LOG10(ABS(C46))),0)))</f>
        <v>0.495</v>
      </c>
      <c r="Y46" s="6" t="n">
        <f aca="false">IF(OR(NOT(ISNUMBER(S46)),S46=0),S46,ROUND(S46,MAX(3-1-INT(LOG10(ABS(S46))),0)))</f>
        <v>178</v>
      </c>
      <c r="Z46" s="6" t="n">
        <f aca="false">IF(OR(NOT(ISNUMBER(T46)),T46=0),T46,ROUND(T46,MAX(3-1-INT(LOG10(ABS(T46))),0)))</f>
        <v>0.495</v>
      </c>
      <c r="AA46" s="7" t="n">
        <f aca="false">IF(AND(Y46=W46,Z46=X46),1,0)</f>
        <v>1</v>
      </c>
      <c r="AB46" s="7" t="n">
        <f aca="false">IF(AND(U46&lt;$B$4,V46&lt;$B$4),1,0)</f>
        <v>0</v>
      </c>
      <c r="AC46" s="7" t="n">
        <f aca="false">IF(OR(AA46=1,AB46=1),1,0)</f>
        <v>1</v>
      </c>
    </row>
    <row r="47" customFormat="false" ht="15" hidden="false" customHeight="false" outlineLevel="0" collapsed="false">
      <c r="A47" s="0" t="n">
        <v>21</v>
      </c>
      <c r="B47" s="6" t="n">
        <f aca="false">S46</f>
        <v>178.348842791892</v>
      </c>
      <c r="C47" s="6" t="n">
        <f aca="false">T46</f>
        <v>0.494871278055725</v>
      </c>
      <c r="D47" s="6" t="n">
        <f aca="false">1.5*C47</f>
        <v>0.742306917083588</v>
      </c>
      <c r="E47" s="6" t="n">
        <f aca="false">B47-D47</f>
        <v>177.606535874809</v>
      </c>
      <c r="F47" s="6" t="n">
        <f aca="false">B47+D47</f>
        <v>179.091149708976</v>
      </c>
      <c r="G47" s="6" t="n">
        <f aca="false">MIN(MAX($B$11,$E47),$F47)</f>
        <v>178.722333333333</v>
      </c>
      <c r="H47" s="6" t="n">
        <f aca="false">MIN(MAX($B$12,$E47),$F47)</f>
        <v>177.981666666667</v>
      </c>
      <c r="I47" s="6" t="n">
        <f aca="false">MIN(MAX($B$13,$E47),$F47)</f>
        <v>179.091149708976</v>
      </c>
      <c r="J47" s="6" t="n">
        <f aca="false">MIN(MAX($B$14,$E47),$F47)</f>
        <v>178.669666666667</v>
      </c>
      <c r="K47" s="6" t="n">
        <f aca="false">MIN(MAX($B$15,$E47),$F47)</f>
        <v>177.849</v>
      </c>
      <c r="L47" s="6" t="n">
        <f aca="false">MIN(MAX($B$16,$E47),$F47)</f>
        <v>178.039333333333</v>
      </c>
      <c r="M47" s="6" t="n">
        <f aca="false">MIN(MAX($B$17,$E47),$F47)</f>
        <v>179.091149708976</v>
      </c>
      <c r="N47" s="6" t="n">
        <f aca="false">MIN(MAX($B$18,$E47),$F47)</f>
        <v>178.035</v>
      </c>
      <c r="O47" s="6" t="n">
        <f aca="false">MIN(MAX($B$19,$E47),$F47)</f>
        <v>178.152666666667</v>
      </c>
      <c r="P47" s="6" t="n">
        <f aca="false">MIN(MAX($B$20,$E47),$F47)</f>
        <v>178.290666666667</v>
      </c>
      <c r="Q47" s="6" t="n">
        <f aca="false">MIN(MAX($B$21,$E47),$F47)</f>
        <v>177.998333333333</v>
      </c>
      <c r="R47" s="6" t="n">
        <f aca="false">MIN(MAX($B$22,$E47),$F47)</f>
        <v>178.265333333333</v>
      </c>
      <c r="S47" s="6" t="n">
        <f aca="false">AVERAGE(G47:R47)</f>
        <v>178.348858284829</v>
      </c>
      <c r="T47" s="6" t="n">
        <f aca="false">1.134*STDEV(G47:R47)</f>
        <v>0.494903876258201</v>
      </c>
      <c r="U47" s="6" t="n">
        <f aca="false">ABS(S47-B47)</f>
        <v>1.54929369671208E-005</v>
      </c>
      <c r="V47" s="6" t="n">
        <f aca="false">ABS(T47-C47)</f>
        <v>3.25982024764193E-005</v>
      </c>
      <c r="W47" s="6" t="n">
        <f aca="false">IF(OR(NOT(ISNUMBER(B47)),B47=0),B47,ROUND(B47,MAX(3-1-INT(LOG10(ABS(B47))),0)))</f>
        <v>178</v>
      </c>
      <c r="X47" s="6" t="n">
        <f aca="false">IF(OR(NOT(ISNUMBER(C47)),C47=0),C47,ROUND(C47,MAX(3-1-INT(LOG10(ABS(C47))),0)))</f>
        <v>0.495</v>
      </c>
      <c r="Y47" s="6" t="n">
        <f aca="false">IF(OR(NOT(ISNUMBER(S47)),S47=0),S47,ROUND(S47,MAX(3-1-INT(LOG10(ABS(S47))),0)))</f>
        <v>178</v>
      </c>
      <c r="Z47" s="6" t="n">
        <f aca="false">IF(OR(NOT(ISNUMBER(T47)),T47=0),T47,ROUND(T47,MAX(3-1-INT(LOG10(ABS(T47))),0)))</f>
        <v>0.495</v>
      </c>
      <c r="AA47" s="7" t="n">
        <f aca="false">IF(AND(Y47=W47,Z47=X47),1,0)</f>
        <v>1</v>
      </c>
      <c r="AB47" s="7" t="n">
        <f aca="false">IF(AND(U47&lt;$B$4,V47&lt;$B$4),1,0)</f>
        <v>0</v>
      </c>
      <c r="AC47" s="7" t="n">
        <f aca="false">IF(OR(AA47=1,AB47=1),1,0)</f>
        <v>1</v>
      </c>
    </row>
    <row r="48" customFormat="false" ht="15" hidden="false" customHeight="false" outlineLevel="0" collapsed="false">
      <c r="A48" s="0" t="n">
        <v>22</v>
      </c>
      <c r="B48" s="6" t="n">
        <f aca="false">S47</f>
        <v>178.348858284829</v>
      </c>
      <c r="C48" s="6" t="n">
        <f aca="false">T47</f>
        <v>0.494903876258201</v>
      </c>
      <c r="D48" s="6" t="n">
        <f aca="false">1.5*C48</f>
        <v>0.742355814387302</v>
      </c>
      <c r="E48" s="6" t="n">
        <f aca="false">B48-D48</f>
        <v>177.606502470442</v>
      </c>
      <c r="F48" s="6" t="n">
        <f aca="false">B48+D48</f>
        <v>179.091214099217</v>
      </c>
      <c r="G48" s="6" t="n">
        <f aca="false">MIN(MAX($B$11,$E48),$F48)</f>
        <v>178.722333333333</v>
      </c>
      <c r="H48" s="6" t="n">
        <f aca="false">MIN(MAX($B$12,$E48),$F48)</f>
        <v>177.981666666667</v>
      </c>
      <c r="I48" s="6" t="n">
        <f aca="false">MIN(MAX($B$13,$E48),$F48)</f>
        <v>179.091214099217</v>
      </c>
      <c r="J48" s="6" t="n">
        <f aca="false">MIN(MAX($B$14,$E48),$F48)</f>
        <v>178.669666666667</v>
      </c>
      <c r="K48" s="6" t="n">
        <f aca="false">MIN(MAX($B$15,$E48),$F48)</f>
        <v>177.849</v>
      </c>
      <c r="L48" s="6" t="n">
        <f aca="false">MIN(MAX($B$16,$E48),$F48)</f>
        <v>178.039333333333</v>
      </c>
      <c r="M48" s="6" t="n">
        <f aca="false">MIN(MAX($B$17,$E48),$F48)</f>
        <v>179.091214099217</v>
      </c>
      <c r="N48" s="6" t="n">
        <f aca="false">MIN(MAX($B$18,$E48),$F48)</f>
        <v>178.035</v>
      </c>
      <c r="O48" s="6" t="n">
        <f aca="false">MIN(MAX($B$19,$E48),$F48)</f>
        <v>178.152666666667</v>
      </c>
      <c r="P48" s="6" t="n">
        <f aca="false">MIN(MAX($B$20,$E48),$F48)</f>
        <v>178.290666666667</v>
      </c>
      <c r="Q48" s="6" t="n">
        <f aca="false">MIN(MAX($B$21,$E48),$F48)</f>
        <v>177.998333333333</v>
      </c>
      <c r="R48" s="6" t="n">
        <f aca="false">MIN(MAX($B$22,$E48),$F48)</f>
        <v>178.265333333333</v>
      </c>
      <c r="S48" s="6" t="n">
        <f aca="false">AVERAGE(G48:R48)</f>
        <v>178.348869016536</v>
      </c>
      <c r="T48" s="6" t="n">
        <f aca="false">1.134*STDEV(G48:R48)</f>
        <v>0.494926457241258</v>
      </c>
      <c r="U48" s="6" t="n">
        <f aca="false">ABS(S48-B48)</f>
        <v>1.07317067659096E-005</v>
      </c>
      <c r="V48" s="6" t="n">
        <f aca="false">ABS(T48-C48)</f>
        <v>2.25809830561863E-005</v>
      </c>
      <c r="W48" s="6" t="n">
        <f aca="false">IF(OR(NOT(ISNUMBER(B48)),B48=0),B48,ROUND(B48,MAX(3-1-INT(LOG10(ABS(B48))),0)))</f>
        <v>178</v>
      </c>
      <c r="X48" s="6" t="n">
        <f aca="false">IF(OR(NOT(ISNUMBER(C48)),C48=0),C48,ROUND(C48,MAX(3-1-INT(LOG10(ABS(C48))),0)))</f>
        <v>0.495</v>
      </c>
      <c r="Y48" s="6" t="n">
        <f aca="false">IF(OR(NOT(ISNUMBER(S48)),S48=0),S48,ROUND(S48,MAX(3-1-INT(LOG10(ABS(S48))),0)))</f>
        <v>178</v>
      </c>
      <c r="Z48" s="6" t="n">
        <f aca="false">IF(OR(NOT(ISNUMBER(T48)),T48=0),T48,ROUND(T48,MAX(3-1-INT(LOG10(ABS(T48))),0)))</f>
        <v>0.495</v>
      </c>
      <c r="AA48" s="7" t="n">
        <f aca="false">IF(AND(Y48=W48,Z48=X48),1,0)</f>
        <v>1</v>
      </c>
      <c r="AB48" s="7" t="n">
        <f aca="false">IF(AND(U48&lt;$B$4,V48&lt;$B$4),1,0)</f>
        <v>0</v>
      </c>
      <c r="AC48" s="7" t="n">
        <f aca="false">IF(OR(AA48=1,AB48=1),1,0)</f>
        <v>1</v>
      </c>
    </row>
    <row r="49" customFormat="false" ht="15" hidden="false" customHeight="false" outlineLevel="0" collapsed="false">
      <c r="A49" s="0" t="n">
        <v>23</v>
      </c>
      <c r="B49" s="6" t="n">
        <f aca="false">S48</f>
        <v>178.348869016536</v>
      </c>
      <c r="C49" s="6" t="n">
        <f aca="false">T48</f>
        <v>0.494926457241258</v>
      </c>
      <c r="D49" s="6" t="n">
        <f aca="false">1.5*C49</f>
        <v>0.742389685861886</v>
      </c>
      <c r="E49" s="6" t="n">
        <f aca="false">B49-D49</f>
        <v>177.606479330674</v>
      </c>
      <c r="F49" s="6" t="n">
        <f aca="false">B49+D49</f>
        <v>179.091258702398</v>
      </c>
      <c r="G49" s="6" t="n">
        <f aca="false">MIN(MAX($B$11,$E49),$F49)</f>
        <v>178.722333333333</v>
      </c>
      <c r="H49" s="6" t="n">
        <f aca="false">MIN(MAX($B$12,$E49),$F49)</f>
        <v>177.981666666667</v>
      </c>
      <c r="I49" s="6" t="n">
        <f aca="false">MIN(MAX($B$13,$E49),$F49)</f>
        <v>179.091258702398</v>
      </c>
      <c r="J49" s="6" t="n">
        <f aca="false">MIN(MAX($B$14,$E49),$F49)</f>
        <v>178.669666666667</v>
      </c>
      <c r="K49" s="6" t="n">
        <f aca="false">MIN(MAX($B$15,$E49),$F49)</f>
        <v>177.849</v>
      </c>
      <c r="L49" s="6" t="n">
        <f aca="false">MIN(MAX($B$16,$E49),$F49)</f>
        <v>178.039333333333</v>
      </c>
      <c r="M49" s="6" t="n">
        <f aca="false">MIN(MAX($B$17,$E49),$F49)</f>
        <v>179.091258702398</v>
      </c>
      <c r="N49" s="6" t="n">
        <f aca="false">MIN(MAX($B$18,$E49),$F49)</f>
        <v>178.035</v>
      </c>
      <c r="O49" s="6" t="n">
        <f aca="false">MIN(MAX($B$19,$E49),$F49)</f>
        <v>178.152666666667</v>
      </c>
      <c r="P49" s="6" t="n">
        <f aca="false">MIN(MAX($B$20,$E49),$F49)</f>
        <v>178.290666666667</v>
      </c>
      <c r="Q49" s="6" t="n">
        <f aca="false">MIN(MAX($B$21,$E49),$F49)</f>
        <v>177.998333333333</v>
      </c>
      <c r="R49" s="6" t="n">
        <f aca="false">MIN(MAX($B$22,$E49),$F49)</f>
        <v>178.265333333333</v>
      </c>
      <c r="S49" s="6" t="n">
        <f aca="false">AVERAGE(G49:R49)</f>
        <v>178.3488764504</v>
      </c>
      <c r="T49" s="6" t="n">
        <f aca="false">1.134*STDEV(G49:R49)</f>
        <v>0.494942099462742</v>
      </c>
      <c r="U49" s="6" t="n">
        <f aca="false">ABS(S49-B49)</f>
        <v>7.43386357271447E-006</v>
      </c>
      <c r="V49" s="6" t="n">
        <f aca="false">ABS(T49-C49)</f>
        <v>1.56422214840357E-005</v>
      </c>
      <c r="W49" s="6" t="n">
        <f aca="false">IF(OR(NOT(ISNUMBER(B49)),B49=0),B49,ROUND(B49,MAX(3-1-INT(LOG10(ABS(B49))),0)))</f>
        <v>178</v>
      </c>
      <c r="X49" s="6" t="n">
        <f aca="false">IF(OR(NOT(ISNUMBER(C49)),C49=0),C49,ROUND(C49,MAX(3-1-INT(LOG10(ABS(C49))),0)))</f>
        <v>0.495</v>
      </c>
      <c r="Y49" s="6" t="n">
        <f aca="false">IF(OR(NOT(ISNUMBER(S49)),S49=0),S49,ROUND(S49,MAX(3-1-INT(LOG10(ABS(S49))),0)))</f>
        <v>178</v>
      </c>
      <c r="Z49" s="6" t="n">
        <f aca="false">IF(OR(NOT(ISNUMBER(T49)),T49=0),T49,ROUND(T49,MAX(3-1-INT(LOG10(ABS(T49))),0)))</f>
        <v>0.495</v>
      </c>
      <c r="AA49" s="7" t="n">
        <f aca="false">IF(AND(Y49=W49,Z49=X49),1,0)</f>
        <v>1</v>
      </c>
      <c r="AB49" s="7" t="n">
        <f aca="false">IF(AND(U49&lt;$B$4,V49&lt;$B$4),1,0)</f>
        <v>0</v>
      </c>
      <c r="AC49" s="7" t="n">
        <f aca="false">IF(OR(AA49=1,AB49=1),1,0)</f>
        <v>1</v>
      </c>
    </row>
    <row r="50" customFormat="false" ht="15" hidden="false" customHeight="false" outlineLevel="0" collapsed="false">
      <c r="A50" s="0" t="n">
        <v>24</v>
      </c>
      <c r="B50" s="6" t="n">
        <f aca="false">S49</f>
        <v>178.3488764504</v>
      </c>
      <c r="C50" s="6" t="n">
        <f aca="false">T49</f>
        <v>0.494942099462742</v>
      </c>
      <c r="D50" s="6" t="n">
        <f aca="false">1.5*C50</f>
        <v>0.742413149194113</v>
      </c>
      <c r="E50" s="6" t="n">
        <f aca="false">B50-D50</f>
        <v>177.606463301206</v>
      </c>
      <c r="F50" s="6" t="n">
        <f aca="false">B50+D50</f>
        <v>179.091289599594</v>
      </c>
      <c r="G50" s="6" t="n">
        <f aca="false">MIN(MAX($B$11,$E50),$F50)</f>
        <v>178.722333333333</v>
      </c>
      <c r="H50" s="6" t="n">
        <f aca="false">MIN(MAX($B$12,$E50),$F50)</f>
        <v>177.981666666667</v>
      </c>
      <c r="I50" s="6" t="n">
        <f aca="false">MIN(MAX($B$13,$E50),$F50)</f>
        <v>179.091289599594</v>
      </c>
      <c r="J50" s="6" t="n">
        <f aca="false">MIN(MAX($B$14,$E50),$F50)</f>
        <v>178.669666666667</v>
      </c>
      <c r="K50" s="6" t="n">
        <f aca="false">MIN(MAX($B$15,$E50),$F50)</f>
        <v>177.849</v>
      </c>
      <c r="L50" s="6" t="n">
        <f aca="false">MIN(MAX($B$16,$E50),$F50)</f>
        <v>178.039333333333</v>
      </c>
      <c r="M50" s="6" t="n">
        <f aca="false">MIN(MAX($B$17,$E50),$F50)</f>
        <v>179.091289599594</v>
      </c>
      <c r="N50" s="6" t="n">
        <f aca="false">MIN(MAX($B$18,$E50),$F50)</f>
        <v>178.035</v>
      </c>
      <c r="O50" s="6" t="n">
        <f aca="false">MIN(MAX($B$19,$E50),$F50)</f>
        <v>178.152666666667</v>
      </c>
      <c r="P50" s="6" t="n">
        <f aca="false">MIN(MAX($B$20,$E50),$F50)</f>
        <v>178.290666666667</v>
      </c>
      <c r="Q50" s="6" t="n">
        <f aca="false">MIN(MAX($B$21,$E50),$F50)</f>
        <v>177.998333333333</v>
      </c>
      <c r="R50" s="6" t="n">
        <f aca="false">MIN(MAX($B$22,$E50),$F50)</f>
        <v>178.265333333333</v>
      </c>
      <c r="S50" s="6" t="n">
        <f aca="false">AVERAGE(G50:R50)</f>
        <v>178.348881599932</v>
      </c>
      <c r="T50" s="6" t="n">
        <f aca="false">1.134*STDEV(G50:R50)</f>
        <v>0.494952935199509</v>
      </c>
      <c r="U50" s="6" t="n">
        <f aca="false">ABS(S50-B50)</f>
        <v>5.14953262609197E-006</v>
      </c>
      <c r="V50" s="6" t="n">
        <f aca="false">ABS(T50-C50)</f>
        <v>1.08357367676892E-005</v>
      </c>
      <c r="W50" s="6" t="n">
        <f aca="false">IF(OR(NOT(ISNUMBER(B50)),B50=0),B50,ROUND(B50,MAX(3-1-INT(LOG10(ABS(B50))),0)))</f>
        <v>178</v>
      </c>
      <c r="X50" s="6" t="n">
        <f aca="false">IF(OR(NOT(ISNUMBER(C50)),C50=0),C50,ROUND(C50,MAX(3-1-INT(LOG10(ABS(C50))),0)))</f>
        <v>0.495</v>
      </c>
      <c r="Y50" s="6" t="n">
        <f aca="false">IF(OR(NOT(ISNUMBER(S50)),S50=0),S50,ROUND(S50,MAX(3-1-INT(LOG10(ABS(S50))),0)))</f>
        <v>178</v>
      </c>
      <c r="Z50" s="6" t="n">
        <f aca="false">IF(OR(NOT(ISNUMBER(T50)),T50=0),T50,ROUND(T50,MAX(3-1-INT(LOG10(ABS(T50))),0)))</f>
        <v>0.495</v>
      </c>
      <c r="AA50" s="7" t="n">
        <f aca="false">IF(AND(Y50=W50,Z50=X50),1,0)</f>
        <v>1</v>
      </c>
      <c r="AB50" s="7" t="n">
        <f aca="false">IF(AND(U50&lt;$B$4,V50&lt;$B$4),1,0)</f>
        <v>0</v>
      </c>
      <c r="AC50" s="7" t="n">
        <f aca="false">IF(OR(AA50=1,AB50=1),1,0)</f>
        <v>1</v>
      </c>
    </row>
    <row r="51" customFormat="false" ht="15" hidden="false" customHeight="false" outlineLevel="0" collapsed="false">
      <c r="A51" s="0" t="n">
        <v>25</v>
      </c>
      <c r="B51" s="6" t="n">
        <f aca="false">S50</f>
        <v>178.348881599932</v>
      </c>
      <c r="C51" s="6" t="n">
        <f aca="false">T50</f>
        <v>0.494952935199509</v>
      </c>
      <c r="D51" s="6" t="n">
        <f aca="false">1.5*C51</f>
        <v>0.742429402799264</v>
      </c>
      <c r="E51" s="6" t="n">
        <f aca="false">B51-D51</f>
        <v>177.606452197133</v>
      </c>
      <c r="F51" s="6" t="n">
        <f aca="false">B51+D51</f>
        <v>179.091311002732</v>
      </c>
      <c r="G51" s="6" t="n">
        <f aca="false">MIN(MAX($B$11,$E51),$F51)</f>
        <v>178.722333333333</v>
      </c>
      <c r="H51" s="6" t="n">
        <f aca="false">MIN(MAX($B$12,$E51),$F51)</f>
        <v>177.981666666667</v>
      </c>
      <c r="I51" s="6" t="n">
        <f aca="false">MIN(MAX($B$13,$E51),$F51)</f>
        <v>179.091311002732</v>
      </c>
      <c r="J51" s="6" t="n">
        <f aca="false">MIN(MAX($B$14,$E51),$F51)</f>
        <v>178.669666666667</v>
      </c>
      <c r="K51" s="6" t="n">
        <f aca="false">MIN(MAX($B$15,$E51),$F51)</f>
        <v>177.849</v>
      </c>
      <c r="L51" s="6" t="n">
        <f aca="false">MIN(MAX($B$16,$E51),$F51)</f>
        <v>178.039333333333</v>
      </c>
      <c r="M51" s="6" t="n">
        <f aca="false">MIN(MAX($B$17,$E51),$F51)</f>
        <v>179.091311002732</v>
      </c>
      <c r="N51" s="6" t="n">
        <f aca="false">MIN(MAX($B$18,$E51),$F51)</f>
        <v>178.035</v>
      </c>
      <c r="O51" s="6" t="n">
        <f aca="false">MIN(MAX($B$19,$E51),$F51)</f>
        <v>178.152666666667</v>
      </c>
      <c r="P51" s="6" t="n">
        <f aca="false">MIN(MAX($B$20,$E51),$F51)</f>
        <v>178.290666666667</v>
      </c>
      <c r="Q51" s="6" t="n">
        <f aca="false">MIN(MAX($B$21,$E51),$F51)</f>
        <v>177.998333333333</v>
      </c>
      <c r="R51" s="6" t="n">
        <f aca="false">MIN(MAX($B$22,$E51),$F51)</f>
        <v>178.265333333333</v>
      </c>
      <c r="S51" s="6" t="n">
        <f aca="false">AVERAGE(G51:R51)</f>
        <v>178.348885167122</v>
      </c>
      <c r="T51" s="6" t="n">
        <f aca="false">1.134*STDEV(G51:R51)</f>
        <v>0.494960441423667</v>
      </c>
      <c r="U51" s="6" t="n">
        <f aca="false">ABS(S51-B51)</f>
        <v>3.56718962279956E-006</v>
      </c>
      <c r="V51" s="6" t="n">
        <f aca="false">ABS(T51-C51)</f>
        <v>7.50622415801594E-006</v>
      </c>
      <c r="W51" s="6" t="n">
        <f aca="false">IF(OR(NOT(ISNUMBER(B51)),B51=0),B51,ROUND(B51,MAX(3-1-INT(LOG10(ABS(B51))),0)))</f>
        <v>178</v>
      </c>
      <c r="X51" s="6" t="n">
        <f aca="false">IF(OR(NOT(ISNUMBER(C51)),C51=0),C51,ROUND(C51,MAX(3-1-INT(LOG10(ABS(C51))),0)))</f>
        <v>0.495</v>
      </c>
      <c r="Y51" s="6" t="n">
        <f aca="false">IF(OR(NOT(ISNUMBER(S51)),S51=0),S51,ROUND(S51,MAX(3-1-INT(LOG10(ABS(S51))),0)))</f>
        <v>178</v>
      </c>
      <c r="Z51" s="6" t="n">
        <f aca="false">IF(OR(NOT(ISNUMBER(T51)),T51=0),T51,ROUND(T51,MAX(3-1-INT(LOG10(ABS(T51))),0)))</f>
        <v>0.495</v>
      </c>
      <c r="AA51" s="7" t="n">
        <f aca="false">IF(AND(Y51=W51,Z51=X51),1,0)</f>
        <v>1</v>
      </c>
      <c r="AB51" s="7" t="n">
        <f aca="false">IF(AND(U51&lt;$B$4,V51&lt;$B$4),1,0)</f>
        <v>0</v>
      </c>
      <c r="AC51" s="7" t="n">
        <f aca="false">IF(OR(AA51=1,AB51=1),1,0)</f>
        <v>1</v>
      </c>
    </row>
    <row r="52" customFormat="false" ht="15" hidden="false" customHeight="false" outlineLevel="0" collapsed="false">
      <c r="A52" s="0" t="n">
        <v>26</v>
      </c>
      <c r="B52" s="6" t="n">
        <f aca="false">S51</f>
        <v>178.348885167122</v>
      </c>
      <c r="C52" s="6" t="n">
        <f aca="false">T51</f>
        <v>0.494960441423667</v>
      </c>
      <c r="D52" s="6" t="n">
        <f aca="false">1.5*C52</f>
        <v>0.742440662135501</v>
      </c>
      <c r="E52" s="6" t="n">
        <f aca="false">B52-D52</f>
        <v>177.606444504986</v>
      </c>
      <c r="F52" s="6" t="n">
        <f aca="false">B52+D52</f>
        <v>179.091325829257</v>
      </c>
      <c r="G52" s="6" t="n">
        <f aca="false">MIN(MAX($B$11,$E52),$F52)</f>
        <v>178.722333333333</v>
      </c>
      <c r="H52" s="6" t="n">
        <f aca="false">MIN(MAX($B$12,$E52),$F52)</f>
        <v>177.981666666667</v>
      </c>
      <c r="I52" s="6" t="n">
        <f aca="false">MIN(MAX($B$13,$E52),$F52)</f>
        <v>179.091325829257</v>
      </c>
      <c r="J52" s="6" t="n">
        <f aca="false">MIN(MAX($B$14,$E52),$F52)</f>
        <v>178.669666666667</v>
      </c>
      <c r="K52" s="6" t="n">
        <f aca="false">MIN(MAX($B$15,$E52),$F52)</f>
        <v>177.849</v>
      </c>
      <c r="L52" s="6" t="n">
        <f aca="false">MIN(MAX($B$16,$E52),$F52)</f>
        <v>178.039333333333</v>
      </c>
      <c r="M52" s="6" t="n">
        <f aca="false">MIN(MAX($B$17,$E52),$F52)</f>
        <v>179.091325829257</v>
      </c>
      <c r="N52" s="6" t="n">
        <f aca="false">MIN(MAX($B$18,$E52),$F52)</f>
        <v>178.035</v>
      </c>
      <c r="O52" s="6" t="n">
        <f aca="false">MIN(MAX($B$19,$E52),$F52)</f>
        <v>178.152666666667</v>
      </c>
      <c r="P52" s="6" t="n">
        <f aca="false">MIN(MAX($B$20,$E52),$F52)</f>
        <v>178.290666666667</v>
      </c>
      <c r="Q52" s="6" t="n">
        <f aca="false">MIN(MAX($B$21,$E52),$F52)</f>
        <v>177.998333333333</v>
      </c>
      <c r="R52" s="6" t="n">
        <f aca="false">MIN(MAX($B$22,$E52),$F52)</f>
        <v>178.265333333333</v>
      </c>
      <c r="S52" s="6" t="n">
        <f aca="false">AVERAGE(G52:R52)</f>
        <v>178.34888763821</v>
      </c>
      <c r="T52" s="6" t="n">
        <f aca="false">1.134*STDEV(G52:R52)</f>
        <v>0.494965641224834</v>
      </c>
      <c r="U52" s="6" t="n">
        <f aca="false">ABS(S52-B52)</f>
        <v>2.47108764028781E-006</v>
      </c>
      <c r="V52" s="6" t="n">
        <f aca="false">ABS(T52-C52)</f>
        <v>5.19980116669982E-006</v>
      </c>
      <c r="W52" s="6" t="n">
        <f aca="false">IF(OR(NOT(ISNUMBER(B52)),B52=0),B52,ROUND(B52,MAX(3-1-INT(LOG10(ABS(B52))),0)))</f>
        <v>178</v>
      </c>
      <c r="X52" s="6" t="n">
        <f aca="false">IF(OR(NOT(ISNUMBER(C52)),C52=0),C52,ROUND(C52,MAX(3-1-INT(LOG10(ABS(C52))),0)))</f>
        <v>0.495</v>
      </c>
      <c r="Y52" s="6" t="n">
        <f aca="false">IF(OR(NOT(ISNUMBER(S52)),S52=0),S52,ROUND(S52,MAX(3-1-INT(LOG10(ABS(S52))),0)))</f>
        <v>178</v>
      </c>
      <c r="Z52" s="6" t="n">
        <f aca="false">IF(OR(NOT(ISNUMBER(T52)),T52=0),T52,ROUND(T52,MAX(3-1-INT(LOG10(ABS(T52))),0)))</f>
        <v>0.495</v>
      </c>
      <c r="AA52" s="7" t="n">
        <f aca="false">IF(AND(Y52=W52,Z52=X52),1,0)</f>
        <v>1</v>
      </c>
      <c r="AB52" s="7" t="n">
        <f aca="false">IF(AND(U52&lt;$B$4,V52&lt;$B$4),1,0)</f>
        <v>0</v>
      </c>
      <c r="AC52" s="7" t="n">
        <f aca="false">IF(OR(AA52=1,AB52=1),1,0)</f>
        <v>1</v>
      </c>
    </row>
    <row r="53" customFormat="false" ht="15" hidden="false" customHeight="false" outlineLevel="0" collapsed="false">
      <c r="A53" s="0" t="n">
        <v>27</v>
      </c>
      <c r="B53" s="6" t="n">
        <f aca="false">S52</f>
        <v>178.34888763821</v>
      </c>
      <c r="C53" s="6" t="n">
        <f aca="false">T52</f>
        <v>0.494965641224834</v>
      </c>
      <c r="D53" s="6" t="n">
        <f aca="false">1.5*C53</f>
        <v>0.742448461837251</v>
      </c>
      <c r="E53" s="6" t="n">
        <f aca="false">B53-D53</f>
        <v>177.606439176372</v>
      </c>
      <c r="F53" s="6" t="n">
        <f aca="false">B53+D53</f>
        <v>179.091336100047</v>
      </c>
      <c r="G53" s="6" t="n">
        <f aca="false">MIN(MAX($B$11,$E53),$F53)</f>
        <v>178.722333333333</v>
      </c>
      <c r="H53" s="6" t="n">
        <f aca="false">MIN(MAX($B$12,$E53),$F53)</f>
        <v>177.981666666667</v>
      </c>
      <c r="I53" s="6" t="n">
        <f aca="false">MIN(MAX($B$13,$E53),$F53)</f>
        <v>179.091336100047</v>
      </c>
      <c r="J53" s="6" t="n">
        <f aca="false">MIN(MAX($B$14,$E53),$F53)</f>
        <v>178.669666666667</v>
      </c>
      <c r="K53" s="6" t="n">
        <f aca="false">MIN(MAX($B$15,$E53),$F53)</f>
        <v>177.849</v>
      </c>
      <c r="L53" s="6" t="n">
        <f aca="false">MIN(MAX($B$16,$E53),$F53)</f>
        <v>178.039333333333</v>
      </c>
      <c r="M53" s="6" t="n">
        <f aca="false">MIN(MAX($B$17,$E53),$F53)</f>
        <v>179.091336100047</v>
      </c>
      <c r="N53" s="6" t="n">
        <f aca="false">MIN(MAX($B$18,$E53),$F53)</f>
        <v>178.035</v>
      </c>
      <c r="O53" s="6" t="n">
        <f aca="false">MIN(MAX($B$19,$E53),$F53)</f>
        <v>178.152666666667</v>
      </c>
      <c r="P53" s="6" t="n">
        <f aca="false">MIN(MAX($B$20,$E53),$F53)</f>
        <v>178.290666666667</v>
      </c>
      <c r="Q53" s="6" t="n">
        <f aca="false">MIN(MAX($B$21,$E53),$F53)</f>
        <v>177.998333333333</v>
      </c>
      <c r="R53" s="6" t="n">
        <f aca="false">MIN(MAX($B$22,$E53),$F53)</f>
        <v>178.265333333333</v>
      </c>
      <c r="S53" s="6" t="n">
        <f aca="false">AVERAGE(G53:R53)</f>
        <v>178.348889350008</v>
      </c>
      <c r="T53" s="6" t="n">
        <f aca="false">1.134*STDEV(G53:R53)</f>
        <v>0.494969243305366</v>
      </c>
      <c r="U53" s="6" t="n">
        <f aca="false">ABS(S53-B53)</f>
        <v>1.71179823382772E-006</v>
      </c>
      <c r="V53" s="6" t="n">
        <f aca="false">ABS(T53-C53)</f>
        <v>3.60208053173938E-006</v>
      </c>
      <c r="W53" s="6" t="n">
        <f aca="false">IF(OR(NOT(ISNUMBER(B53)),B53=0),B53,ROUND(B53,MAX(3-1-INT(LOG10(ABS(B53))),0)))</f>
        <v>178</v>
      </c>
      <c r="X53" s="6" t="n">
        <f aca="false">IF(OR(NOT(ISNUMBER(C53)),C53=0),C53,ROUND(C53,MAX(3-1-INT(LOG10(ABS(C53))),0)))</f>
        <v>0.495</v>
      </c>
      <c r="Y53" s="6" t="n">
        <f aca="false">IF(OR(NOT(ISNUMBER(S53)),S53=0),S53,ROUND(S53,MAX(3-1-INT(LOG10(ABS(S53))),0)))</f>
        <v>178</v>
      </c>
      <c r="Z53" s="6" t="n">
        <f aca="false">IF(OR(NOT(ISNUMBER(T53)),T53=0),T53,ROUND(T53,MAX(3-1-INT(LOG10(ABS(T53))),0)))</f>
        <v>0.495</v>
      </c>
      <c r="AA53" s="7" t="n">
        <f aca="false">IF(AND(Y53=W53,Z53=X53),1,0)</f>
        <v>1</v>
      </c>
      <c r="AB53" s="7" t="n">
        <f aca="false">IF(AND(U53&lt;$B$4,V53&lt;$B$4),1,0)</f>
        <v>0</v>
      </c>
      <c r="AC53" s="7" t="n">
        <f aca="false">IF(OR(AA53=1,AB53=1),1,0)</f>
        <v>1</v>
      </c>
    </row>
    <row r="54" customFormat="false" ht="15" hidden="false" customHeight="false" outlineLevel="0" collapsed="false">
      <c r="A54" s="0" t="n">
        <v>28</v>
      </c>
      <c r="B54" s="6" t="n">
        <f aca="false">S53</f>
        <v>178.348889350008</v>
      </c>
      <c r="C54" s="6" t="n">
        <f aca="false">T53</f>
        <v>0.494969243305366</v>
      </c>
      <c r="D54" s="6" t="n">
        <f aca="false">1.5*C54</f>
        <v>0.742453864958049</v>
      </c>
      <c r="E54" s="6" t="n">
        <f aca="false">B54-D54</f>
        <v>177.60643548505</v>
      </c>
      <c r="F54" s="6" t="n">
        <f aca="false">B54+D54</f>
        <v>179.091343214966</v>
      </c>
      <c r="G54" s="6" t="n">
        <f aca="false">MIN(MAX($B$11,$E54),$F54)</f>
        <v>178.722333333333</v>
      </c>
      <c r="H54" s="6" t="n">
        <f aca="false">MIN(MAX($B$12,$E54),$F54)</f>
        <v>177.981666666667</v>
      </c>
      <c r="I54" s="6" t="n">
        <f aca="false">MIN(MAX($B$13,$E54),$F54)</f>
        <v>179.091343214966</v>
      </c>
      <c r="J54" s="6" t="n">
        <f aca="false">MIN(MAX($B$14,$E54),$F54)</f>
        <v>178.669666666667</v>
      </c>
      <c r="K54" s="6" t="n">
        <f aca="false">MIN(MAX($B$15,$E54),$F54)</f>
        <v>177.849</v>
      </c>
      <c r="L54" s="6" t="n">
        <f aca="false">MIN(MAX($B$16,$E54),$F54)</f>
        <v>178.039333333333</v>
      </c>
      <c r="M54" s="6" t="n">
        <f aca="false">MIN(MAX($B$17,$E54),$F54)</f>
        <v>179.091343214966</v>
      </c>
      <c r="N54" s="6" t="n">
        <f aca="false">MIN(MAX($B$18,$E54),$F54)</f>
        <v>178.035</v>
      </c>
      <c r="O54" s="6" t="n">
        <f aca="false">MIN(MAX($B$19,$E54),$F54)</f>
        <v>178.152666666667</v>
      </c>
      <c r="P54" s="6" t="n">
        <f aca="false">MIN(MAX($B$20,$E54),$F54)</f>
        <v>178.290666666667</v>
      </c>
      <c r="Q54" s="6" t="n">
        <f aca="false">MIN(MAX($B$21,$E54),$F54)</f>
        <v>177.998333333333</v>
      </c>
      <c r="R54" s="6" t="n">
        <f aca="false">MIN(MAX($B$22,$E54),$F54)</f>
        <v>178.265333333333</v>
      </c>
      <c r="S54" s="6" t="n">
        <f aca="false">AVERAGE(G54:R54)</f>
        <v>178.348890535828</v>
      </c>
      <c r="T54" s="6" t="n">
        <f aca="false">1.134*STDEV(G54:R54)</f>
        <v>0.49497173859589</v>
      </c>
      <c r="U54" s="6" t="n">
        <f aca="false">ABS(S54-B54)</f>
        <v>1.1858198547543E-006</v>
      </c>
      <c r="V54" s="6" t="n">
        <f aca="false">ABS(T54-C54)</f>
        <v>2.49529052404052E-006</v>
      </c>
      <c r="W54" s="6" t="n">
        <f aca="false">IF(OR(NOT(ISNUMBER(B54)),B54=0),B54,ROUND(B54,MAX(3-1-INT(LOG10(ABS(B54))),0)))</f>
        <v>178</v>
      </c>
      <c r="X54" s="6" t="n">
        <f aca="false">IF(OR(NOT(ISNUMBER(C54)),C54=0),C54,ROUND(C54,MAX(3-1-INT(LOG10(ABS(C54))),0)))</f>
        <v>0.495</v>
      </c>
      <c r="Y54" s="6" t="n">
        <f aca="false">IF(OR(NOT(ISNUMBER(S54)),S54=0),S54,ROUND(S54,MAX(3-1-INT(LOG10(ABS(S54))),0)))</f>
        <v>178</v>
      </c>
      <c r="Z54" s="6" t="n">
        <f aca="false">IF(OR(NOT(ISNUMBER(T54)),T54=0),T54,ROUND(T54,MAX(3-1-INT(LOG10(ABS(T54))),0)))</f>
        <v>0.495</v>
      </c>
      <c r="AA54" s="7" t="n">
        <f aca="false">IF(AND(Y54=W54,Z54=X54),1,0)</f>
        <v>1</v>
      </c>
      <c r="AB54" s="7" t="n">
        <f aca="false">IF(AND(U54&lt;$B$4,V54&lt;$B$4),1,0)</f>
        <v>0</v>
      </c>
      <c r="AC54" s="7" t="n">
        <f aca="false">IF(OR(AA54=1,AB54=1),1,0)</f>
        <v>1</v>
      </c>
    </row>
    <row r="55" customFormat="false" ht="15" hidden="false" customHeight="false" outlineLevel="0" collapsed="false">
      <c r="A55" s="0" t="n">
        <v>29</v>
      </c>
      <c r="B55" s="6" t="n">
        <f aca="false">S54</f>
        <v>178.348890535828</v>
      </c>
      <c r="C55" s="6" t="n">
        <f aca="false">T54</f>
        <v>0.49497173859589</v>
      </c>
      <c r="D55" s="6" t="n">
        <f aca="false">1.5*C55</f>
        <v>0.742457607893835</v>
      </c>
      <c r="E55" s="6" t="n">
        <f aca="false">B55-D55</f>
        <v>177.606432927934</v>
      </c>
      <c r="F55" s="6" t="n">
        <f aca="false">B55+D55</f>
        <v>179.091348143722</v>
      </c>
      <c r="G55" s="6" t="n">
        <f aca="false">MIN(MAX($B$11,$E55),$F55)</f>
        <v>178.722333333333</v>
      </c>
      <c r="H55" s="6" t="n">
        <f aca="false">MIN(MAX($B$12,$E55),$F55)</f>
        <v>177.981666666667</v>
      </c>
      <c r="I55" s="6" t="n">
        <f aca="false">MIN(MAX($B$13,$E55),$F55)</f>
        <v>179.091348143722</v>
      </c>
      <c r="J55" s="6" t="n">
        <f aca="false">MIN(MAX($B$14,$E55),$F55)</f>
        <v>178.669666666667</v>
      </c>
      <c r="K55" s="6" t="n">
        <f aca="false">MIN(MAX($B$15,$E55),$F55)</f>
        <v>177.849</v>
      </c>
      <c r="L55" s="6" t="n">
        <f aca="false">MIN(MAX($B$16,$E55),$F55)</f>
        <v>178.039333333333</v>
      </c>
      <c r="M55" s="6" t="n">
        <f aca="false">MIN(MAX($B$17,$E55),$F55)</f>
        <v>179.091348143722</v>
      </c>
      <c r="N55" s="6" t="n">
        <f aca="false">MIN(MAX($B$18,$E55),$F55)</f>
        <v>178.035</v>
      </c>
      <c r="O55" s="6" t="n">
        <f aca="false">MIN(MAX($B$19,$E55),$F55)</f>
        <v>178.152666666667</v>
      </c>
      <c r="P55" s="6" t="n">
        <f aca="false">MIN(MAX($B$20,$E55),$F55)</f>
        <v>178.290666666667</v>
      </c>
      <c r="Q55" s="6" t="n">
        <f aca="false">MIN(MAX($B$21,$E55),$F55)</f>
        <v>177.998333333333</v>
      </c>
      <c r="R55" s="6" t="n">
        <f aca="false">MIN(MAX($B$22,$E55),$F55)</f>
        <v>178.265333333333</v>
      </c>
      <c r="S55" s="6" t="n">
        <f aca="false">AVERAGE(G55:R55)</f>
        <v>178.348891357287</v>
      </c>
      <c r="T55" s="6" t="n">
        <f aca="false">1.134*STDEV(G55:R55)</f>
        <v>0.494973467176062</v>
      </c>
      <c r="U55" s="6" t="n">
        <f aca="false">ABS(S55-B55)</f>
        <v>8.21459252620116E-007</v>
      </c>
      <c r="V55" s="6" t="n">
        <f aca="false">ABS(T55-C55)</f>
        <v>1.72858017255528E-006</v>
      </c>
      <c r="W55" s="6" t="n">
        <f aca="false">IF(OR(NOT(ISNUMBER(B55)),B55=0),B55,ROUND(B55,MAX(3-1-INT(LOG10(ABS(B55))),0)))</f>
        <v>178</v>
      </c>
      <c r="X55" s="6" t="n">
        <f aca="false">IF(OR(NOT(ISNUMBER(C55)),C55=0),C55,ROUND(C55,MAX(3-1-INT(LOG10(ABS(C55))),0)))</f>
        <v>0.495</v>
      </c>
      <c r="Y55" s="6" t="n">
        <f aca="false">IF(OR(NOT(ISNUMBER(S55)),S55=0),S55,ROUND(S55,MAX(3-1-INT(LOG10(ABS(S55))),0)))</f>
        <v>178</v>
      </c>
      <c r="Z55" s="6" t="n">
        <f aca="false">IF(OR(NOT(ISNUMBER(T55)),T55=0),T55,ROUND(T55,MAX(3-1-INT(LOG10(ABS(T55))),0)))</f>
        <v>0.495</v>
      </c>
      <c r="AA55" s="7" t="n">
        <f aca="false">IF(AND(Y55=W55,Z55=X55),1,0)</f>
        <v>1</v>
      </c>
      <c r="AB55" s="7" t="n">
        <f aca="false">IF(AND(U55&lt;$B$4,V55&lt;$B$4),1,0)</f>
        <v>0</v>
      </c>
      <c r="AC55" s="7" t="n">
        <f aca="false">IF(OR(AA55=1,AB55=1),1,0)</f>
        <v>1</v>
      </c>
    </row>
    <row r="56" customFormat="false" ht="15" hidden="false" customHeight="false" outlineLevel="0" collapsed="false">
      <c r="A56" s="0" t="n">
        <v>30</v>
      </c>
      <c r="B56" s="6" t="n">
        <f aca="false">S55</f>
        <v>178.348891357287</v>
      </c>
      <c r="C56" s="6" t="n">
        <f aca="false">T55</f>
        <v>0.494973467176062</v>
      </c>
      <c r="D56" s="6" t="n">
        <f aca="false">1.5*C56</f>
        <v>0.742460200764094</v>
      </c>
      <c r="E56" s="6" t="n">
        <f aca="false">B56-D56</f>
        <v>177.606431156523</v>
      </c>
      <c r="F56" s="6" t="n">
        <f aca="false">B56+D56</f>
        <v>179.091351558051</v>
      </c>
      <c r="G56" s="6" t="n">
        <f aca="false">MIN(MAX($B$11,$E56),$F56)</f>
        <v>178.722333333333</v>
      </c>
      <c r="H56" s="6" t="n">
        <f aca="false">MIN(MAX($B$12,$E56),$F56)</f>
        <v>177.981666666667</v>
      </c>
      <c r="I56" s="6" t="n">
        <f aca="false">MIN(MAX($B$13,$E56),$F56)</f>
        <v>179.091351558051</v>
      </c>
      <c r="J56" s="6" t="n">
        <f aca="false">MIN(MAX($B$14,$E56),$F56)</f>
        <v>178.669666666667</v>
      </c>
      <c r="K56" s="6" t="n">
        <f aca="false">MIN(MAX($B$15,$E56),$F56)</f>
        <v>177.849</v>
      </c>
      <c r="L56" s="6" t="n">
        <f aca="false">MIN(MAX($B$16,$E56),$F56)</f>
        <v>178.039333333333</v>
      </c>
      <c r="M56" s="6" t="n">
        <f aca="false">MIN(MAX($B$17,$E56),$F56)</f>
        <v>179.091351558051</v>
      </c>
      <c r="N56" s="6" t="n">
        <f aca="false">MIN(MAX($B$18,$E56),$F56)</f>
        <v>178.035</v>
      </c>
      <c r="O56" s="6" t="n">
        <f aca="false">MIN(MAX($B$19,$E56),$F56)</f>
        <v>178.152666666667</v>
      </c>
      <c r="P56" s="6" t="n">
        <f aca="false">MIN(MAX($B$20,$E56),$F56)</f>
        <v>178.290666666667</v>
      </c>
      <c r="Q56" s="6" t="n">
        <f aca="false">MIN(MAX($B$21,$E56),$F56)</f>
        <v>177.998333333333</v>
      </c>
      <c r="R56" s="6" t="n">
        <f aca="false">MIN(MAX($B$22,$E56),$F56)</f>
        <v>178.265333333333</v>
      </c>
      <c r="S56" s="6" t="n">
        <f aca="false">AVERAGE(G56:R56)</f>
        <v>178.348891926342</v>
      </c>
      <c r="T56" s="6" t="n">
        <f aca="false">1.134*STDEV(G56:R56)</f>
        <v>0.494974664628908</v>
      </c>
      <c r="U56" s="6" t="n">
        <f aca="false">ABS(S56-B56)</f>
        <v>5.6905491874204E-007</v>
      </c>
      <c r="V56" s="6" t="n">
        <f aca="false">ABS(T56-C56)</f>
        <v>1.19745284543615E-006</v>
      </c>
      <c r="W56" s="6" t="n">
        <f aca="false">IF(OR(NOT(ISNUMBER(B56)),B56=0),B56,ROUND(B56,MAX(3-1-INT(LOG10(ABS(B56))),0)))</f>
        <v>178</v>
      </c>
      <c r="X56" s="6" t="n">
        <f aca="false">IF(OR(NOT(ISNUMBER(C56)),C56=0),C56,ROUND(C56,MAX(3-1-INT(LOG10(ABS(C56))),0)))</f>
        <v>0.495</v>
      </c>
      <c r="Y56" s="6" t="n">
        <f aca="false">IF(OR(NOT(ISNUMBER(S56)),S56=0),S56,ROUND(S56,MAX(3-1-INT(LOG10(ABS(S56))),0)))</f>
        <v>178</v>
      </c>
      <c r="Z56" s="6" t="n">
        <f aca="false">IF(OR(NOT(ISNUMBER(T56)),T56=0),T56,ROUND(T56,MAX(3-1-INT(LOG10(ABS(T56))),0)))</f>
        <v>0.495</v>
      </c>
      <c r="AA56" s="7" t="n">
        <f aca="false">IF(AND(Y56=W56,Z56=X56),1,0)</f>
        <v>1</v>
      </c>
      <c r="AB56" s="7" t="n">
        <f aca="false">IF(AND(U56&lt;$B$4,V56&lt;$B$4),1,0)</f>
        <v>0</v>
      </c>
      <c r="AC56" s="7" t="n">
        <f aca="false">IF(OR(AA56=1,AB56=1),1,0)</f>
        <v>1</v>
      </c>
    </row>
    <row r="57" customFormat="false" ht="15" hidden="false" customHeight="false" outlineLevel="0" collapsed="false">
      <c r="A57" s="0" t="n">
        <v>31</v>
      </c>
      <c r="B57" s="6" t="n">
        <f aca="false">S56</f>
        <v>178.348891926342</v>
      </c>
      <c r="C57" s="6" t="n">
        <f aca="false">T56</f>
        <v>0.494974664628908</v>
      </c>
      <c r="D57" s="6" t="n">
        <f aca="false">1.5*C57</f>
        <v>0.742461996943362</v>
      </c>
      <c r="E57" s="6" t="n">
        <f aca="false">B57-D57</f>
        <v>177.606429929398</v>
      </c>
      <c r="F57" s="6" t="n">
        <f aca="false">B57+D57</f>
        <v>179.091353923285</v>
      </c>
      <c r="G57" s="6" t="n">
        <f aca="false">MIN(MAX($B$11,$E57),$F57)</f>
        <v>178.722333333333</v>
      </c>
      <c r="H57" s="6" t="n">
        <f aca="false">MIN(MAX($B$12,$E57),$F57)</f>
        <v>177.981666666667</v>
      </c>
      <c r="I57" s="6" t="n">
        <f aca="false">MIN(MAX($B$13,$E57),$F57)</f>
        <v>179.091353923285</v>
      </c>
      <c r="J57" s="6" t="n">
        <f aca="false">MIN(MAX($B$14,$E57),$F57)</f>
        <v>178.669666666667</v>
      </c>
      <c r="K57" s="6" t="n">
        <f aca="false">MIN(MAX($B$15,$E57),$F57)</f>
        <v>177.849</v>
      </c>
      <c r="L57" s="6" t="n">
        <f aca="false">MIN(MAX($B$16,$E57),$F57)</f>
        <v>178.039333333333</v>
      </c>
      <c r="M57" s="6" t="n">
        <f aca="false">MIN(MAX($B$17,$E57),$F57)</f>
        <v>179.091353923285</v>
      </c>
      <c r="N57" s="6" t="n">
        <f aca="false">MIN(MAX($B$18,$E57),$F57)</f>
        <v>178.035</v>
      </c>
      <c r="O57" s="6" t="n">
        <f aca="false">MIN(MAX($B$19,$E57),$F57)</f>
        <v>178.152666666667</v>
      </c>
      <c r="P57" s="6" t="n">
        <f aca="false">MIN(MAX($B$20,$E57),$F57)</f>
        <v>178.290666666667</v>
      </c>
      <c r="Q57" s="6" t="n">
        <f aca="false">MIN(MAX($B$21,$E57),$F57)</f>
        <v>177.998333333333</v>
      </c>
      <c r="R57" s="6" t="n">
        <f aca="false">MIN(MAX($B$22,$E57),$F57)</f>
        <v>178.265333333333</v>
      </c>
      <c r="S57" s="6" t="n">
        <f aca="false">AVERAGE(G57:R57)</f>
        <v>178.348892320548</v>
      </c>
      <c r="T57" s="6" t="n">
        <f aca="false">1.134*STDEV(G57:R57)</f>
        <v>0.494975494150417</v>
      </c>
      <c r="U57" s="6" t="n">
        <f aca="false">ABS(S57-B57)</f>
        <v>3.94205699194572E-007</v>
      </c>
      <c r="V57" s="6" t="n">
        <f aca="false">ABS(T57-C57)</f>
        <v>8.29521509260189E-007</v>
      </c>
      <c r="W57" s="6" t="n">
        <f aca="false">IF(OR(NOT(ISNUMBER(B57)),B57=0),B57,ROUND(B57,MAX(3-1-INT(LOG10(ABS(B57))),0)))</f>
        <v>178</v>
      </c>
      <c r="X57" s="6" t="n">
        <f aca="false">IF(OR(NOT(ISNUMBER(C57)),C57=0),C57,ROUND(C57,MAX(3-1-INT(LOG10(ABS(C57))),0)))</f>
        <v>0.495</v>
      </c>
      <c r="Y57" s="6" t="n">
        <f aca="false">IF(OR(NOT(ISNUMBER(S57)),S57=0),S57,ROUND(S57,MAX(3-1-INT(LOG10(ABS(S57))),0)))</f>
        <v>178</v>
      </c>
      <c r="Z57" s="6" t="n">
        <f aca="false">IF(OR(NOT(ISNUMBER(T57)),T57=0),T57,ROUND(T57,MAX(3-1-INT(LOG10(ABS(T57))),0)))</f>
        <v>0.495</v>
      </c>
      <c r="AA57" s="7" t="n">
        <f aca="false">IF(AND(Y57=W57,Z57=X57),1,0)</f>
        <v>1</v>
      </c>
      <c r="AB57" s="7" t="n">
        <f aca="false">IF(AND(U57&lt;$B$4,V57&lt;$B$4),1,0)</f>
        <v>0</v>
      </c>
      <c r="AC57" s="7" t="n">
        <f aca="false">IF(OR(AA57=1,AB57=1),1,0)</f>
        <v>1</v>
      </c>
    </row>
    <row r="58" customFormat="false" ht="15" hidden="false" customHeight="false" outlineLevel="0" collapsed="false">
      <c r="A58" s="0" t="n">
        <v>32</v>
      </c>
      <c r="B58" s="6" t="n">
        <f aca="false">S57</f>
        <v>178.348892320548</v>
      </c>
      <c r="C58" s="6" t="n">
        <f aca="false">T57</f>
        <v>0.494975494150417</v>
      </c>
      <c r="D58" s="6" t="n">
        <f aca="false">1.5*C58</f>
        <v>0.742463241225626</v>
      </c>
      <c r="E58" s="6" t="n">
        <f aca="false">B58-D58</f>
        <v>177.606429079322</v>
      </c>
      <c r="F58" s="6" t="n">
        <f aca="false">B58+D58</f>
        <v>179.091355561773</v>
      </c>
      <c r="G58" s="6" t="n">
        <f aca="false">MIN(MAX($B$11,$E58),$F58)</f>
        <v>178.722333333333</v>
      </c>
      <c r="H58" s="6" t="n">
        <f aca="false">MIN(MAX($B$12,$E58),$F58)</f>
        <v>177.981666666667</v>
      </c>
      <c r="I58" s="6" t="n">
        <f aca="false">MIN(MAX($B$13,$E58),$F58)</f>
        <v>179.091355561773</v>
      </c>
      <c r="J58" s="6" t="n">
        <f aca="false">MIN(MAX($B$14,$E58),$F58)</f>
        <v>178.669666666667</v>
      </c>
      <c r="K58" s="6" t="n">
        <f aca="false">MIN(MAX($B$15,$E58),$F58)</f>
        <v>177.849</v>
      </c>
      <c r="L58" s="6" t="n">
        <f aca="false">MIN(MAX($B$16,$E58),$F58)</f>
        <v>178.039333333333</v>
      </c>
      <c r="M58" s="6" t="n">
        <f aca="false">MIN(MAX($B$17,$E58),$F58)</f>
        <v>179.091355561773</v>
      </c>
      <c r="N58" s="6" t="n">
        <f aca="false">MIN(MAX($B$18,$E58),$F58)</f>
        <v>178.035</v>
      </c>
      <c r="O58" s="6" t="n">
        <f aca="false">MIN(MAX($B$19,$E58),$F58)</f>
        <v>178.152666666667</v>
      </c>
      <c r="P58" s="6" t="n">
        <f aca="false">MIN(MAX($B$20,$E58),$F58)</f>
        <v>178.290666666667</v>
      </c>
      <c r="Q58" s="6" t="n">
        <f aca="false">MIN(MAX($B$21,$E58),$F58)</f>
        <v>177.998333333333</v>
      </c>
      <c r="R58" s="6" t="n">
        <f aca="false">MIN(MAX($B$22,$E58),$F58)</f>
        <v>178.265333333333</v>
      </c>
      <c r="S58" s="6" t="n">
        <f aca="false">AVERAGE(G58:R58)</f>
        <v>178.348892593629</v>
      </c>
      <c r="T58" s="6" t="n">
        <f aca="false">1.134*STDEV(G58:R58)</f>
        <v>0.494976068792105</v>
      </c>
      <c r="U58" s="6" t="n">
        <f aca="false">ABS(S58-B58)</f>
        <v>2.73081326440661E-007</v>
      </c>
      <c r="V58" s="6" t="n">
        <f aca="false">ABS(T58-C58)</f>
        <v>5.74641688011468E-007</v>
      </c>
      <c r="W58" s="6" t="n">
        <f aca="false">IF(OR(NOT(ISNUMBER(B58)),B58=0),B58,ROUND(B58,MAX(3-1-INT(LOG10(ABS(B58))),0)))</f>
        <v>178</v>
      </c>
      <c r="X58" s="6" t="n">
        <f aca="false">IF(OR(NOT(ISNUMBER(C58)),C58=0),C58,ROUND(C58,MAX(3-1-INT(LOG10(ABS(C58))),0)))</f>
        <v>0.495</v>
      </c>
      <c r="Y58" s="6" t="n">
        <f aca="false">IF(OR(NOT(ISNUMBER(S58)),S58=0),S58,ROUND(S58,MAX(3-1-INT(LOG10(ABS(S58))),0)))</f>
        <v>178</v>
      </c>
      <c r="Z58" s="6" t="n">
        <f aca="false">IF(OR(NOT(ISNUMBER(T58)),T58=0),T58,ROUND(T58,MAX(3-1-INT(LOG10(ABS(T58))),0)))</f>
        <v>0.495</v>
      </c>
      <c r="AA58" s="7" t="n">
        <f aca="false">IF(AND(Y58=W58,Z58=X58),1,0)</f>
        <v>1</v>
      </c>
      <c r="AB58" s="7" t="n">
        <f aca="false">IF(AND(U58&lt;$B$4,V58&lt;$B$4),1,0)</f>
        <v>0</v>
      </c>
      <c r="AC58" s="7" t="n">
        <f aca="false">IF(OR(AA58=1,AB58=1),1,0)</f>
        <v>1</v>
      </c>
    </row>
    <row r="59" customFormat="false" ht="15" hidden="false" customHeight="false" outlineLevel="0" collapsed="false">
      <c r="A59" s="0" t="n">
        <v>33</v>
      </c>
      <c r="B59" s="6" t="n">
        <f aca="false">S58</f>
        <v>178.348892593629</v>
      </c>
      <c r="C59" s="6" t="n">
        <f aca="false">T58</f>
        <v>0.494976068792105</v>
      </c>
      <c r="D59" s="6" t="n">
        <f aca="false">1.5*C59</f>
        <v>0.742464103188158</v>
      </c>
      <c r="E59" s="6" t="n">
        <f aca="false">B59-D59</f>
        <v>177.606428490441</v>
      </c>
      <c r="F59" s="6" t="n">
        <f aca="false">B59+D59</f>
        <v>179.091356696817</v>
      </c>
      <c r="G59" s="6" t="n">
        <f aca="false">MIN(MAX($B$11,$E59),$F59)</f>
        <v>178.722333333333</v>
      </c>
      <c r="H59" s="6" t="n">
        <f aca="false">MIN(MAX($B$12,$E59),$F59)</f>
        <v>177.981666666667</v>
      </c>
      <c r="I59" s="6" t="n">
        <f aca="false">MIN(MAX($B$13,$E59),$F59)</f>
        <v>179.091356696817</v>
      </c>
      <c r="J59" s="6" t="n">
        <f aca="false">MIN(MAX($B$14,$E59),$F59)</f>
        <v>178.669666666667</v>
      </c>
      <c r="K59" s="6" t="n">
        <f aca="false">MIN(MAX($B$15,$E59),$F59)</f>
        <v>177.849</v>
      </c>
      <c r="L59" s="6" t="n">
        <f aca="false">MIN(MAX($B$16,$E59),$F59)</f>
        <v>178.039333333333</v>
      </c>
      <c r="M59" s="6" t="n">
        <f aca="false">MIN(MAX($B$17,$E59),$F59)</f>
        <v>179.091356696817</v>
      </c>
      <c r="N59" s="6" t="n">
        <f aca="false">MIN(MAX($B$18,$E59),$F59)</f>
        <v>178.035</v>
      </c>
      <c r="O59" s="6" t="n">
        <f aca="false">MIN(MAX($B$19,$E59),$F59)</f>
        <v>178.152666666667</v>
      </c>
      <c r="P59" s="6" t="n">
        <f aca="false">MIN(MAX($B$20,$E59),$F59)</f>
        <v>178.290666666667</v>
      </c>
      <c r="Q59" s="6" t="n">
        <f aca="false">MIN(MAX($B$21,$E59),$F59)</f>
        <v>177.998333333333</v>
      </c>
      <c r="R59" s="6" t="n">
        <f aca="false">MIN(MAX($B$22,$E59),$F59)</f>
        <v>178.265333333333</v>
      </c>
      <c r="S59" s="6" t="n">
        <f aca="false">AVERAGE(G59:R59)</f>
        <v>178.348892782803</v>
      </c>
      <c r="T59" s="6" t="n">
        <f aca="false">1.134*STDEV(G59:R59)</f>
        <v>0.494976466868802</v>
      </c>
      <c r="U59" s="6" t="n">
        <f aca="false">ABS(S59-B59)</f>
        <v>1.89173988474067E-007</v>
      </c>
      <c r="V59" s="6" t="n">
        <f aca="false">ABS(T59-C59)</f>
        <v>3.98076696661587E-007</v>
      </c>
      <c r="W59" s="6" t="n">
        <f aca="false">IF(OR(NOT(ISNUMBER(B59)),B59=0),B59,ROUND(B59,MAX(3-1-INT(LOG10(ABS(B59))),0)))</f>
        <v>178</v>
      </c>
      <c r="X59" s="6" t="n">
        <f aca="false">IF(OR(NOT(ISNUMBER(C59)),C59=0),C59,ROUND(C59,MAX(3-1-INT(LOG10(ABS(C59))),0)))</f>
        <v>0.495</v>
      </c>
      <c r="Y59" s="6" t="n">
        <f aca="false">IF(OR(NOT(ISNUMBER(S59)),S59=0),S59,ROUND(S59,MAX(3-1-INT(LOG10(ABS(S59))),0)))</f>
        <v>178</v>
      </c>
      <c r="Z59" s="6" t="n">
        <f aca="false">IF(OR(NOT(ISNUMBER(T59)),T59=0),T59,ROUND(T59,MAX(3-1-INT(LOG10(ABS(T59))),0)))</f>
        <v>0.495</v>
      </c>
      <c r="AA59" s="7" t="n">
        <f aca="false">IF(AND(Y59=W59,Z59=X59),1,0)</f>
        <v>1</v>
      </c>
      <c r="AB59" s="7" t="n">
        <f aca="false">IF(AND(U59&lt;$B$4,V59&lt;$B$4),1,0)</f>
        <v>0</v>
      </c>
      <c r="AC59" s="7" t="n">
        <f aca="false">IF(OR(AA59=1,AB59=1),1,0)</f>
        <v>1</v>
      </c>
    </row>
    <row r="60" customFormat="false" ht="15" hidden="false" customHeight="false" outlineLevel="0" collapsed="false">
      <c r="A60" s="0" t="n">
        <v>34</v>
      </c>
      <c r="B60" s="6" t="n">
        <f aca="false">S59</f>
        <v>178.348892782803</v>
      </c>
      <c r="C60" s="6" t="n">
        <f aca="false">T59</f>
        <v>0.494976466868802</v>
      </c>
      <c r="D60" s="6" t="n">
        <f aca="false">1.5*C60</f>
        <v>0.742464700303203</v>
      </c>
      <c r="E60" s="6" t="n">
        <f aca="false">B60-D60</f>
        <v>177.6064280825</v>
      </c>
      <c r="F60" s="6" t="n">
        <f aca="false">B60+D60</f>
        <v>179.091357483106</v>
      </c>
      <c r="G60" s="6" t="n">
        <f aca="false">MIN(MAX($B$11,$E60),$F60)</f>
        <v>178.722333333333</v>
      </c>
      <c r="H60" s="6" t="n">
        <f aca="false">MIN(MAX($B$12,$E60),$F60)</f>
        <v>177.981666666667</v>
      </c>
      <c r="I60" s="6" t="n">
        <f aca="false">MIN(MAX($B$13,$E60),$F60)</f>
        <v>179.091357483106</v>
      </c>
      <c r="J60" s="6" t="n">
        <f aca="false">MIN(MAX($B$14,$E60),$F60)</f>
        <v>178.669666666667</v>
      </c>
      <c r="K60" s="6" t="n">
        <f aca="false">MIN(MAX($B$15,$E60),$F60)</f>
        <v>177.849</v>
      </c>
      <c r="L60" s="6" t="n">
        <f aca="false">MIN(MAX($B$16,$E60),$F60)</f>
        <v>178.039333333333</v>
      </c>
      <c r="M60" s="6" t="n">
        <f aca="false">MIN(MAX($B$17,$E60),$F60)</f>
        <v>179.091357483106</v>
      </c>
      <c r="N60" s="6" t="n">
        <f aca="false">MIN(MAX($B$18,$E60),$F60)</f>
        <v>178.035</v>
      </c>
      <c r="O60" s="6" t="n">
        <f aca="false">MIN(MAX($B$19,$E60),$F60)</f>
        <v>178.152666666667</v>
      </c>
      <c r="P60" s="6" t="n">
        <f aca="false">MIN(MAX($B$20,$E60),$F60)</f>
        <v>178.290666666667</v>
      </c>
      <c r="Q60" s="6" t="n">
        <f aca="false">MIN(MAX($B$21,$E60),$F60)</f>
        <v>177.998333333333</v>
      </c>
      <c r="R60" s="6" t="n">
        <f aca="false">MIN(MAX($B$22,$E60),$F60)</f>
        <v>178.265333333333</v>
      </c>
      <c r="S60" s="6" t="n">
        <f aca="false">AVERAGE(G60:R60)</f>
        <v>178.348892913851</v>
      </c>
      <c r="T60" s="6" t="n">
        <f aca="false">1.134*STDEV(G60:R60)</f>
        <v>0.494976742632128</v>
      </c>
      <c r="U60" s="6" t="n">
        <f aca="false">ABS(S60-B60)</f>
        <v>1.31048182083759E-007</v>
      </c>
      <c r="V60" s="6" t="n">
        <f aca="false">ABS(T60-C60)</f>
        <v>2.75763326451628E-007</v>
      </c>
      <c r="W60" s="6" t="n">
        <f aca="false">IF(OR(NOT(ISNUMBER(B60)),B60=0),B60,ROUND(B60,MAX(3-1-INT(LOG10(ABS(B60))),0)))</f>
        <v>178</v>
      </c>
      <c r="X60" s="6" t="n">
        <f aca="false">IF(OR(NOT(ISNUMBER(C60)),C60=0),C60,ROUND(C60,MAX(3-1-INT(LOG10(ABS(C60))),0)))</f>
        <v>0.495</v>
      </c>
      <c r="Y60" s="6" t="n">
        <f aca="false">IF(OR(NOT(ISNUMBER(S60)),S60=0),S60,ROUND(S60,MAX(3-1-INT(LOG10(ABS(S60))),0)))</f>
        <v>178</v>
      </c>
      <c r="Z60" s="6" t="n">
        <f aca="false">IF(OR(NOT(ISNUMBER(T60)),T60=0),T60,ROUND(T60,MAX(3-1-INT(LOG10(ABS(T60))),0)))</f>
        <v>0.495</v>
      </c>
      <c r="AA60" s="7" t="n">
        <f aca="false">IF(AND(Y60=W60,Z60=X60),1,0)</f>
        <v>1</v>
      </c>
      <c r="AB60" s="7" t="n">
        <f aca="false">IF(AND(U60&lt;$B$4,V60&lt;$B$4),1,0)</f>
        <v>0</v>
      </c>
      <c r="AC60" s="7" t="n">
        <f aca="false">IF(OR(AA60=1,AB60=1),1,0)</f>
        <v>1</v>
      </c>
    </row>
    <row r="61" customFormat="false" ht="15" hidden="false" customHeight="false" outlineLevel="0" collapsed="false">
      <c r="A61" s="0" t="n">
        <v>35</v>
      </c>
      <c r="B61" s="6" t="n">
        <f aca="false">S60</f>
        <v>178.348892913851</v>
      </c>
      <c r="C61" s="6" t="n">
        <f aca="false">T60</f>
        <v>0.494976742632128</v>
      </c>
      <c r="D61" s="6" t="n">
        <f aca="false">1.5*C61</f>
        <v>0.742465113948192</v>
      </c>
      <c r="E61" s="6" t="n">
        <f aca="false">B61-D61</f>
        <v>177.606427799903</v>
      </c>
      <c r="F61" s="6" t="n">
        <f aca="false">B61+D61</f>
        <v>179.091358027799</v>
      </c>
      <c r="G61" s="6" t="n">
        <f aca="false">MIN(MAX($B$11,$E61),$F61)</f>
        <v>178.722333333333</v>
      </c>
      <c r="H61" s="6" t="n">
        <f aca="false">MIN(MAX($B$12,$E61),$F61)</f>
        <v>177.981666666667</v>
      </c>
      <c r="I61" s="6" t="n">
        <f aca="false">MIN(MAX($B$13,$E61),$F61)</f>
        <v>179.091358027799</v>
      </c>
      <c r="J61" s="6" t="n">
        <f aca="false">MIN(MAX($B$14,$E61),$F61)</f>
        <v>178.669666666667</v>
      </c>
      <c r="K61" s="6" t="n">
        <f aca="false">MIN(MAX($B$15,$E61),$F61)</f>
        <v>177.849</v>
      </c>
      <c r="L61" s="6" t="n">
        <f aca="false">MIN(MAX($B$16,$E61),$F61)</f>
        <v>178.039333333333</v>
      </c>
      <c r="M61" s="6" t="n">
        <f aca="false">MIN(MAX($B$17,$E61),$F61)</f>
        <v>179.091358027799</v>
      </c>
      <c r="N61" s="6" t="n">
        <f aca="false">MIN(MAX($B$18,$E61),$F61)</f>
        <v>178.035</v>
      </c>
      <c r="O61" s="6" t="n">
        <f aca="false">MIN(MAX($B$19,$E61),$F61)</f>
        <v>178.152666666667</v>
      </c>
      <c r="P61" s="6" t="n">
        <f aca="false">MIN(MAX($B$20,$E61),$F61)</f>
        <v>178.290666666667</v>
      </c>
      <c r="Q61" s="6" t="n">
        <f aca="false">MIN(MAX($B$21,$E61),$F61)</f>
        <v>177.998333333333</v>
      </c>
      <c r="R61" s="6" t="n">
        <f aca="false">MIN(MAX($B$22,$E61),$F61)</f>
        <v>178.265333333333</v>
      </c>
      <c r="S61" s="6" t="n">
        <f aca="false">AVERAGE(G61:R61)</f>
        <v>178.348893004633</v>
      </c>
      <c r="T61" s="6" t="n">
        <f aca="false">1.134*STDEV(G61:R61)</f>
        <v>0.494976933664222</v>
      </c>
      <c r="U61" s="6" t="n">
        <f aca="false">ABS(S61-B61)</f>
        <v>9.07821799955855E-008</v>
      </c>
      <c r="V61" s="6" t="n">
        <f aca="false">ABS(T61-C61)</f>
        <v>1.9103209342175E-007</v>
      </c>
      <c r="W61" s="6" t="n">
        <f aca="false">IF(OR(NOT(ISNUMBER(B61)),B61=0),B61,ROUND(B61,MAX(3-1-INT(LOG10(ABS(B61))),0)))</f>
        <v>178</v>
      </c>
      <c r="X61" s="6" t="n">
        <f aca="false">IF(OR(NOT(ISNUMBER(C61)),C61=0),C61,ROUND(C61,MAX(3-1-INT(LOG10(ABS(C61))),0)))</f>
        <v>0.495</v>
      </c>
      <c r="Y61" s="6" t="n">
        <f aca="false">IF(OR(NOT(ISNUMBER(S61)),S61=0),S61,ROUND(S61,MAX(3-1-INT(LOG10(ABS(S61))),0)))</f>
        <v>178</v>
      </c>
      <c r="Z61" s="6" t="n">
        <f aca="false">IF(OR(NOT(ISNUMBER(T61)),T61=0),T61,ROUND(T61,MAX(3-1-INT(LOG10(ABS(T61))),0)))</f>
        <v>0.495</v>
      </c>
      <c r="AA61" s="7" t="n">
        <f aca="false">IF(AND(Y61=W61,Z61=X61),1,0)</f>
        <v>1</v>
      </c>
      <c r="AB61" s="7" t="n">
        <f aca="false">IF(AND(U61&lt;$B$4,V61&lt;$B$4),1,0)</f>
        <v>0</v>
      </c>
      <c r="AC61" s="7" t="n">
        <f aca="false">IF(OR(AA61=1,AB61=1),1,0)</f>
        <v>1</v>
      </c>
    </row>
    <row r="62" customFormat="false" ht="15" hidden="false" customHeight="false" outlineLevel="0" collapsed="false">
      <c r="A62" s="0" t="n">
        <v>36</v>
      </c>
      <c r="B62" s="6" t="n">
        <f aca="false">S61</f>
        <v>178.348893004633</v>
      </c>
      <c r="C62" s="6" t="n">
        <f aca="false">T61</f>
        <v>0.494976933664222</v>
      </c>
      <c r="D62" s="6" t="n">
        <f aca="false">1.5*C62</f>
        <v>0.742465400496333</v>
      </c>
      <c r="E62" s="6" t="n">
        <f aca="false">B62-D62</f>
        <v>177.606427604137</v>
      </c>
      <c r="F62" s="6" t="n">
        <f aca="false">B62+D62</f>
        <v>179.09135840513</v>
      </c>
      <c r="G62" s="6" t="n">
        <f aca="false">MIN(MAX($B$11,$E62),$F62)</f>
        <v>178.722333333333</v>
      </c>
      <c r="H62" s="6" t="n">
        <f aca="false">MIN(MAX($B$12,$E62),$F62)</f>
        <v>177.981666666667</v>
      </c>
      <c r="I62" s="6" t="n">
        <f aca="false">MIN(MAX($B$13,$E62),$F62)</f>
        <v>179.09135840513</v>
      </c>
      <c r="J62" s="6" t="n">
        <f aca="false">MIN(MAX($B$14,$E62),$F62)</f>
        <v>178.669666666667</v>
      </c>
      <c r="K62" s="6" t="n">
        <f aca="false">MIN(MAX($B$15,$E62),$F62)</f>
        <v>177.849</v>
      </c>
      <c r="L62" s="6" t="n">
        <f aca="false">MIN(MAX($B$16,$E62),$F62)</f>
        <v>178.039333333333</v>
      </c>
      <c r="M62" s="6" t="n">
        <f aca="false">MIN(MAX($B$17,$E62),$F62)</f>
        <v>179.09135840513</v>
      </c>
      <c r="N62" s="6" t="n">
        <f aca="false">MIN(MAX($B$18,$E62),$F62)</f>
        <v>178.035</v>
      </c>
      <c r="O62" s="6" t="n">
        <f aca="false">MIN(MAX($B$19,$E62),$F62)</f>
        <v>178.152666666667</v>
      </c>
      <c r="P62" s="6" t="n">
        <f aca="false">MIN(MAX($B$20,$E62),$F62)</f>
        <v>178.290666666667</v>
      </c>
      <c r="Q62" s="6" t="n">
        <f aca="false">MIN(MAX($B$21,$E62),$F62)</f>
        <v>177.998333333333</v>
      </c>
      <c r="R62" s="6" t="n">
        <f aca="false">MIN(MAX($B$22,$E62),$F62)</f>
        <v>178.265333333333</v>
      </c>
      <c r="S62" s="6" t="n">
        <f aca="false">AVERAGE(G62:R62)</f>
        <v>178.348893067522</v>
      </c>
      <c r="T62" s="6" t="n">
        <f aca="false">1.134*STDEV(G62:R62)</f>
        <v>0.494977065999677</v>
      </c>
      <c r="U62" s="6" t="n">
        <f aca="false">ABS(S62-B62)</f>
        <v>6.28883753961418E-008</v>
      </c>
      <c r="V62" s="6" t="n">
        <f aca="false">ABS(T62-C62)</f>
        <v>1.32335455371724E-007</v>
      </c>
      <c r="W62" s="6" t="n">
        <f aca="false">IF(OR(NOT(ISNUMBER(B62)),B62=0),B62,ROUND(B62,MAX(3-1-INT(LOG10(ABS(B62))),0)))</f>
        <v>178</v>
      </c>
      <c r="X62" s="6" t="n">
        <f aca="false">IF(OR(NOT(ISNUMBER(C62)),C62=0),C62,ROUND(C62,MAX(3-1-INT(LOG10(ABS(C62))),0)))</f>
        <v>0.495</v>
      </c>
      <c r="Y62" s="6" t="n">
        <f aca="false">IF(OR(NOT(ISNUMBER(S62)),S62=0),S62,ROUND(S62,MAX(3-1-INT(LOG10(ABS(S62))),0)))</f>
        <v>178</v>
      </c>
      <c r="Z62" s="6" t="n">
        <f aca="false">IF(OR(NOT(ISNUMBER(T62)),T62=0),T62,ROUND(T62,MAX(3-1-INT(LOG10(ABS(T62))),0)))</f>
        <v>0.495</v>
      </c>
      <c r="AA62" s="7" t="n">
        <f aca="false">IF(AND(Y62=W62,Z62=X62),1,0)</f>
        <v>1</v>
      </c>
      <c r="AB62" s="7" t="n">
        <f aca="false">IF(AND(U62&lt;$B$4,V62&lt;$B$4),1,0)</f>
        <v>0</v>
      </c>
      <c r="AC62" s="7" t="n">
        <f aca="false">IF(OR(AA62=1,AB62=1),1,0)</f>
        <v>1</v>
      </c>
    </row>
    <row r="63" customFormat="false" ht="15" hidden="false" customHeight="false" outlineLevel="0" collapsed="false">
      <c r="A63" s="0" t="n">
        <v>37</v>
      </c>
      <c r="B63" s="6" t="n">
        <f aca="false">S62</f>
        <v>178.348893067522</v>
      </c>
      <c r="C63" s="6" t="n">
        <f aca="false">T62</f>
        <v>0.494977065999677</v>
      </c>
      <c r="D63" s="6" t="n">
        <f aca="false">1.5*C63</f>
        <v>0.742465598999516</v>
      </c>
      <c r="E63" s="6" t="n">
        <f aca="false">B63-D63</f>
        <v>177.606427468522</v>
      </c>
      <c r="F63" s="6" t="n">
        <f aca="false">B63+D63</f>
        <v>179.091358666521</v>
      </c>
      <c r="G63" s="6" t="n">
        <f aca="false">MIN(MAX($B$11,$E63),$F63)</f>
        <v>178.722333333333</v>
      </c>
      <c r="H63" s="6" t="n">
        <f aca="false">MIN(MAX($B$12,$E63),$F63)</f>
        <v>177.981666666667</v>
      </c>
      <c r="I63" s="6" t="n">
        <f aca="false">MIN(MAX($B$13,$E63),$F63)</f>
        <v>179.091358666521</v>
      </c>
      <c r="J63" s="6" t="n">
        <f aca="false">MIN(MAX($B$14,$E63),$F63)</f>
        <v>178.669666666667</v>
      </c>
      <c r="K63" s="6" t="n">
        <f aca="false">MIN(MAX($B$15,$E63),$F63)</f>
        <v>177.849</v>
      </c>
      <c r="L63" s="6" t="n">
        <f aca="false">MIN(MAX($B$16,$E63),$F63)</f>
        <v>178.039333333333</v>
      </c>
      <c r="M63" s="6" t="n">
        <f aca="false">MIN(MAX($B$17,$E63),$F63)</f>
        <v>179.091358666521</v>
      </c>
      <c r="N63" s="6" t="n">
        <f aca="false">MIN(MAX($B$18,$E63),$F63)</f>
        <v>178.035</v>
      </c>
      <c r="O63" s="6" t="n">
        <f aca="false">MIN(MAX($B$19,$E63),$F63)</f>
        <v>178.152666666667</v>
      </c>
      <c r="P63" s="6" t="n">
        <f aca="false">MIN(MAX($B$20,$E63),$F63)</f>
        <v>178.290666666667</v>
      </c>
      <c r="Q63" s="6" t="n">
        <f aca="false">MIN(MAX($B$21,$E63),$F63)</f>
        <v>177.998333333333</v>
      </c>
      <c r="R63" s="6" t="n">
        <f aca="false">MIN(MAX($B$22,$E63),$F63)</f>
        <v>178.265333333333</v>
      </c>
      <c r="S63" s="6" t="n">
        <f aca="false">AVERAGE(G63:R63)</f>
        <v>178.348893111087</v>
      </c>
      <c r="T63" s="6" t="n">
        <f aca="false">1.134*STDEV(G63:R63)</f>
        <v>0.494977157673653</v>
      </c>
      <c r="U63" s="6" t="n">
        <f aca="false">ABS(S63-B63)</f>
        <v>4.35652509622742E-008</v>
      </c>
      <c r="V63" s="6" t="n">
        <f aca="false">ABS(T63-C63)</f>
        <v>9.16739758549667E-008</v>
      </c>
      <c r="W63" s="6" t="n">
        <f aca="false">IF(OR(NOT(ISNUMBER(B63)),B63=0),B63,ROUND(B63,MAX(3-1-INT(LOG10(ABS(B63))),0)))</f>
        <v>178</v>
      </c>
      <c r="X63" s="6" t="n">
        <f aca="false">IF(OR(NOT(ISNUMBER(C63)),C63=0),C63,ROUND(C63,MAX(3-1-INT(LOG10(ABS(C63))),0)))</f>
        <v>0.495</v>
      </c>
      <c r="Y63" s="6" t="n">
        <f aca="false">IF(OR(NOT(ISNUMBER(S63)),S63=0),S63,ROUND(S63,MAX(3-1-INT(LOG10(ABS(S63))),0)))</f>
        <v>178</v>
      </c>
      <c r="Z63" s="6" t="n">
        <f aca="false">IF(OR(NOT(ISNUMBER(T63)),T63=0),T63,ROUND(T63,MAX(3-1-INT(LOG10(ABS(T63))),0)))</f>
        <v>0.495</v>
      </c>
      <c r="AA63" s="7" t="n">
        <f aca="false">IF(AND(Y63=W63,Z63=X63),1,0)</f>
        <v>1</v>
      </c>
      <c r="AB63" s="7" t="n">
        <f aca="false">IF(AND(U63&lt;$B$4,V63&lt;$B$4),1,0)</f>
        <v>0</v>
      </c>
      <c r="AC63" s="7" t="n">
        <f aca="false">IF(OR(AA63=1,AB63=1),1,0)</f>
        <v>1</v>
      </c>
    </row>
    <row r="64" customFormat="false" ht="15" hidden="false" customHeight="false" outlineLevel="0" collapsed="false">
      <c r="A64" s="0" t="n">
        <v>38</v>
      </c>
      <c r="B64" s="6" t="n">
        <f aca="false">S63</f>
        <v>178.348893111087</v>
      </c>
      <c r="C64" s="6" t="n">
        <f aca="false">T63</f>
        <v>0.494977157673653</v>
      </c>
      <c r="D64" s="6" t="n">
        <f aca="false">1.5*C64</f>
        <v>0.742465736510479</v>
      </c>
      <c r="E64" s="6" t="n">
        <f aca="false">B64-D64</f>
        <v>177.606427374576</v>
      </c>
      <c r="F64" s="6" t="n">
        <f aca="false">B64+D64</f>
        <v>179.091358847597</v>
      </c>
      <c r="G64" s="6" t="n">
        <f aca="false">MIN(MAX($B$11,$E64),$F64)</f>
        <v>178.722333333333</v>
      </c>
      <c r="H64" s="6" t="n">
        <f aca="false">MIN(MAX($B$12,$E64),$F64)</f>
        <v>177.981666666667</v>
      </c>
      <c r="I64" s="6" t="n">
        <f aca="false">MIN(MAX($B$13,$E64),$F64)</f>
        <v>179.091358847597</v>
      </c>
      <c r="J64" s="6" t="n">
        <f aca="false">MIN(MAX($B$14,$E64),$F64)</f>
        <v>178.669666666667</v>
      </c>
      <c r="K64" s="6" t="n">
        <f aca="false">MIN(MAX($B$15,$E64),$F64)</f>
        <v>177.849</v>
      </c>
      <c r="L64" s="6" t="n">
        <f aca="false">MIN(MAX($B$16,$E64),$F64)</f>
        <v>178.039333333333</v>
      </c>
      <c r="M64" s="6" t="n">
        <f aca="false">MIN(MAX($B$17,$E64),$F64)</f>
        <v>179.091358847597</v>
      </c>
      <c r="N64" s="6" t="n">
        <f aca="false">MIN(MAX($B$18,$E64),$F64)</f>
        <v>178.035</v>
      </c>
      <c r="O64" s="6" t="n">
        <f aca="false">MIN(MAX($B$19,$E64),$F64)</f>
        <v>178.152666666667</v>
      </c>
      <c r="P64" s="6" t="n">
        <f aca="false">MIN(MAX($B$20,$E64),$F64)</f>
        <v>178.290666666667</v>
      </c>
      <c r="Q64" s="6" t="n">
        <f aca="false">MIN(MAX($B$21,$E64),$F64)</f>
        <v>177.998333333333</v>
      </c>
      <c r="R64" s="6" t="n">
        <f aca="false">MIN(MAX($B$22,$E64),$F64)</f>
        <v>178.265333333333</v>
      </c>
      <c r="S64" s="6" t="n">
        <f aca="false">AVERAGE(G64:R64)</f>
        <v>178.348893141266</v>
      </c>
      <c r="T64" s="6" t="n">
        <f aca="false">1.134*STDEV(G64:R64)</f>
        <v>0.494977221179835</v>
      </c>
      <c r="U64" s="6" t="n">
        <f aca="false">ABS(S64-B64)</f>
        <v>3.01793932067085E-008</v>
      </c>
      <c r="V64" s="6" t="n">
        <f aca="false">ABS(T64-C64)</f>
        <v>6.35061817022553E-008</v>
      </c>
      <c r="W64" s="6" t="n">
        <f aca="false">IF(OR(NOT(ISNUMBER(B64)),B64=0),B64,ROUND(B64,MAX(3-1-INT(LOG10(ABS(B64))),0)))</f>
        <v>178</v>
      </c>
      <c r="X64" s="6" t="n">
        <f aca="false">IF(OR(NOT(ISNUMBER(C64)),C64=0),C64,ROUND(C64,MAX(3-1-INT(LOG10(ABS(C64))),0)))</f>
        <v>0.495</v>
      </c>
      <c r="Y64" s="6" t="n">
        <f aca="false">IF(OR(NOT(ISNUMBER(S64)),S64=0),S64,ROUND(S64,MAX(3-1-INT(LOG10(ABS(S64))),0)))</f>
        <v>178</v>
      </c>
      <c r="Z64" s="6" t="n">
        <f aca="false">IF(OR(NOT(ISNUMBER(T64)),T64=0),T64,ROUND(T64,MAX(3-1-INT(LOG10(ABS(T64))),0)))</f>
        <v>0.495</v>
      </c>
      <c r="AA64" s="7" t="n">
        <f aca="false">IF(AND(Y64=W64,Z64=X64),1,0)</f>
        <v>1</v>
      </c>
      <c r="AB64" s="7" t="n">
        <f aca="false">IF(AND(U64&lt;$B$4,V64&lt;$B$4),1,0)</f>
        <v>0</v>
      </c>
      <c r="AC64" s="7" t="n">
        <f aca="false">IF(OR(AA64=1,AB64=1),1,0)</f>
        <v>1</v>
      </c>
    </row>
    <row r="65" customFormat="false" ht="15" hidden="false" customHeight="false" outlineLevel="0" collapsed="false">
      <c r="A65" s="0" t="n">
        <v>39</v>
      </c>
      <c r="B65" s="6" t="n">
        <f aca="false">S64</f>
        <v>178.348893141266</v>
      </c>
      <c r="C65" s="6" t="n">
        <f aca="false">T64</f>
        <v>0.494977221179835</v>
      </c>
      <c r="D65" s="6" t="n">
        <f aca="false">1.5*C65</f>
        <v>0.742465831769752</v>
      </c>
      <c r="E65" s="6" t="n">
        <f aca="false">B65-D65</f>
        <v>177.606427309496</v>
      </c>
      <c r="F65" s="6" t="n">
        <f aca="false">B65+D65</f>
        <v>179.091358973036</v>
      </c>
      <c r="G65" s="6" t="n">
        <f aca="false">MIN(MAX($B$11,$E65),$F65)</f>
        <v>178.722333333333</v>
      </c>
      <c r="H65" s="6" t="n">
        <f aca="false">MIN(MAX($B$12,$E65),$F65)</f>
        <v>177.981666666667</v>
      </c>
      <c r="I65" s="6" t="n">
        <f aca="false">MIN(MAX($B$13,$E65),$F65)</f>
        <v>179.091358973036</v>
      </c>
      <c r="J65" s="6" t="n">
        <f aca="false">MIN(MAX($B$14,$E65),$F65)</f>
        <v>178.669666666667</v>
      </c>
      <c r="K65" s="6" t="n">
        <f aca="false">MIN(MAX($B$15,$E65),$F65)</f>
        <v>177.849</v>
      </c>
      <c r="L65" s="6" t="n">
        <f aca="false">MIN(MAX($B$16,$E65),$F65)</f>
        <v>178.039333333333</v>
      </c>
      <c r="M65" s="6" t="n">
        <f aca="false">MIN(MAX($B$17,$E65),$F65)</f>
        <v>179.091358973036</v>
      </c>
      <c r="N65" s="6" t="n">
        <f aca="false">MIN(MAX($B$18,$E65),$F65)</f>
        <v>178.035</v>
      </c>
      <c r="O65" s="6" t="n">
        <f aca="false">MIN(MAX($B$19,$E65),$F65)</f>
        <v>178.152666666667</v>
      </c>
      <c r="P65" s="6" t="n">
        <f aca="false">MIN(MAX($B$20,$E65),$F65)</f>
        <v>178.290666666667</v>
      </c>
      <c r="Q65" s="6" t="n">
        <f aca="false">MIN(MAX($B$21,$E65),$F65)</f>
        <v>177.998333333333</v>
      </c>
      <c r="R65" s="6" t="n">
        <f aca="false">MIN(MAX($B$22,$E65),$F65)</f>
        <v>178.265333333333</v>
      </c>
      <c r="S65" s="6" t="n">
        <f aca="false">AVERAGE(G65:R65)</f>
        <v>178.348893162173</v>
      </c>
      <c r="T65" s="6" t="n">
        <f aca="false">1.134*STDEV(G65:R65)</f>
        <v>0.494977265173087</v>
      </c>
      <c r="U65" s="6" t="n">
        <f aca="false">ABS(S65-B65)</f>
        <v>2.09064410228166E-008</v>
      </c>
      <c r="V65" s="6" t="n">
        <f aca="false">ABS(T65-C65)</f>
        <v>4.39932527629416E-008</v>
      </c>
      <c r="W65" s="6" t="n">
        <f aca="false">IF(OR(NOT(ISNUMBER(B65)),B65=0),B65,ROUND(B65,MAX(3-1-INT(LOG10(ABS(B65))),0)))</f>
        <v>178</v>
      </c>
      <c r="X65" s="6" t="n">
        <f aca="false">IF(OR(NOT(ISNUMBER(C65)),C65=0),C65,ROUND(C65,MAX(3-1-INT(LOG10(ABS(C65))),0)))</f>
        <v>0.495</v>
      </c>
      <c r="Y65" s="6" t="n">
        <f aca="false">IF(OR(NOT(ISNUMBER(S65)),S65=0),S65,ROUND(S65,MAX(3-1-INT(LOG10(ABS(S65))),0)))</f>
        <v>178</v>
      </c>
      <c r="Z65" s="6" t="n">
        <f aca="false">IF(OR(NOT(ISNUMBER(T65)),T65=0),T65,ROUND(T65,MAX(3-1-INT(LOG10(ABS(T65))),0)))</f>
        <v>0.495</v>
      </c>
      <c r="AA65" s="7" t="n">
        <f aca="false">IF(AND(Y65=W65,Z65=X65),1,0)</f>
        <v>1</v>
      </c>
      <c r="AB65" s="7" t="n">
        <f aca="false">IF(AND(U65&lt;$B$4,V65&lt;$B$4),1,0)</f>
        <v>0</v>
      </c>
      <c r="AC65" s="7" t="n">
        <f aca="false">IF(OR(AA65=1,AB65=1),1,0)</f>
        <v>1</v>
      </c>
    </row>
    <row r="66" customFormat="false" ht="15" hidden="false" customHeight="false" outlineLevel="0" collapsed="false">
      <c r="A66" s="0" t="n">
        <v>40</v>
      </c>
      <c r="B66" s="6" t="n">
        <f aca="false">S65</f>
        <v>178.348893162173</v>
      </c>
      <c r="C66" s="6" t="n">
        <f aca="false">T65</f>
        <v>0.494977265173087</v>
      </c>
      <c r="D66" s="6" t="n">
        <f aca="false">1.5*C66</f>
        <v>0.742465897759631</v>
      </c>
      <c r="E66" s="6" t="n">
        <f aca="false">B66-D66</f>
        <v>177.606427264413</v>
      </c>
      <c r="F66" s="6" t="n">
        <f aca="false">B66+D66</f>
        <v>179.091359059932</v>
      </c>
      <c r="G66" s="6" t="n">
        <f aca="false">MIN(MAX($B$11,$E66),$F66)</f>
        <v>178.722333333333</v>
      </c>
      <c r="H66" s="6" t="n">
        <f aca="false">MIN(MAX($B$12,$E66),$F66)</f>
        <v>177.981666666667</v>
      </c>
      <c r="I66" s="6" t="n">
        <f aca="false">MIN(MAX($B$13,$E66),$F66)</f>
        <v>179.091359059932</v>
      </c>
      <c r="J66" s="6" t="n">
        <f aca="false">MIN(MAX($B$14,$E66),$F66)</f>
        <v>178.669666666667</v>
      </c>
      <c r="K66" s="6" t="n">
        <f aca="false">MIN(MAX($B$15,$E66),$F66)</f>
        <v>177.849</v>
      </c>
      <c r="L66" s="6" t="n">
        <f aca="false">MIN(MAX($B$16,$E66),$F66)</f>
        <v>178.039333333333</v>
      </c>
      <c r="M66" s="6" t="n">
        <f aca="false">MIN(MAX($B$17,$E66),$F66)</f>
        <v>179.091359059932</v>
      </c>
      <c r="N66" s="6" t="n">
        <f aca="false">MIN(MAX($B$18,$E66),$F66)</f>
        <v>178.035</v>
      </c>
      <c r="O66" s="6" t="n">
        <f aca="false">MIN(MAX($B$19,$E66),$F66)</f>
        <v>178.152666666667</v>
      </c>
      <c r="P66" s="6" t="n">
        <f aca="false">MIN(MAX($B$20,$E66),$F66)</f>
        <v>178.290666666667</v>
      </c>
      <c r="Q66" s="6" t="n">
        <f aca="false">MIN(MAX($B$21,$E66),$F66)</f>
        <v>177.998333333333</v>
      </c>
      <c r="R66" s="6" t="n">
        <f aca="false">MIN(MAX($B$22,$E66),$F66)</f>
        <v>178.265333333333</v>
      </c>
      <c r="S66" s="6" t="n">
        <f aca="false">AVERAGE(G66:R66)</f>
        <v>178.348893176655</v>
      </c>
      <c r="T66" s="6" t="n">
        <f aca="false">1.134*STDEV(G66:R66)</f>
        <v>0.494977295648956</v>
      </c>
      <c r="U66" s="6" t="n">
        <f aca="false">ABS(S66-B66)</f>
        <v>1.44827083659038E-008</v>
      </c>
      <c r="V66" s="6" t="n">
        <f aca="false">ABS(T66-C66)</f>
        <v>3.04758688840501E-008</v>
      </c>
      <c r="W66" s="6" t="n">
        <f aca="false">IF(OR(NOT(ISNUMBER(B66)),B66=0),B66,ROUND(B66,MAX(3-1-INT(LOG10(ABS(B66))),0)))</f>
        <v>178</v>
      </c>
      <c r="X66" s="6" t="n">
        <f aca="false">IF(OR(NOT(ISNUMBER(C66)),C66=0),C66,ROUND(C66,MAX(3-1-INT(LOG10(ABS(C66))),0)))</f>
        <v>0.495</v>
      </c>
      <c r="Y66" s="6" t="n">
        <f aca="false">IF(OR(NOT(ISNUMBER(S66)),S66=0),S66,ROUND(S66,MAX(3-1-INT(LOG10(ABS(S66))),0)))</f>
        <v>178</v>
      </c>
      <c r="Z66" s="6" t="n">
        <f aca="false">IF(OR(NOT(ISNUMBER(T66)),T66=0),T66,ROUND(T66,MAX(3-1-INT(LOG10(ABS(T66))),0)))</f>
        <v>0.495</v>
      </c>
      <c r="AA66" s="7" t="n">
        <f aca="false">IF(AND(Y66=W66,Z66=X66),1,0)</f>
        <v>1</v>
      </c>
      <c r="AB66" s="7" t="n">
        <f aca="false">IF(AND(U66&lt;$B$4,V66&lt;$B$4),1,0)</f>
        <v>0</v>
      </c>
      <c r="AC66" s="7" t="n">
        <f aca="false">IF(OR(AA66=1,AB66=1),1,0)</f>
        <v>1</v>
      </c>
    </row>
    <row r="67" customFormat="false" ht="15" hidden="false" customHeight="false" outlineLevel="0" collapsed="false">
      <c r="A67" s="0" t="n">
        <v>41</v>
      </c>
      <c r="B67" s="6" t="n">
        <f aca="false">S66</f>
        <v>178.348893176655</v>
      </c>
      <c r="C67" s="6" t="n">
        <f aca="false">T66</f>
        <v>0.494977295648956</v>
      </c>
      <c r="D67" s="6" t="n">
        <f aca="false">1.5*C67</f>
        <v>0.742465943473434</v>
      </c>
      <c r="E67" s="6" t="n">
        <f aca="false">B67-D67</f>
        <v>177.606427233182</v>
      </c>
      <c r="F67" s="6" t="n">
        <f aca="false">B67+D67</f>
        <v>179.091359120129</v>
      </c>
      <c r="G67" s="6" t="n">
        <f aca="false">MIN(MAX($B$11,$E67),$F67)</f>
        <v>178.722333333333</v>
      </c>
      <c r="H67" s="6" t="n">
        <f aca="false">MIN(MAX($B$12,$E67),$F67)</f>
        <v>177.981666666667</v>
      </c>
      <c r="I67" s="6" t="n">
        <f aca="false">MIN(MAX($B$13,$E67),$F67)</f>
        <v>179.091359120129</v>
      </c>
      <c r="J67" s="6" t="n">
        <f aca="false">MIN(MAX($B$14,$E67),$F67)</f>
        <v>178.669666666667</v>
      </c>
      <c r="K67" s="6" t="n">
        <f aca="false">MIN(MAX($B$15,$E67),$F67)</f>
        <v>177.849</v>
      </c>
      <c r="L67" s="6" t="n">
        <f aca="false">MIN(MAX($B$16,$E67),$F67)</f>
        <v>178.039333333333</v>
      </c>
      <c r="M67" s="6" t="n">
        <f aca="false">MIN(MAX($B$17,$E67),$F67)</f>
        <v>179.091359120129</v>
      </c>
      <c r="N67" s="6" t="n">
        <f aca="false">MIN(MAX($B$18,$E67),$F67)</f>
        <v>178.035</v>
      </c>
      <c r="O67" s="6" t="n">
        <f aca="false">MIN(MAX($B$19,$E67),$F67)</f>
        <v>178.152666666667</v>
      </c>
      <c r="P67" s="6" t="n">
        <f aca="false">MIN(MAX($B$20,$E67),$F67)</f>
        <v>178.290666666667</v>
      </c>
      <c r="Q67" s="6" t="n">
        <f aca="false">MIN(MAX($B$21,$E67),$F67)</f>
        <v>177.998333333333</v>
      </c>
      <c r="R67" s="6" t="n">
        <f aca="false">MIN(MAX($B$22,$E67),$F67)</f>
        <v>178.265333333333</v>
      </c>
      <c r="S67" s="6" t="n">
        <f aca="false">AVERAGE(G67:R67)</f>
        <v>178.348893186688</v>
      </c>
      <c r="T67" s="6" t="n">
        <f aca="false">1.134*STDEV(G67:R67)</f>
        <v>0.494977316760786</v>
      </c>
      <c r="U67" s="6" t="n">
        <f aca="false">ABS(S67-B67)</f>
        <v>1.00327497420949E-008</v>
      </c>
      <c r="V67" s="6" t="n">
        <f aca="false">ABS(T67-C67)</f>
        <v>2.11118299509039E-008</v>
      </c>
      <c r="W67" s="6" t="n">
        <f aca="false">IF(OR(NOT(ISNUMBER(B67)),B67=0),B67,ROUND(B67,MAX(3-1-INT(LOG10(ABS(B67))),0)))</f>
        <v>178</v>
      </c>
      <c r="X67" s="6" t="n">
        <f aca="false">IF(OR(NOT(ISNUMBER(C67)),C67=0),C67,ROUND(C67,MAX(3-1-INT(LOG10(ABS(C67))),0)))</f>
        <v>0.495</v>
      </c>
      <c r="Y67" s="6" t="n">
        <f aca="false">IF(OR(NOT(ISNUMBER(S67)),S67=0),S67,ROUND(S67,MAX(3-1-INT(LOG10(ABS(S67))),0)))</f>
        <v>178</v>
      </c>
      <c r="Z67" s="6" t="n">
        <f aca="false">IF(OR(NOT(ISNUMBER(T67)),T67=0),T67,ROUND(T67,MAX(3-1-INT(LOG10(ABS(T67))),0)))</f>
        <v>0.495</v>
      </c>
      <c r="AA67" s="7" t="n">
        <f aca="false">IF(AND(Y67=W67,Z67=X67),1,0)</f>
        <v>1</v>
      </c>
      <c r="AB67" s="7" t="n">
        <f aca="false">IF(AND(U67&lt;$B$4,V67&lt;$B$4),1,0)</f>
        <v>0</v>
      </c>
      <c r="AC67" s="7" t="n">
        <f aca="false">IF(OR(AA67=1,AB67=1),1,0)</f>
        <v>1</v>
      </c>
    </row>
    <row r="68" customFormat="false" ht="15" hidden="false" customHeight="false" outlineLevel="0" collapsed="false">
      <c r="A68" s="0" t="n">
        <v>42</v>
      </c>
      <c r="B68" s="6" t="n">
        <f aca="false">S67</f>
        <v>178.348893186688</v>
      </c>
      <c r="C68" s="6" t="n">
        <f aca="false">T67</f>
        <v>0.494977316760786</v>
      </c>
      <c r="D68" s="6" t="n">
        <f aca="false">1.5*C68</f>
        <v>0.742465975141179</v>
      </c>
      <c r="E68" s="6" t="n">
        <f aca="false">B68-D68</f>
        <v>177.606427211547</v>
      </c>
      <c r="F68" s="6" t="n">
        <f aca="false">B68+D68</f>
        <v>179.091359161829</v>
      </c>
      <c r="G68" s="6" t="n">
        <f aca="false">MIN(MAX($B$11,$E68),$F68)</f>
        <v>178.722333333333</v>
      </c>
      <c r="H68" s="6" t="n">
        <f aca="false">MIN(MAX($B$12,$E68),$F68)</f>
        <v>177.981666666667</v>
      </c>
      <c r="I68" s="6" t="n">
        <f aca="false">MIN(MAX($B$13,$E68),$F68)</f>
        <v>179.091359161829</v>
      </c>
      <c r="J68" s="6" t="n">
        <f aca="false">MIN(MAX($B$14,$E68),$F68)</f>
        <v>178.669666666667</v>
      </c>
      <c r="K68" s="6" t="n">
        <f aca="false">MIN(MAX($B$15,$E68),$F68)</f>
        <v>177.849</v>
      </c>
      <c r="L68" s="6" t="n">
        <f aca="false">MIN(MAX($B$16,$E68),$F68)</f>
        <v>178.039333333333</v>
      </c>
      <c r="M68" s="6" t="n">
        <f aca="false">MIN(MAX($B$17,$E68),$F68)</f>
        <v>179.091359161829</v>
      </c>
      <c r="N68" s="6" t="n">
        <f aca="false">MIN(MAX($B$18,$E68),$F68)</f>
        <v>178.035</v>
      </c>
      <c r="O68" s="6" t="n">
        <f aca="false">MIN(MAX($B$19,$E68),$F68)</f>
        <v>178.152666666667</v>
      </c>
      <c r="P68" s="6" t="n">
        <f aca="false">MIN(MAX($B$20,$E68),$F68)</f>
        <v>178.290666666667</v>
      </c>
      <c r="Q68" s="6" t="n">
        <f aca="false">MIN(MAX($B$21,$E68),$F68)</f>
        <v>177.998333333333</v>
      </c>
      <c r="R68" s="6" t="n">
        <f aca="false">MIN(MAX($B$22,$E68),$F68)</f>
        <v>178.265333333333</v>
      </c>
      <c r="S68" s="6" t="n">
        <f aca="false">AVERAGE(G68:R68)</f>
        <v>178.348893193638</v>
      </c>
      <c r="T68" s="6" t="n">
        <f aca="false">1.134*STDEV(G68:R68)</f>
        <v>0.494977331385789</v>
      </c>
      <c r="U68" s="6" t="n">
        <f aca="false">ABS(S68-B68)</f>
        <v>6.95010271556384E-009</v>
      </c>
      <c r="V68" s="6" t="n">
        <f aca="false">ABS(T68-C68)</f>
        <v>1.46250025423456E-008</v>
      </c>
      <c r="W68" s="6" t="n">
        <f aca="false">IF(OR(NOT(ISNUMBER(B68)),B68=0),B68,ROUND(B68,MAX(3-1-INT(LOG10(ABS(B68))),0)))</f>
        <v>178</v>
      </c>
      <c r="X68" s="6" t="n">
        <f aca="false">IF(OR(NOT(ISNUMBER(C68)),C68=0),C68,ROUND(C68,MAX(3-1-INT(LOG10(ABS(C68))),0)))</f>
        <v>0.495</v>
      </c>
      <c r="Y68" s="6" t="n">
        <f aca="false">IF(OR(NOT(ISNUMBER(S68)),S68=0),S68,ROUND(S68,MAX(3-1-INT(LOG10(ABS(S68))),0)))</f>
        <v>178</v>
      </c>
      <c r="Z68" s="6" t="n">
        <f aca="false">IF(OR(NOT(ISNUMBER(T68)),T68=0),T68,ROUND(T68,MAX(3-1-INT(LOG10(ABS(T68))),0)))</f>
        <v>0.495</v>
      </c>
      <c r="AA68" s="7" t="n">
        <f aca="false">IF(AND(Y68=W68,Z68=X68),1,0)</f>
        <v>1</v>
      </c>
      <c r="AB68" s="7" t="n">
        <f aca="false">IF(AND(U68&lt;$B$4,V68&lt;$B$4),1,0)</f>
        <v>0</v>
      </c>
      <c r="AC68" s="7" t="n">
        <f aca="false">IF(OR(AA68=1,AB68=1),1,0)</f>
        <v>1</v>
      </c>
    </row>
    <row r="69" customFormat="false" ht="15" hidden="false" customHeight="false" outlineLevel="0" collapsed="false">
      <c r="A69" s="0" t="n">
        <v>43</v>
      </c>
      <c r="B69" s="6" t="n">
        <f aca="false">S68</f>
        <v>178.348893193638</v>
      </c>
      <c r="C69" s="6" t="n">
        <f aca="false">T68</f>
        <v>0.494977331385789</v>
      </c>
      <c r="D69" s="6" t="n">
        <f aca="false">1.5*C69</f>
        <v>0.742465997078683</v>
      </c>
      <c r="E69" s="6" t="n">
        <f aca="false">B69-D69</f>
        <v>177.60642719656</v>
      </c>
      <c r="F69" s="6" t="n">
        <f aca="false">B69+D69</f>
        <v>179.091359190717</v>
      </c>
      <c r="G69" s="6" t="n">
        <f aca="false">MIN(MAX($B$11,$E69),$F69)</f>
        <v>178.722333333333</v>
      </c>
      <c r="H69" s="6" t="n">
        <f aca="false">MIN(MAX($B$12,$E69),$F69)</f>
        <v>177.981666666667</v>
      </c>
      <c r="I69" s="6" t="n">
        <f aca="false">MIN(MAX($B$13,$E69),$F69)</f>
        <v>179.091359190717</v>
      </c>
      <c r="J69" s="6" t="n">
        <f aca="false">MIN(MAX($B$14,$E69),$F69)</f>
        <v>178.669666666667</v>
      </c>
      <c r="K69" s="6" t="n">
        <f aca="false">MIN(MAX($B$15,$E69),$F69)</f>
        <v>177.849</v>
      </c>
      <c r="L69" s="6" t="n">
        <f aca="false">MIN(MAX($B$16,$E69),$F69)</f>
        <v>178.039333333333</v>
      </c>
      <c r="M69" s="6" t="n">
        <f aca="false">MIN(MAX($B$17,$E69),$F69)</f>
        <v>179.091359190717</v>
      </c>
      <c r="N69" s="6" t="n">
        <f aca="false">MIN(MAX($B$18,$E69),$F69)</f>
        <v>178.035</v>
      </c>
      <c r="O69" s="6" t="n">
        <f aca="false">MIN(MAX($B$19,$E69),$F69)</f>
        <v>178.152666666667</v>
      </c>
      <c r="P69" s="6" t="n">
        <f aca="false">MIN(MAX($B$20,$E69),$F69)</f>
        <v>178.290666666667</v>
      </c>
      <c r="Q69" s="6" t="n">
        <f aca="false">MIN(MAX($B$21,$E69),$F69)</f>
        <v>177.998333333333</v>
      </c>
      <c r="R69" s="6" t="n">
        <f aca="false">MIN(MAX($B$22,$E69),$F69)</f>
        <v>178.265333333333</v>
      </c>
      <c r="S69" s="6" t="n">
        <f aca="false">AVERAGE(G69:R69)</f>
        <v>178.348893198453</v>
      </c>
      <c r="T69" s="6" t="n">
        <f aca="false">1.134*STDEV(G69:R69)</f>
        <v>0.49497734151711</v>
      </c>
      <c r="U69" s="6" t="n">
        <f aca="false">ABS(S69-B69)</f>
        <v>4.81460915580101E-009</v>
      </c>
      <c r="V69" s="6" t="n">
        <f aca="false">ABS(T69-C69)</f>
        <v>1.01313214484478E-008</v>
      </c>
      <c r="W69" s="6" t="n">
        <f aca="false">IF(OR(NOT(ISNUMBER(B69)),B69=0),B69,ROUND(B69,MAX(3-1-INT(LOG10(ABS(B69))),0)))</f>
        <v>178</v>
      </c>
      <c r="X69" s="6" t="n">
        <f aca="false">IF(OR(NOT(ISNUMBER(C69)),C69=0),C69,ROUND(C69,MAX(3-1-INT(LOG10(ABS(C69))),0)))</f>
        <v>0.495</v>
      </c>
      <c r="Y69" s="6" t="n">
        <f aca="false">IF(OR(NOT(ISNUMBER(S69)),S69=0),S69,ROUND(S69,MAX(3-1-INT(LOG10(ABS(S69))),0)))</f>
        <v>178</v>
      </c>
      <c r="Z69" s="6" t="n">
        <f aca="false">IF(OR(NOT(ISNUMBER(T69)),T69=0),T69,ROUND(T69,MAX(3-1-INT(LOG10(ABS(T69))),0)))</f>
        <v>0.495</v>
      </c>
      <c r="AA69" s="7" t="n">
        <f aca="false">IF(AND(Y69=W69,Z69=X69),1,0)</f>
        <v>1</v>
      </c>
      <c r="AB69" s="7" t="n">
        <f aca="false">IF(AND(U69&lt;$B$4,V69&lt;$B$4),1,0)</f>
        <v>0</v>
      </c>
      <c r="AC69" s="7" t="n">
        <f aca="false">IF(OR(AA69=1,AB69=1),1,0)</f>
        <v>1</v>
      </c>
    </row>
    <row r="70" customFormat="false" ht="15" hidden="false" customHeight="false" outlineLevel="0" collapsed="false">
      <c r="A70" s="0" t="n">
        <v>44</v>
      </c>
      <c r="B70" s="6" t="n">
        <f aca="false">S69</f>
        <v>178.348893198453</v>
      </c>
      <c r="C70" s="6" t="n">
        <f aca="false">T69</f>
        <v>0.49497734151711</v>
      </c>
      <c r="D70" s="6" t="n">
        <f aca="false">1.5*C70</f>
        <v>0.742466012275665</v>
      </c>
      <c r="E70" s="6" t="n">
        <f aca="false">B70-D70</f>
        <v>177.606427186177</v>
      </c>
      <c r="F70" s="6" t="n">
        <f aca="false">B70+D70</f>
        <v>179.091359210728</v>
      </c>
      <c r="G70" s="6" t="n">
        <f aca="false">MIN(MAX($B$11,$E70),$F70)</f>
        <v>178.722333333333</v>
      </c>
      <c r="H70" s="6" t="n">
        <f aca="false">MIN(MAX($B$12,$E70),$F70)</f>
        <v>177.981666666667</v>
      </c>
      <c r="I70" s="6" t="n">
        <f aca="false">MIN(MAX($B$13,$E70),$F70)</f>
        <v>179.091359210728</v>
      </c>
      <c r="J70" s="6" t="n">
        <f aca="false">MIN(MAX($B$14,$E70),$F70)</f>
        <v>178.669666666667</v>
      </c>
      <c r="K70" s="6" t="n">
        <f aca="false">MIN(MAX($B$15,$E70),$F70)</f>
        <v>177.849</v>
      </c>
      <c r="L70" s="6" t="n">
        <f aca="false">MIN(MAX($B$16,$E70),$F70)</f>
        <v>178.039333333333</v>
      </c>
      <c r="M70" s="6" t="n">
        <f aca="false">MIN(MAX($B$17,$E70),$F70)</f>
        <v>179.091359210728</v>
      </c>
      <c r="N70" s="6" t="n">
        <f aca="false">MIN(MAX($B$18,$E70),$F70)</f>
        <v>178.035</v>
      </c>
      <c r="O70" s="6" t="n">
        <f aca="false">MIN(MAX($B$19,$E70),$F70)</f>
        <v>178.152666666667</v>
      </c>
      <c r="P70" s="6" t="n">
        <f aca="false">MIN(MAX($B$20,$E70),$F70)</f>
        <v>178.290666666667</v>
      </c>
      <c r="Q70" s="6" t="n">
        <f aca="false">MIN(MAX($B$21,$E70),$F70)</f>
        <v>177.998333333333</v>
      </c>
      <c r="R70" s="6" t="n">
        <f aca="false">MIN(MAX($B$22,$E70),$F70)</f>
        <v>178.265333333333</v>
      </c>
      <c r="S70" s="6" t="n">
        <f aca="false">AVERAGE(G70:R70)</f>
        <v>178.348893201788</v>
      </c>
      <c r="T70" s="6" t="n">
        <f aca="false">1.134*STDEV(G70:R70)</f>
        <v>0.494977348535478</v>
      </c>
      <c r="U70" s="6" t="n">
        <f aca="false">ABS(S70-B70)</f>
        <v>3.33525917994848E-009</v>
      </c>
      <c r="V70" s="6" t="n">
        <f aca="false">ABS(T70-C70)</f>
        <v>7.01836777583509E-009</v>
      </c>
      <c r="W70" s="6" t="n">
        <f aca="false">IF(OR(NOT(ISNUMBER(B70)),B70=0),B70,ROUND(B70,MAX(3-1-INT(LOG10(ABS(B70))),0)))</f>
        <v>178</v>
      </c>
      <c r="X70" s="6" t="n">
        <f aca="false">IF(OR(NOT(ISNUMBER(C70)),C70=0),C70,ROUND(C70,MAX(3-1-INT(LOG10(ABS(C70))),0)))</f>
        <v>0.495</v>
      </c>
      <c r="Y70" s="6" t="n">
        <f aca="false">IF(OR(NOT(ISNUMBER(S70)),S70=0),S70,ROUND(S70,MAX(3-1-INT(LOG10(ABS(S70))),0)))</f>
        <v>178</v>
      </c>
      <c r="Z70" s="6" t="n">
        <f aca="false">IF(OR(NOT(ISNUMBER(T70)),T70=0),T70,ROUND(T70,MAX(3-1-INT(LOG10(ABS(T70))),0)))</f>
        <v>0.495</v>
      </c>
      <c r="AA70" s="7" t="n">
        <f aca="false">IF(AND(Y70=W70,Z70=X70),1,0)</f>
        <v>1</v>
      </c>
      <c r="AB70" s="7" t="n">
        <f aca="false">IF(AND(U70&lt;$B$4,V70&lt;$B$4),1,0)</f>
        <v>0</v>
      </c>
      <c r="AC70" s="7" t="n">
        <f aca="false">IF(OR(AA70=1,AB70=1),1,0)</f>
        <v>1</v>
      </c>
    </row>
    <row r="71" customFormat="false" ht="15" hidden="false" customHeight="false" outlineLevel="0" collapsed="false">
      <c r="A71" s="0" t="n">
        <v>45</v>
      </c>
      <c r="B71" s="6" t="n">
        <f aca="false">S70</f>
        <v>178.348893201788</v>
      </c>
      <c r="C71" s="6" t="n">
        <f aca="false">T70</f>
        <v>0.494977348535478</v>
      </c>
      <c r="D71" s="6" t="n">
        <f aca="false">1.5*C71</f>
        <v>0.742466022803217</v>
      </c>
      <c r="E71" s="6" t="n">
        <f aca="false">B71-D71</f>
        <v>177.606427178985</v>
      </c>
      <c r="F71" s="6" t="n">
        <f aca="false">B71+D71</f>
        <v>179.091359224591</v>
      </c>
      <c r="G71" s="6" t="n">
        <f aca="false">MIN(MAX($B$11,$E71),$F71)</f>
        <v>178.722333333333</v>
      </c>
      <c r="H71" s="6" t="n">
        <f aca="false">MIN(MAX($B$12,$E71),$F71)</f>
        <v>177.981666666667</v>
      </c>
      <c r="I71" s="6" t="n">
        <f aca="false">MIN(MAX($B$13,$E71),$F71)</f>
        <v>179.091359224591</v>
      </c>
      <c r="J71" s="6" t="n">
        <f aca="false">MIN(MAX($B$14,$E71),$F71)</f>
        <v>178.669666666667</v>
      </c>
      <c r="K71" s="6" t="n">
        <f aca="false">MIN(MAX($B$15,$E71),$F71)</f>
        <v>177.849</v>
      </c>
      <c r="L71" s="6" t="n">
        <f aca="false">MIN(MAX($B$16,$E71),$F71)</f>
        <v>178.039333333333</v>
      </c>
      <c r="M71" s="6" t="n">
        <f aca="false">MIN(MAX($B$17,$E71),$F71)</f>
        <v>179.091359224591</v>
      </c>
      <c r="N71" s="6" t="n">
        <f aca="false">MIN(MAX($B$18,$E71),$F71)</f>
        <v>178.035</v>
      </c>
      <c r="O71" s="6" t="n">
        <f aca="false">MIN(MAX($B$19,$E71),$F71)</f>
        <v>178.152666666667</v>
      </c>
      <c r="P71" s="6" t="n">
        <f aca="false">MIN(MAX($B$20,$E71),$F71)</f>
        <v>178.290666666667</v>
      </c>
      <c r="Q71" s="6" t="n">
        <f aca="false">MIN(MAX($B$21,$E71),$F71)</f>
        <v>177.998333333333</v>
      </c>
      <c r="R71" s="6" t="n">
        <f aca="false">MIN(MAX($B$22,$E71),$F71)</f>
        <v>178.265333333333</v>
      </c>
      <c r="S71" s="6" t="n">
        <f aca="false">AVERAGE(G71:R71)</f>
        <v>178.348893204099</v>
      </c>
      <c r="T71" s="6" t="n">
        <f aca="false">1.134*STDEV(G71:R71)</f>
        <v>0.494977353397384</v>
      </c>
      <c r="U71" s="6" t="n">
        <f aca="false">ABS(S71-B71)</f>
        <v>2.3104576030164E-009</v>
      </c>
      <c r="V71" s="6" t="n">
        <f aca="false">ABS(T71-C71)</f>
        <v>4.86190648851803E-009</v>
      </c>
      <c r="W71" s="6" t="n">
        <f aca="false">IF(OR(NOT(ISNUMBER(B71)),B71=0),B71,ROUND(B71,MAX(3-1-INT(LOG10(ABS(B71))),0)))</f>
        <v>178</v>
      </c>
      <c r="X71" s="6" t="n">
        <f aca="false">IF(OR(NOT(ISNUMBER(C71)),C71=0),C71,ROUND(C71,MAX(3-1-INT(LOG10(ABS(C71))),0)))</f>
        <v>0.495</v>
      </c>
      <c r="Y71" s="6" t="n">
        <f aca="false">IF(OR(NOT(ISNUMBER(S71)),S71=0),S71,ROUND(S71,MAX(3-1-INT(LOG10(ABS(S71))),0)))</f>
        <v>178</v>
      </c>
      <c r="Z71" s="6" t="n">
        <f aca="false">IF(OR(NOT(ISNUMBER(T71)),T71=0),T71,ROUND(T71,MAX(3-1-INT(LOG10(ABS(T71))),0)))</f>
        <v>0.495</v>
      </c>
      <c r="AA71" s="7" t="n">
        <f aca="false">IF(AND(Y71=W71,Z71=X71),1,0)</f>
        <v>1</v>
      </c>
      <c r="AB71" s="7" t="n">
        <f aca="false">IF(AND(U71&lt;$B$4,V71&lt;$B$4),1,0)</f>
        <v>0</v>
      </c>
      <c r="AC71" s="7" t="n">
        <f aca="false">IF(OR(AA71=1,AB71=1),1,0)</f>
        <v>1</v>
      </c>
    </row>
    <row r="72" customFormat="false" ht="15" hidden="false" customHeight="false" outlineLevel="0" collapsed="false">
      <c r="A72" s="0" t="n">
        <v>46</v>
      </c>
      <c r="B72" s="6" t="n">
        <f aca="false">S71</f>
        <v>178.348893204099</v>
      </c>
      <c r="C72" s="6" t="n">
        <f aca="false">T71</f>
        <v>0.494977353397384</v>
      </c>
      <c r="D72" s="6" t="n">
        <f aca="false">1.5*C72</f>
        <v>0.742466030096077</v>
      </c>
      <c r="E72" s="6" t="n">
        <f aca="false">B72-D72</f>
        <v>177.606427174002</v>
      </c>
      <c r="F72" s="6" t="n">
        <f aca="false">B72+D72</f>
        <v>179.091359234195</v>
      </c>
      <c r="G72" s="6" t="n">
        <f aca="false">MIN(MAX($B$11,$E72),$F72)</f>
        <v>178.722333333333</v>
      </c>
      <c r="H72" s="6" t="n">
        <f aca="false">MIN(MAX($B$12,$E72),$F72)</f>
        <v>177.981666666667</v>
      </c>
      <c r="I72" s="6" t="n">
        <f aca="false">MIN(MAX($B$13,$E72),$F72)</f>
        <v>179.091359234195</v>
      </c>
      <c r="J72" s="6" t="n">
        <f aca="false">MIN(MAX($B$14,$E72),$F72)</f>
        <v>178.669666666667</v>
      </c>
      <c r="K72" s="6" t="n">
        <f aca="false">MIN(MAX($B$15,$E72),$F72)</f>
        <v>177.849</v>
      </c>
      <c r="L72" s="6" t="n">
        <f aca="false">MIN(MAX($B$16,$E72),$F72)</f>
        <v>178.039333333333</v>
      </c>
      <c r="M72" s="6" t="n">
        <f aca="false">MIN(MAX($B$17,$E72),$F72)</f>
        <v>179.091359234195</v>
      </c>
      <c r="N72" s="6" t="n">
        <f aca="false">MIN(MAX($B$18,$E72),$F72)</f>
        <v>178.035</v>
      </c>
      <c r="O72" s="6" t="n">
        <f aca="false">MIN(MAX($B$19,$E72),$F72)</f>
        <v>178.152666666667</v>
      </c>
      <c r="P72" s="6" t="n">
        <f aca="false">MIN(MAX($B$20,$E72),$F72)</f>
        <v>178.290666666667</v>
      </c>
      <c r="Q72" s="6" t="n">
        <f aca="false">MIN(MAX($B$21,$E72),$F72)</f>
        <v>177.998333333333</v>
      </c>
      <c r="R72" s="6" t="n">
        <f aca="false">MIN(MAX($B$22,$E72),$F72)</f>
        <v>178.265333333333</v>
      </c>
      <c r="S72" s="6" t="n">
        <f aca="false">AVERAGE(G72:R72)</f>
        <v>178.348893205699</v>
      </c>
      <c r="T72" s="6" t="n">
        <f aca="false">1.134*STDEV(G72:R72)</f>
        <v>0.494977356765408</v>
      </c>
      <c r="U72" s="6" t="n">
        <f aca="false">ABS(S72-B72)</f>
        <v>1.6005685665732E-009</v>
      </c>
      <c r="V72" s="6" t="n">
        <f aca="false">ABS(T72-C72)</f>
        <v>3.3680230826505E-009</v>
      </c>
      <c r="W72" s="6" t="n">
        <f aca="false">IF(OR(NOT(ISNUMBER(B72)),B72=0),B72,ROUND(B72,MAX(3-1-INT(LOG10(ABS(B72))),0)))</f>
        <v>178</v>
      </c>
      <c r="X72" s="6" t="n">
        <f aca="false">IF(OR(NOT(ISNUMBER(C72)),C72=0),C72,ROUND(C72,MAX(3-1-INT(LOG10(ABS(C72))),0)))</f>
        <v>0.495</v>
      </c>
      <c r="Y72" s="6" t="n">
        <f aca="false">IF(OR(NOT(ISNUMBER(S72)),S72=0),S72,ROUND(S72,MAX(3-1-INT(LOG10(ABS(S72))),0)))</f>
        <v>178</v>
      </c>
      <c r="Z72" s="6" t="n">
        <f aca="false">IF(OR(NOT(ISNUMBER(T72)),T72=0),T72,ROUND(T72,MAX(3-1-INT(LOG10(ABS(T72))),0)))</f>
        <v>0.495</v>
      </c>
      <c r="AA72" s="7" t="n">
        <f aca="false">IF(AND(Y72=W72,Z72=X72),1,0)</f>
        <v>1</v>
      </c>
      <c r="AB72" s="7" t="n">
        <f aca="false">IF(AND(U72&lt;$B$4,V72&lt;$B$4),1,0)</f>
        <v>0</v>
      </c>
      <c r="AC72" s="7" t="n">
        <f aca="false">IF(OR(AA72=1,AB72=1),1,0)</f>
        <v>1</v>
      </c>
    </row>
    <row r="73" customFormat="false" ht="15" hidden="false" customHeight="false" outlineLevel="0" collapsed="false">
      <c r="A73" s="0" t="n">
        <v>47</v>
      </c>
      <c r="B73" s="6" t="n">
        <f aca="false">S72</f>
        <v>178.348893205699</v>
      </c>
      <c r="C73" s="6" t="n">
        <f aca="false">T72</f>
        <v>0.494977356765408</v>
      </c>
      <c r="D73" s="6" t="n">
        <f aca="false">1.5*C73</f>
        <v>0.742466035148111</v>
      </c>
      <c r="E73" s="6" t="n">
        <f aca="false">B73-D73</f>
        <v>177.606427170551</v>
      </c>
      <c r="F73" s="6" t="n">
        <f aca="false">B73+D73</f>
        <v>179.091359240847</v>
      </c>
      <c r="G73" s="6" t="n">
        <f aca="false">MIN(MAX($B$11,$E73),$F73)</f>
        <v>178.722333333333</v>
      </c>
      <c r="H73" s="6" t="n">
        <f aca="false">MIN(MAX($B$12,$E73),$F73)</f>
        <v>177.981666666667</v>
      </c>
      <c r="I73" s="6" t="n">
        <f aca="false">MIN(MAX($B$13,$E73),$F73)</f>
        <v>179.091359240847</v>
      </c>
      <c r="J73" s="6" t="n">
        <f aca="false">MIN(MAX($B$14,$E73),$F73)</f>
        <v>178.669666666667</v>
      </c>
      <c r="K73" s="6" t="n">
        <f aca="false">MIN(MAX($B$15,$E73),$F73)</f>
        <v>177.849</v>
      </c>
      <c r="L73" s="6" t="n">
        <f aca="false">MIN(MAX($B$16,$E73),$F73)</f>
        <v>178.039333333333</v>
      </c>
      <c r="M73" s="6" t="n">
        <f aca="false">MIN(MAX($B$17,$E73),$F73)</f>
        <v>179.091359240847</v>
      </c>
      <c r="N73" s="6" t="n">
        <f aca="false">MIN(MAX($B$18,$E73),$F73)</f>
        <v>178.035</v>
      </c>
      <c r="O73" s="6" t="n">
        <f aca="false">MIN(MAX($B$19,$E73),$F73)</f>
        <v>178.152666666667</v>
      </c>
      <c r="P73" s="6" t="n">
        <f aca="false">MIN(MAX($B$20,$E73),$F73)</f>
        <v>178.290666666667</v>
      </c>
      <c r="Q73" s="6" t="n">
        <f aca="false">MIN(MAX($B$21,$E73),$F73)</f>
        <v>177.998333333333</v>
      </c>
      <c r="R73" s="6" t="n">
        <f aca="false">MIN(MAX($B$22,$E73),$F73)</f>
        <v>178.265333333333</v>
      </c>
      <c r="S73" s="6" t="n">
        <f aca="false">AVERAGE(G73:R73)</f>
        <v>178.348893206808</v>
      </c>
      <c r="T73" s="6" t="n">
        <f aca="false">1.134*STDEV(G73:R73)</f>
        <v>0.49497735909858</v>
      </c>
      <c r="U73" s="6" t="n">
        <f aca="false">ABS(S73-B73)</f>
        <v>1.10873088488006E-009</v>
      </c>
      <c r="V73" s="6" t="n">
        <f aca="false">ABS(T73-C73)</f>
        <v>2.33317287712254E-009</v>
      </c>
      <c r="W73" s="6" t="n">
        <f aca="false">IF(OR(NOT(ISNUMBER(B73)),B73=0),B73,ROUND(B73,MAX(3-1-INT(LOG10(ABS(B73))),0)))</f>
        <v>178</v>
      </c>
      <c r="X73" s="6" t="n">
        <f aca="false">IF(OR(NOT(ISNUMBER(C73)),C73=0),C73,ROUND(C73,MAX(3-1-INT(LOG10(ABS(C73))),0)))</f>
        <v>0.495</v>
      </c>
      <c r="Y73" s="6" t="n">
        <f aca="false">IF(OR(NOT(ISNUMBER(S73)),S73=0),S73,ROUND(S73,MAX(3-1-INT(LOG10(ABS(S73))),0)))</f>
        <v>178</v>
      </c>
      <c r="Z73" s="6" t="n">
        <f aca="false">IF(OR(NOT(ISNUMBER(T73)),T73=0),T73,ROUND(T73,MAX(3-1-INT(LOG10(ABS(T73))),0)))</f>
        <v>0.495</v>
      </c>
      <c r="AA73" s="7" t="n">
        <f aca="false">IF(AND(Y73=W73,Z73=X73),1,0)</f>
        <v>1</v>
      </c>
      <c r="AB73" s="7" t="n">
        <f aca="false">IF(AND(U73&lt;$B$4,V73&lt;$B$4),1,0)</f>
        <v>0</v>
      </c>
      <c r="AC73" s="7" t="n">
        <f aca="false">IF(OR(AA73=1,AB73=1),1,0)</f>
        <v>1</v>
      </c>
    </row>
    <row r="74" customFormat="false" ht="15" hidden="false" customHeight="false" outlineLevel="0" collapsed="false">
      <c r="A74" s="0" t="n">
        <v>48</v>
      </c>
      <c r="B74" s="6" t="n">
        <f aca="false">S73</f>
        <v>178.348893206808</v>
      </c>
      <c r="C74" s="6" t="n">
        <f aca="false">T73</f>
        <v>0.49497735909858</v>
      </c>
      <c r="D74" s="6" t="n">
        <f aca="false">1.5*C74</f>
        <v>0.742466038647871</v>
      </c>
      <c r="E74" s="6" t="n">
        <f aca="false">B74-D74</f>
        <v>177.60642716816</v>
      </c>
      <c r="F74" s="6" t="n">
        <f aca="false">B74+D74</f>
        <v>179.091359245456</v>
      </c>
      <c r="G74" s="6" t="n">
        <f aca="false">MIN(MAX($B$11,$E74),$F74)</f>
        <v>178.722333333333</v>
      </c>
      <c r="H74" s="6" t="n">
        <f aca="false">MIN(MAX($B$12,$E74),$F74)</f>
        <v>177.981666666667</v>
      </c>
      <c r="I74" s="6" t="n">
        <f aca="false">MIN(MAX($B$13,$E74),$F74)</f>
        <v>179.091359245456</v>
      </c>
      <c r="J74" s="6" t="n">
        <f aca="false">MIN(MAX($B$14,$E74),$F74)</f>
        <v>178.669666666667</v>
      </c>
      <c r="K74" s="6" t="n">
        <f aca="false">MIN(MAX($B$15,$E74),$F74)</f>
        <v>177.849</v>
      </c>
      <c r="L74" s="6" t="n">
        <f aca="false">MIN(MAX($B$16,$E74),$F74)</f>
        <v>178.039333333333</v>
      </c>
      <c r="M74" s="6" t="n">
        <f aca="false">MIN(MAX($B$17,$E74),$F74)</f>
        <v>179.091359245456</v>
      </c>
      <c r="N74" s="6" t="n">
        <f aca="false">MIN(MAX($B$18,$E74),$F74)</f>
        <v>178.035</v>
      </c>
      <c r="O74" s="6" t="n">
        <f aca="false">MIN(MAX($B$19,$E74),$F74)</f>
        <v>178.152666666667</v>
      </c>
      <c r="P74" s="6" t="n">
        <f aca="false">MIN(MAX($B$20,$E74),$F74)</f>
        <v>178.290666666667</v>
      </c>
      <c r="Q74" s="6" t="n">
        <f aca="false">MIN(MAX($B$21,$E74),$F74)</f>
        <v>177.998333333333</v>
      </c>
      <c r="R74" s="6" t="n">
        <f aca="false">MIN(MAX($B$22,$E74),$F74)</f>
        <v>178.265333333333</v>
      </c>
      <c r="S74" s="6" t="n">
        <f aca="false">AVERAGE(G74:R74)</f>
        <v>178.348893207576</v>
      </c>
      <c r="T74" s="6" t="n">
        <f aca="false">1.134*STDEV(G74:R74)</f>
        <v>0.49497736071485</v>
      </c>
      <c r="U74" s="6" t="n">
        <f aca="false">ABS(S74-B74)</f>
        <v>7.68125119066099E-010</v>
      </c>
      <c r="V74" s="6" t="n">
        <f aca="false">ABS(T74-C74)</f>
        <v>1.6162695071209E-009</v>
      </c>
      <c r="W74" s="6" t="n">
        <f aca="false">IF(OR(NOT(ISNUMBER(B74)),B74=0),B74,ROUND(B74,MAX(3-1-INT(LOG10(ABS(B74))),0)))</f>
        <v>178</v>
      </c>
      <c r="X74" s="6" t="n">
        <f aca="false">IF(OR(NOT(ISNUMBER(C74)),C74=0),C74,ROUND(C74,MAX(3-1-INT(LOG10(ABS(C74))),0)))</f>
        <v>0.495</v>
      </c>
      <c r="Y74" s="6" t="n">
        <f aca="false">IF(OR(NOT(ISNUMBER(S74)),S74=0),S74,ROUND(S74,MAX(3-1-INT(LOG10(ABS(S74))),0)))</f>
        <v>178</v>
      </c>
      <c r="Z74" s="6" t="n">
        <f aca="false">IF(OR(NOT(ISNUMBER(T74)),T74=0),T74,ROUND(T74,MAX(3-1-INT(LOG10(ABS(T74))),0)))</f>
        <v>0.495</v>
      </c>
      <c r="AA74" s="7" t="n">
        <f aca="false">IF(AND(Y74=W74,Z74=X74),1,0)</f>
        <v>1</v>
      </c>
      <c r="AB74" s="7" t="n">
        <f aca="false">IF(AND(U74&lt;$B$4,V74&lt;$B$4),1,0)</f>
        <v>0</v>
      </c>
      <c r="AC74" s="7" t="n">
        <f aca="false">IF(OR(AA74=1,AB74=1),1,0)</f>
        <v>1</v>
      </c>
    </row>
    <row r="75" customFormat="false" ht="15" hidden="false" customHeight="false" outlineLevel="0" collapsed="false">
      <c r="A75" s="0" t="n">
        <v>49</v>
      </c>
      <c r="B75" s="6" t="n">
        <f aca="false">S74</f>
        <v>178.348893207576</v>
      </c>
      <c r="C75" s="6" t="n">
        <f aca="false">T74</f>
        <v>0.49497736071485</v>
      </c>
      <c r="D75" s="6" t="n">
        <f aca="false">1.5*C75</f>
        <v>0.742466041072275</v>
      </c>
      <c r="E75" s="6" t="n">
        <f aca="false">B75-D75</f>
        <v>177.606427166504</v>
      </c>
      <c r="F75" s="6" t="n">
        <f aca="false">B75+D75</f>
        <v>179.091359248648</v>
      </c>
      <c r="G75" s="6" t="n">
        <f aca="false">MIN(MAX($B$11,$E75),$F75)</f>
        <v>178.722333333333</v>
      </c>
      <c r="H75" s="6" t="n">
        <f aca="false">MIN(MAX($B$12,$E75),$F75)</f>
        <v>177.981666666667</v>
      </c>
      <c r="I75" s="6" t="n">
        <f aca="false">MIN(MAX($B$13,$E75),$F75)</f>
        <v>179.091359248648</v>
      </c>
      <c r="J75" s="6" t="n">
        <f aca="false">MIN(MAX($B$14,$E75),$F75)</f>
        <v>178.669666666667</v>
      </c>
      <c r="K75" s="6" t="n">
        <f aca="false">MIN(MAX($B$15,$E75),$F75)</f>
        <v>177.849</v>
      </c>
      <c r="L75" s="6" t="n">
        <f aca="false">MIN(MAX($B$16,$E75),$F75)</f>
        <v>178.039333333333</v>
      </c>
      <c r="M75" s="6" t="n">
        <f aca="false">MIN(MAX($B$17,$E75),$F75)</f>
        <v>179.091359248648</v>
      </c>
      <c r="N75" s="6" t="n">
        <f aca="false">MIN(MAX($B$18,$E75),$F75)</f>
        <v>178.035</v>
      </c>
      <c r="O75" s="6" t="n">
        <f aca="false">MIN(MAX($B$19,$E75),$F75)</f>
        <v>178.152666666667</v>
      </c>
      <c r="P75" s="6" t="n">
        <f aca="false">MIN(MAX($B$20,$E75),$F75)</f>
        <v>178.290666666667</v>
      </c>
      <c r="Q75" s="6" t="n">
        <f aca="false">MIN(MAX($B$21,$E75),$F75)</f>
        <v>177.998333333333</v>
      </c>
      <c r="R75" s="6" t="n">
        <f aca="false">MIN(MAX($B$22,$E75),$F75)</f>
        <v>178.265333333333</v>
      </c>
      <c r="S75" s="6" t="n">
        <f aca="false">AVERAGE(G75:R75)</f>
        <v>178.348893208108</v>
      </c>
      <c r="T75" s="6" t="n">
        <f aca="false">1.134*STDEV(G75:R75)</f>
        <v>0.494977361834517</v>
      </c>
      <c r="U75" s="6" t="n">
        <f aca="false">ABS(S75-B75)</f>
        <v>5.32082822246593E-010</v>
      </c>
      <c r="V75" s="6" t="n">
        <f aca="false">ABS(T75-C75)</f>
        <v>1.11966746985104E-009</v>
      </c>
      <c r="W75" s="6" t="n">
        <f aca="false">IF(OR(NOT(ISNUMBER(B75)),B75=0),B75,ROUND(B75,MAX(3-1-INT(LOG10(ABS(B75))),0)))</f>
        <v>178</v>
      </c>
      <c r="X75" s="6" t="n">
        <f aca="false">IF(OR(NOT(ISNUMBER(C75)),C75=0),C75,ROUND(C75,MAX(3-1-INT(LOG10(ABS(C75))),0)))</f>
        <v>0.495</v>
      </c>
      <c r="Y75" s="6" t="n">
        <f aca="false">IF(OR(NOT(ISNUMBER(S75)),S75=0),S75,ROUND(S75,MAX(3-1-INT(LOG10(ABS(S75))),0)))</f>
        <v>178</v>
      </c>
      <c r="Z75" s="6" t="n">
        <f aca="false">IF(OR(NOT(ISNUMBER(T75)),T75=0),T75,ROUND(T75,MAX(3-1-INT(LOG10(ABS(T75))),0)))</f>
        <v>0.495</v>
      </c>
      <c r="AA75" s="7" t="n">
        <f aca="false">IF(AND(Y75=W75,Z75=X75),1,0)</f>
        <v>1</v>
      </c>
      <c r="AB75" s="7" t="n">
        <f aca="false">IF(AND(U75&lt;$B$4,V75&lt;$B$4),1,0)</f>
        <v>0</v>
      </c>
      <c r="AC75" s="7" t="n">
        <f aca="false">IF(OR(AA75=1,AB75=1),1,0)</f>
        <v>1</v>
      </c>
    </row>
    <row r="76" customFormat="false" ht="15" hidden="false" customHeight="false" outlineLevel="0" collapsed="false">
      <c r="A76" s="0" t="n">
        <v>50</v>
      </c>
      <c r="B76" s="6" t="n">
        <f aca="false">S75</f>
        <v>178.348893208108</v>
      </c>
      <c r="C76" s="6" t="n">
        <f aca="false">T75</f>
        <v>0.494977361834517</v>
      </c>
      <c r="D76" s="6" t="n">
        <f aca="false">1.5*C76</f>
        <v>0.742466042751776</v>
      </c>
      <c r="E76" s="6" t="n">
        <f aca="false">B76-D76</f>
        <v>177.606427165356</v>
      </c>
      <c r="F76" s="6" t="n">
        <f aca="false">B76+D76</f>
        <v>179.09135925086</v>
      </c>
      <c r="G76" s="6" t="n">
        <f aca="false">MIN(MAX($B$11,$E76),$F76)</f>
        <v>178.722333333333</v>
      </c>
      <c r="H76" s="6" t="n">
        <f aca="false">MIN(MAX($B$12,$E76),$F76)</f>
        <v>177.981666666667</v>
      </c>
      <c r="I76" s="6" t="n">
        <f aca="false">MIN(MAX($B$13,$E76),$F76)</f>
        <v>179.09135925086</v>
      </c>
      <c r="J76" s="6" t="n">
        <f aca="false">MIN(MAX($B$14,$E76),$F76)</f>
        <v>178.669666666667</v>
      </c>
      <c r="K76" s="6" t="n">
        <f aca="false">MIN(MAX($B$15,$E76),$F76)</f>
        <v>177.849</v>
      </c>
      <c r="L76" s="6" t="n">
        <f aca="false">MIN(MAX($B$16,$E76),$F76)</f>
        <v>178.039333333333</v>
      </c>
      <c r="M76" s="6" t="n">
        <f aca="false">MIN(MAX($B$17,$E76),$F76)</f>
        <v>179.09135925086</v>
      </c>
      <c r="N76" s="6" t="n">
        <f aca="false">MIN(MAX($B$18,$E76),$F76)</f>
        <v>178.035</v>
      </c>
      <c r="O76" s="6" t="n">
        <f aca="false">MIN(MAX($B$19,$E76),$F76)</f>
        <v>178.152666666667</v>
      </c>
      <c r="P76" s="6" t="n">
        <f aca="false">MIN(MAX($B$20,$E76),$F76)</f>
        <v>178.290666666667</v>
      </c>
      <c r="Q76" s="6" t="n">
        <f aca="false">MIN(MAX($B$21,$E76),$F76)</f>
        <v>177.998333333333</v>
      </c>
      <c r="R76" s="6" t="n">
        <f aca="false">MIN(MAX($B$22,$E76),$F76)</f>
        <v>178.265333333333</v>
      </c>
      <c r="S76" s="6" t="n">
        <f aca="false">AVERAGE(G76:R76)</f>
        <v>178.348893208477</v>
      </c>
      <c r="T76" s="6" t="n">
        <f aca="false">1.134*STDEV(G76:R76)</f>
        <v>0.494977362610152</v>
      </c>
      <c r="U76" s="6" t="n">
        <f aca="false">ABS(S76-B76)</f>
        <v>3.68572727893479E-010</v>
      </c>
      <c r="V76" s="6" t="n">
        <f aca="false">ABS(T76-C76)</f>
        <v>7.75634334537756E-010</v>
      </c>
      <c r="W76" s="6" t="n">
        <f aca="false">IF(OR(NOT(ISNUMBER(B76)),B76=0),B76,ROUND(B76,MAX(3-1-INT(LOG10(ABS(B76))),0)))</f>
        <v>178</v>
      </c>
      <c r="X76" s="6" t="n">
        <f aca="false">IF(OR(NOT(ISNUMBER(C76)),C76=0),C76,ROUND(C76,MAX(3-1-INT(LOG10(ABS(C76))),0)))</f>
        <v>0.495</v>
      </c>
      <c r="Y76" s="6" t="n">
        <f aca="false">IF(OR(NOT(ISNUMBER(S76)),S76=0),S76,ROUND(S76,MAX(3-1-INT(LOG10(ABS(S76))),0)))</f>
        <v>178</v>
      </c>
      <c r="Z76" s="6" t="n">
        <f aca="false">IF(OR(NOT(ISNUMBER(T76)),T76=0),T76,ROUND(T76,MAX(3-1-INT(LOG10(ABS(T76))),0)))</f>
        <v>0.495</v>
      </c>
      <c r="AA76" s="7" t="n">
        <f aca="false">IF(AND(Y76=W76,Z76=X76),1,0)</f>
        <v>1</v>
      </c>
      <c r="AB76" s="7" t="n">
        <f aca="false">IF(AND(U76&lt;$B$4,V76&lt;$B$4),1,0)</f>
        <v>0</v>
      </c>
      <c r="AC76" s="7" t="n">
        <f aca="false">IF(OR(AA76=1,AB76=1),1,0)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8.71"/>
    <col collapsed="false" customWidth="true" hidden="false" outlineLevel="0" max="3" min="3" style="0" width="4.71"/>
    <col collapsed="false" customWidth="true" hidden="false" outlineLevel="0" max="4" min="4" style="0" width="8.71"/>
    <col collapsed="false" customWidth="true" hidden="false" outlineLevel="0" max="6" min="5" style="0" width="5.71"/>
    <col collapsed="false" customWidth="true" hidden="false" outlineLevel="0" max="7" min="7" style="0" width="6.71"/>
    <col collapsed="false" customWidth="true" hidden="false" outlineLevel="0" max="8" min="8" style="0" width="9.71"/>
    <col collapsed="false" customWidth="true" hidden="false" outlineLevel="0" max="9" min="9" style="0" width="5.71"/>
    <col collapsed="false" customWidth="true" hidden="false" outlineLevel="0" max="10" min="10" style="0" width="14.71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2" t="s">
        <v>180</v>
      </c>
      <c r="B1" s="2" t="s">
        <v>181</v>
      </c>
      <c r="C1" s="2" t="s">
        <v>34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69</v>
      </c>
    </row>
    <row r="2" customFormat="false" ht="15" hidden="false" customHeight="false" outlineLevel="0" collapsed="false">
      <c r="A2" s="3" t="s">
        <v>140</v>
      </c>
      <c r="B2" s="3" t="s">
        <v>189</v>
      </c>
      <c r="C2" s="4" t="n">
        <f aca="false">datos_referencia!$D$2</f>
        <v>177.614</v>
      </c>
      <c r="D2" s="4" t="n">
        <f aca="false">0.02*datos_referencia!$D$2+1</f>
        <v>4.55228</v>
      </c>
      <c r="E2" s="4" t="n">
        <f aca="false">datos_referencia!$E$2</f>
        <v>1.781</v>
      </c>
      <c r="F2" s="4" t="n">
        <f aca="false">calc_homogeneidad!$B$9</f>
        <v>1.34309248668057</v>
      </c>
      <c r="G2" s="4" t="n">
        <f aca="false">calc_estabilidad!$B$10/SQRT(3)</f>
        <v>0.127045926735169</v>
      </c>
      <c r="H2" s="4" t="n">
        <f aca="false">SQRT(E2^2+F2^2+G2^2)</f>
        <v>2.23427820453895</v>
      </c>
      <c r="I2" s="4" t="n">
        <f aca="false">2*H2</f>
        <v>4.4685564090779</v>
      </c>
      <c r="J2" s="4" t="n">
        <f aca="false">COUNT(datos_participantes!$D:$D)</f>
        <v>12</v>
      </c>
      <c r="K2" s="5" t="str">
        <f aca="false">IF(SUM(ABS(C2-validacion_snapshot!$K$30),ABS(D2-validacion_snapshot!$L$30),ABS(E2-validacion_snapshot!$M$30),ABS(F2-validacion_snapshot!$N$30),ABS(G2-validacion_snapshot!$O$30),ABS(H2-validacion_snapshot!$P$30),ABS(I2-validacion_snapshot!$Q$30),ABS(J2-validacion_snapshot!$R$30))&lt;=0.00000001,"OK","FALLA")</f>
        <v>OK</v>
      </c>
    </row>
    <row r="3" customFormat="false" ht="26.85" hidden="false" customHeight="false" outlineLevel="0" collapsed="false">
      <c r="A3" s="3" t="s">
        <v>190</v>
      </c>
      <c r="B3" s="3" t="s">
        <v>191</v>
      </c>
      <c r="C3" s="4" t="n">
        <f aca="false">MEDIAN(datos_participantes!$D$2:$D$13)</f>
        <v>178.209</v>
      </c>
      <c r="D3" s="4" t="n">
        <f aca="false">algoritmo_A_iteraciones!$B$3</f>
        <v>0.324777000000012</v>
      </c>
      <c r="E3" s="4" t="n">
        <f aca="false">1.25*D3/SQRT(COUNT(datos_participantes!$D:$D))</f>
        <v>0.117193805235379</v>
      </c>
      <c r="F3" s="4" t="n">
        <f aca="false">calc_homogeneidad!$B$9</f>
        <v>1.34309248668057</v>
      </c>
      <c r="G3" s="4" t="n">
        <f aca="false">calc_estabilidad!$B$10/SQRT(3)</f>
        <v>0.127045926735169</v>
      </c>
      <c r="H3" s="4" t="n">
        <f aca="false">SQRT(E3^2+F3^2+G3^2)</f>
        <v>1.35416855792155</v>
      </c>
      <c r="I3" s="4" t="n">
        <f aca="false">2*H3</f>
        <v>2.70833711584311</v>
      </c>
      <c r="J3" s="4" t="n">
        <f aca="false">COUNT(datos_participantes!$D:$D)</f>
        <v>12</v>
      </c>
      <c r="K3" s="5" t="str">
        <f aca="false">IF(SUM(ABS(C3-validacion_snapshot!$K$31),ABS(D3-validacion_snapshot!$L$31),ABS(E3-validacion_snapshot!$M$31),ABS(F3-validacion_snapshot!$N$31),ABS(G3-validacion_snapshot!$O$31),ABS(H3-validacion_snapshot!$P$31),ABS(I3-validacion_snapshot!$Q$31),ABS(J3-validacion_snapshot!$R$31))&lt;=0.00000001,"OK","FALLA")</f>
        <v>OK</v>
      </c>
    </row>
    <row r="4" customFormat="false" ht="15" hidden="false" customHeight="false" outlineLevel="0" collapsed="false">
      <c r="A4" s="3" t="s">
        <v>192</v>
      </c>
      <c r="B4" s="3" t="s">
        <v>193</v>
      </c>
      <c r="C4" s="4" t="n">
        <f aca="false">MEDIAN(datos_participantes!$D$2:$D$13)</f>
        <v>178.209</v>
      </c>
      <c r="D4" s="4" t="n">
        <f aca="false">0.7413*(QUARTILE(datos_participantes!$D$2:$D$13,3)-QUARTILE(datos_participantes!$D$2:$D$13,1))</f>
        <v>0.487034100000198</v>
      </c>
      <c r="E4" s="4" t="n">
        <f aca="false">1.25*D4/SQRT(COUNT(datos_participantes!$D:$D))</f>
        <v>0.175743292962276</v>
      </c>
      <c r="F4" s="4" t="n">
        <f aca="false">calc_homogeneidad!$B$9</f>
        <v>1.34309248668057</v>
      </c>
      <c r="G4" s="4" t="n">
        <f aca="false">calc_estabilidad!$B$10/SQRT(3)</f>
        <v>0.127045926735169</v>
      </c>
      <c r="H4" s="4" t="n">
        <f aca="false">SQRT(E4^2+F4^2+G4^2)</f>
        <v>1.36048660423358</v>
      </c>
      <c r="I4" s="4" t="n">
        <f aca="false">2*H4</f>
        <v>2.72097320846716</v>
      </c>
      <c r="J4" s="4" t="n">
        <f aca="false">COUNT(datos_participantes!$D:$D)</f>
        <v>12</v>
      </c>
      <c r="K4" s="5" t="str">
        <f aca="false">IF(SUM(ABS(C4-validacion_snapshot!$K$32),ABS(D4-validacion_snapshot!$L$32),ABS(E4-validacion_snapshot!$M$32),ABS(F4-validacion_snapshot!$N$32),ABS(G4-validacion_snapshot!$O$32),ABS(H4-validacion_snapshot!$P$32),ABS(I4-validacion_snapshot!$Q$32),ABS(J4-validacion_snapshot!$R$32))&lt;=0.00000001,"OK","FALLA")</f>
        <v>OK</v>
      </c>
    </row>
    <row r="5" customFormat="false" ht="15" hidden="false" customHeight="false" outlineLevel="0" collapsed="false">
      <c r="A5" s="3" t="s">
        <v>194</v>
      </c>
      <c r="B5" s="3" t="s">
        <v>195</v>
      </c>
      <c r="C5" s="4" t="n">
        <f aca="false">algoritmo_A_iteraciones!$B$7</f>
        <v>178.348436434102</v>
      </c>
      <c r="D5" s="4" t="n">
        <f aca="false">algoritmo_A_iteraciones!$B$8</f>
        <v>0.494016722256306</v>
      </c>
      <c r="E5" s="4" t="n">
        <f aca="false">1.25*D5/SQRT(COUNT(datos_participantes!$D:$D))</f>
        <v>0.178262929736784</v>
      </c>
      <c r="F5" s="4" t="n">
        <f aca="false">calc_homogeneidad!$B$9</f>
        <v>1.34309248668057</v>
      </c>
      <c r="G5" s="4" t="n">
        <f aca="false">calc_estabilidad!$B$10/SQRT(3)</f>
        <v>0.127045926735169</v>
      </c>
      <c r="H5" s="4" t="n">
        <f aca="false">SQRT(E5^2+F5^2+G5^2)</f>
        <v>1.36081437653933</v>
      </c>
      <c r="I5" s="4" t="n">
        <f aca="false">2*H5</f>
        <v>2.72162875307866</v>
      </c>
      <c r="J5" s="4" t="n">
        <f aca="false">COUNT(datos_participantes!$D:$D)</f>
        <v>12</v>
      </c>
      <c r="K5" s="5" t="str">
        <f aca="false">IF(SUM(ABS(C5-validacion_snapshot!$K$33),ABS(D5-validacion_snapshot!$L$33),ABS(E5-validacion_snapshot!$M$33),ABS(F5-validacion_snapshot!$N$33),ABS(G5-validacion_snapshot!$O$33),ABS(H5-validacion_snapshot!$P$33),ABS(I5-validacion_snapshot!$Q$33),ABS(J5-validacion_snapshot!$R$33))&lt;=0.00000001,"OK","FALLA")</f>
        <v>OK</v>
      </c>
    </row>
    <row r="6" customFormat="false" ht="15" hidden="false" customHeight="false" outlineLevel="0" collapsed="false">
      <c r="A6" s="3" t="s">
        <v>196</v>
      </c>
      <c r="B6" s="3" t="s">
        <v>197</v>
      </c>
      <c r="C6" s="4" t="n">
        <f aca="false">datos_referencia!$D$2</f>
        <v>177.614</v>
      </c>
      <c r="D6" s="4" t="n">
        <f aca="false">0.02*datos_referencia!$D$2+1</f>
        <v>4.55228</v>
      </c>
      <c r="E6" s="4" t="n">
        <f aca="false">datos_referencia!$E$2</f>
        <v>1.781</v>
      </c>
      <c r="F6" s="4" t="n">
        <f aca="false">calc_homogeneidad!$B$9</f>
        <v>1.34309248668057</v>
      </c>
      <c r="G6" s="4" t="n">
        <f aca="false">calc_estabilidad!$B$10/SQRT(3)</f>
        <v>0.127045926735169</v>
      </c>
      <c r="H6" s="4" t="n">
        <f aca="false">SQRT(E6^2+F6^2+G6^2)</f>
        <v>2.23427820453895</v>
      </c>
      <c r="I6" s="4" t="n">
        <f aca="false">2*H6</f>
        <v>4.4685564090779</v>
      </c>
      <c r="J6" s="4" t="n">
        <f aca="false">COUNT(datos_participantes!$D:$D)</f>
        <v>12</v>
      </c>
      <c r="K6" s="5" t="str">
        <f aca="false">IF(SUM(ABS(C6-validacion_snapshot!$K$34),ABS(D6-validacion_snapshot!$L$34),ABS(E6-validacion_snapshot!$M$34),ABS(F6-validacion_snapshot!$N$34),ABS(G6-validacion_snapshot!$O$34),ABS(H6-validacion_snapshot!$P$34),ABS(I6-validacion_snapshot!$Q$34),ABS(J6-validacion_snapshot!$R$34))&lt;=0.00000001,"OK","FALLA")</f>
        <v>OK</v>
      </c>
    </row>
  </sheetData>
  <conditionalFormatting sqref="K2:K6">
    <cfRule type="expression" priority="2" aboveAverage="0" equalAverage="0" bottom="0" percent="0" rank="0" text="" dxfId="0">
      <formula>K2="FALLA"</formula>
    </cfRule>
    <cfRule type="expression" priority="3" aboveAverage="0" equalAverage="0" bottom="0" percent="0" rank="0" text="" dxfId="1">
      <formula>K2="OK"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8.71"/>
    <col collapsed="false" customWidth="true" hidden="false" outlineLevel="0" max="3" min="3" style="0" width="23.71"/>
    <col collapsed="false" customWidth="true" hidden="false" outlineLevel="0" max="4" min="4" style="0" width="9.71"/>
    <col collapsed="false" customWidth="true" hidden="false" outlineLevel="0" max="5" min="5" style="0" width="6.71"/>
  </cols>
  <sheetData>
    <row r="1" customFormat="false" ht="15" hidden="false" customHeight="false" outlineLevel="0" collapsed="false">
      <c r="A1" s="2" t="s">
        <v>1</v>
      </c>
      <c r="B1" s="2" t="s">
        <v>25</v>
      </c>
      <c r="C1" s="2" t="s">
        <v>65</v>
      </c>
      <c r="D1" s="2" t="s">
        <v>66</v>
      </c>
      <c r="E1" s="2" t="s">
        <v>69</v>
      </c>
    </row>
    <row r="2" customFormat="false" ht="15" hidden="false" customHeight="false" outlineLevel="0" collapsed="false">
      <c r="A2" s="3" t="s">
        <v>198</v>
      </c>
      <c r="B2" s="3" t="s">
        <v>7</v>
      </c>
      <c r="C2" s="3" t="s">
        <v>199</v>
      </c>
      <c r="D2" s="4" t="str">
        <f aca="false">"O3"</f>
        <v>O3</v>
      </c>
      <c r="E2" s="5" t="str">
        <f aca="false">IF(IFERROR(ABS(D2-validacion_snapshot!$H$35)&lt;=0.0005,D2=validacion_snapshot!$H$35),"OK","FALLA")</f>
        <v>OK</v>
      </c>
    </row>
    <row r="3" customFormat="false" ht="15" hidden="false" customHeight="false" outlineLevel="0" collapsed="false">
      <c r="A3" s="3" t="s">
        <v>198</v>
      </c>
      <c r="B3" s="3" t="s">
        <v>200</v>
      </c>
      <c r="C3" s="3" t="s">
        <v>201</v>
      </c>
      <c r="D3" s="4" t="n">
        <f aca="false">13</f>
        <v>13</v>
      </c>
      <c r="E3" s="5" t="str">
        <f aca="false">IF(IFERROR(ABS(D3-validacion_snapshot!$H$36)&lt;=0.0005,D3=validacion_snapshot!$H$36),"OK","FALLA")</f>
        <v>OK</v>
      </c>
    </row>
    <row r="4" customFormat="false" ht="26.85" hidden="false" customHeight="false" outlineLevel="0" collapsed="false">
      <c r="A4" s="3" t="s">
        <v>198</v>
      </c>
      <c r="B4" s="3" t="s">
        <v>5</v>
      </c>
      <c r="C4" s="3" t="s">
        <v>6</v>
      </c>
      <c r="D4" s="4" t="str">
        <f aca="false">"180-nmol/mol"</f>
        <v>180-nmol/mol</v>
      </c>
      <c r="E4" s="5" t="str">
        <f aca="false">IF(IFERROR(ABS(D4-validacion_snapshot!$H$37)&lt;=0.0005,D4=validacion_snapshot!$H$37),"OK","FALLA")</f>
        <v>OK</v>
      </c>
    </row>
    <row r="5" customFormat="false" ht="15" hidden="false" customHeight="false" outlineLevel="0" collapsed="false">
      <c r="A5" s="3" t="s">
        <v>198</v>
      </c>
      <c r="B5" s="3" t="s">
        <v>202</v>
      </c>
      <c r="C5" s="3" t="s">
        <v>203</v>
      </c>
      <c r="D5" s="4" t="n">
        <f aca="false">algoritmo_A_iteraciones!$B$5</f>
        <v>12</v>
      </c>
      <c r="E5" s="5" t="str">
        <f aca="false">IF(IFERROR(ABS(D5-validacion_snapshot!$H$38)&lt;=0.0005,D5=validacion_snapshot!$H$38),"OK","FALLA")</f>
        <v>OK</v>
      </c>
    </row>
    <row r="6" customFormat="false" ht="15" hidden="false" customHeight="false" outlineLevel="0" collapsed="false">
      <c r="A6" s="3" t="s">
        <v>198</v>
      </c>
      <c r="B6" s="3" t="s">
        <v>204</v>
      </c>
      <c r="C6" s="3" t="s">
        <v>205</v>
      </c>
      <c r="D6" s="4" t="n">
        <f aca="false">ROUND(algoritmo_A_iteraciones!$B$2,4)</f>
        <v>178.209</v>
      </c>
      <c r="E6" s="5" t="str">
        <f aca="false">IF(IFERROR(ABS(D6-validacion_snapshot!$H$39)&lt;=0.0005,D6=validacion_snapshot!$H$39),"OK","FALLA")</f>
        <v>OK</v>
      </c>
    </row>
    <row r="7" customFormat="false" ht="15" hidden="false" customHeight="false" outlineLevel="0" collapsed="false">
      <c r="A7" s="3" t="s">
        <v>198</v>
      </c>
      <c r="B7" s="3" t="s">
        <v>206</v>
      </c>
      <c r="C7" s="3" t="s">
        <v>207</v>
      </c>
      <c r="D7" s="4" t="n">
        <f aca="false">ROUND(algoritmo_A_iteraciones!$B$3,4)</f>
        <v>0.3248</v>
      </c>
      <c r="E7" s="5" t="str">
        <f aca="false">IF(IFERROR(ABS(D7-validacion_snapshot!$H$40)&lt;=0.0005,D7=validacion_snapshot!$H$40),"OK","FALLA")</f>
        <v>OK</v>
      </c>
    </row>
    <row r="8" customFormat="false" ht="15" hidden="false" customHeight="false" outlineLevel="0" collapsed="false">
      <c r="A8" s="3" t="s">
        <v>198</v>
      </c>
      <c r="B8" s="3" t="s">
        <v>208</v>
      </c>
      <c r="C8" s="3" t="s">
        <v>209</v>
      </c>
      <c r="D8" s="4" t="n">
        <f aca="false">ROUND(algoritmo_A_iteraciones!$B$7,4)</f>
        <v>178.3484</v>
      </c>
      <c r="E8" s="5" t="str">
        <f aca="false">IF(IFERROR(ABS(D8-validacion_snapshot!$H$41)&lt;=0.0005,D8=validacion_snapshot!$H$41),"OK","FALLA")</f>
        <v>OK</v>
      </c>
    </row>
    <row r="9" customFormat="false" ht="15" hidden="false" customHeight="false" outlineLevel="0" collapsed="false">
      <c r="A9" s="3" t="s">
        <v>198</v>
      </c>
      <c r="B9" s="3" t="s">
        <v>210</v>
      </c>
      <c r="C9" s="3" t="s">
        <v>211</v>
      </c>
      <c r="D9" s="4" t="n">
        <f aca="false">ROUND(algoritmo_A_iteraciones!$B$8,4)</f>
        <v>0.494</v>
      </c>
      <c r="E9" s="5" t="str">
        <f aca="false">IF(IFERROR(ABS(D9-validacion_snapshot!$H$42)&lt;=0.0005,D9=validacion_snapshot!$H$42),"OK","FALLA")</f>
        <v>OK</v>
      </c>
    </row>
    <row r="10" customFormat="false" ht="15" hidden="false" customHeight="false" outlineLevel="0" collapsed="false">
      <c r="A10" s="3" t="s">
        <v>198</v>
      </c>
      <c r="B10" s="3" t="s">
        <v>212</v>
      </c>
      <c r="C10" s="3" t="s">
        <v>74</v>
      </c>
      <c r="D10" s="4" t="n">
        <f aca="false">algoritmo_A_iteraciones!$B$9</f>
        <v>2</v>
      </c>
      <c r="E10" s="5" t="str">
        <f aca="false">IF(IFERROR(ABS(D10-validacion_snapshot!$H$43)&lt;=0.0005,D10=validacion_snapshot!$H$43),"OK","FALLA")</f>
        <v>OK</v>
      </c>
    </row>
    <row r="11" customFormat="false" ht="15" hidden="false" customHeight="false" outlineLevel="0" collapsed="false">
      <c r="A11" s="3" t="s">
        <v>198</v>
      </c>
      <c r="B11" s="3" t="s">
        <v>213</v>
      </c>
      <c r="C11" s="3" t="s">
        <v>203</v>
      </c>
      <c r="D11" s="4" t="n">
        <f aca="false">algoritmo_A_iteraciones!$B$5</f>
        <v>12</v>
      </c>
      <c r="E11" s="5" t="str">
        <f aca="false">IF(IFERROR(ABS(D11-validacion_snapshot!$H$44)&lt;=0.0005,D11=validacion_snapshot!$H$44),"OK","FALLA")</f>
        <v>OK</v>
      </c>
    </row>
    <row r="12" customFormat="false" ht="15" hidden="false" customHeight="false" outlineLevel="0" collapsed="false">
      <c r="A12" s="3" t="s">
        <v>198</v>
      </c>
      <c r="B12" s="3" t="s">
        <v>214</v>
      </c>
      <c r="C12" s="3" t="s">
        <v>215</v>
      </c>
      <c r="D12" s="4" t="n">
        <f aca="false">algoritmo_A_iteraciones!$B$6</f>
        <v>14</v>
      </c>
      <c r="E12" s="5" t="str">
        <f aca="false">IF(IFERROR(ABS(D12-validacion_snapshot!$H$45)&lt;=0.0005,D12=validacion_snapshot!$H$45),"OK","FALLA")</f>
        <v>OK</v>
      </c>
    </row>
    <row r="13" customFormat="false" ht="39.55" hidden="false" customHeight="false" outlineLevel="0" collapsed="false">
      <c r="A13" s="3" t="s">
        <v>198</v>
      </c>
      <c r="B13" s="3" t="s">
        <v>216</v>
      </c>
      <c r="C13" s="3" t="s">
        <v>217</v>
      </c>
      <c r="D13" s="4" t="str">
        <f aca="false">"3 cifras significativas"</f>
        <v>3 cifras significativas</v>
      </c>
      <c r="E13" s="5" t="str">
        <f aca="false">IF(IFERROR(ABS(D13-validacion_snapshot!$H$46)&lt;=0.0005,D13=validacion_snapshot!$H$46),"OK","FALLA")</f>
        <v>OK</v>
      </c>
    </row>
    <row r="14" customFormat="false" ht="26.85" hidden="false" customHeight="false" outlineLevel="0" collapsed="false">
      <c r="A14" s="3" t="s">
        <v>198</v>
      </c>
      <c r="B14" s="3" t="s">
        <v>218</v>
      </c>
      <c r="C14" s="3" t="s">
        <v>219</v>
      </c>
      <c r="D14" s="4" t="str">
        <f aca="false">TEXT(algoritmo_A_iteraciones!$B$4,"0.0000000000")</f>
        <v>0.0000000001</v>
      </c>
      <c r="E14" s="5" t="str">
        <f aca="false">IF(IFERROR(ABS(D14-validacion_snapshot!$H$47)&lt;=0.0005,D14=validacion_snapshot!$H$47),"OK","FALLA")</f>
        <v>OK</v>
      </c>
    </row>
    <row r="15" customFormat="false" ht="15" hidden="false" customHeight="false" outlineLevel="0" collapsed="false">
      <c r="A15" s="3" t="s">
        <v>198</v>
      </c>
      <c r="B15" s="3" t="s">
        <v>220</v>
      </c>
      <c r="C15" s="3" t="s">
        <v>215</v>
      </c>
      <c r="D15" s="4" t="n">
        <f aca="false">algoritmo_A_iteraciones!$B$6</f>
        <v>14</v>
      </c>
      <c r="E15" s="5" t="str">
        <f aca="false">IF(IFERROR(ABS(D15-validacion_snapshot!$H$48)&lt;=0.0005,D15=validacion_snapshot!$H$48),"OK","FALLA")</f>
        <v>OK</v>
      </c>
    </row>
  </sheetData>
  <conditionalFormatting sqref="E2:E15">
    <cfRule type="expression" priority="2" aboveAverage="0" equalAverage="0" bottom="0" percent="0" rank="0" text="" dxfId="0">
      <formula>E2="FALLA"</formula>
    </cfRule>
    <cfRule type="expression" priority="3" aboveAverage="0" equalAverage="0" bottom="0" percent="0" rank="0" text="" dxfId="1">
      <formula>E2="OK"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8.71"/>
    <col collapsed="false" customWidth="true" hidden="false" outlineLevel="0" max="3" min="3" style="0" width="14.71"/>
    <col collapsed="false" customWidth="true" hidden="false" outlineLevel="0" max="4" min="4" style="0" width="6.71"/>
    <col collapsed="false" customWidth="true" hidden="false" outlineLevel="0" max="5" min="5" style="0" width="4.71"/>
    <col collapsed="false" customWidth="true" hidden="false" outlineLevel="0" max="6" min="6" style="0" width="7.71"/>
    <col collapsed="false" customWidth="true" hidden="false" outlineLevel="0" max="7" min="7" style="0" width="12.71"/>
    <col collapsed="false" customWidth="true" hidden="false" outlineLevel="0" max="8" min="8" style="0" width="13.71"/>
    <col collapsed="false" customWidth="true" hidden="false" outlineLevel="0" max="9" min="9" style="0" width="18.71"/>
    <col collapsed="false" customWidth="true" hidden="false" outlineLevel="0" max="10" min="10" style="0" width="10.71"/>
    <col collapsed="false" customWidth="true" hidden="false" outlineLevel="0" max="11" min="11" style="0" width="15.71"/>
    <col collapsed="false" customWidth="true" hidden="false" outlineLevel="0" max="12" min="12" style="0" width="8.71"/>
    <col collapsed="false" customWidth="true" hidden="false" outlineLevel="0" max="13" min="13" style="0" width="13.71"/>
    <col collapsed="false" customWidth="true" hidden="false" outlineLevel="0" max="14" min="14" style="0" width="6.71"/>
  </cols>
  <sheetData>
    <row r="1" customFormat="false" ht="15" hidden="false" customHeight="false" outlineLevel="0" collapsed="false">
      <c r="A1" s="2" t="s">
        <v>180</v>
      </c>
      <c r="B1" s="2" t="s">
        <v>181</v>
      </c>
      <c r="C1" s="2" t="s">
        <v>119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  <c r="I1" s="2" t="s">
        <v>226</v>
      </c>
      <c r="J1" s="2" t="s">
        <v>227</v>
      </c>
      <c r="K1" s="2" t="s">
        <v>228</v>
      </c>
      <c r="L1" s="2" t="s">
        <v>229</v>
      </c>
      <c r="M1" s="2" t="s">
        <v>230</v>
      </c>
      <c r="N1" s="2" t="s">
        <v>69</v>
      </c>
    </row>
    <row r="2" customFormat="false" ht="15" hidden="false" customHeight="false" outlineLevel="0" collapsed="false">
      <c r="A2" s="3"/>
      <c r="B2" s="3" t="s">
        <v>189</v>
      </c>
      <c r="C2" s="3" t="s">
        <v>126</v>
      </c>
      <c r="D2" s="4" t="n">
        <f aca="false">INDEX(datos_participantes!$D:$D,MATCH(C2,datos_participantes!$A:$A,0))</f>
        <v>178.722333333333</v>
      </c>
      <c r="E2" s="4" t="n">
        <f aca="false">INDEX(datos_participantes!$F:$F,MATCH(C2,datos_participantes!$A:$A,0))</f>
        <v>0.334578968165167</v>
      </c>
      <c r="F2" s="4" t="n">
        <f aca="false">IF(OR(NOT(ISNUMBER(D2)),NOT(ISNUMBER(INDEX(valor_asignado!$C:$C,MATCH(B2,valor_asignado!$B:$B,0)))),NOT(ISNUMBER(INDEX(valor_asignado!$D:$D,MATCH(B2,valor_asignado!$B:$B,0)))),INDEX(valor_asignado!$D:$D,MATCH(B2,valor_asignado!$B:$B,0))=0),"",(D2-INDEX(valor_asignado!$C:$C,MATCH(B2,valor_asignado!$B:$B,0)))/INDEX(valor_asignado!$D:$D,MATCH(B2,valor_asignado!$B:$B,0)))</f>
        <v>0.243467742171617</v>
      </c>
      <c r="G2" s="5" t="str">
        <f aca="false">IF(F2="","N/A",IF(ABS(F2)&lt;=2,"Satisfactorio",IF(ABS(F2)&lt;3,"Cuestionable","No satisfactorio")))</f>
        <v>Satisfactorio</v>
      </c>
      <c r="H2" s="4" t="n">
        <f aca="false">IF(OR(NOT(ISNUMBER(D2)),NOT(ISNUMBER(INDEX(valor_asignado!$C:$C,MATCH(B2,valor_asignado!$B:$B,0)))),NOT(ISNUMBER(SQRT(INDEX(valor_asignado!$D:$D,MATCH(B2,valor_asignado!$B:$B,0))^2+INDEX(valor_asignado!$H:$H,MATCH(B2,valor_asignado!$B:$B,0))^2))),SQRT(INDEX(valor_asignado!$D:$D,MATCH(B2,valor_asignado!$B:$B,0))^2+INDEX(valor_asignado!$H:$H,MATCH(B2,valor_asignado!$B:$B,0))^2)=0),"",(D2-INDEX(valor_asignado!$C:$C,MATCH(B2,valor_asignado!$B:$B,0)))/SQRT(INDEX(valor_asignado!$D:$D,MATCH(B2,valor_asignado!$B:$B,0))^2+INDEX(valor_asignado!$H:$H,MATCH(B2,valor_asignado!$B:$B,0))^2))</f>
        <v>0.218562173125698</v>
      </c>
      <c r="I2" s="5" t="str">
        <f aca="false">IF(H2="","N/A",IF(ABS(H2)&lt;=2,"Satisfactorio",IF(ABS(H2)&lt;3,"Cuestionable","No satisfactorio")))</f>
        <v>Satisfactorio</v>
      </c>
      <c r="J2" s="4" t="n">
        <f aca="false">IF(OR(NOT(ISNUMBER(D2)),NOT(ISNUMBER(INDEX(valor_asignado!$C:$C,MATCH(B2,valor_asignado!$B:$B,0)))),NOT(ISNUMBER(SQRT(E2^2+INDEX(valor_asignado!$H:$H,MATCH(B2,valor_asignado!$B:$B,0))^2))),SQRT(E2^2+INDEX(valor_asignado!$H:$H,MATCH(B2,valor_asignado!$B:$B,0))^2)=0),"",(D2-INDEX(valor_asignado!$C:$C,MATCH(B2,valor_asignado!$B:$B,0)))/SQRT(E2^2+INDEX(valor_asignado!$H:$H,MATCH(B2,valor_asignado!$B:$B,0))^2))</f>
        <v>0.490588678884994</v>
      </c>
      <c r="K2" s="5" t="str">
        <f aca="false">IF(J2="","N/A",IF(ABS(J2)&lt;=2,"Satisfactorio",IF(ABS(J2)&lt;3,"Cuestionable","No satisfactorio")))</f>
        <v>Satisfactorio</v>
      </c>
      <c r="L2" s="4" t="n">
        <f aca="false">IF(OR(NOT(ISNUMBER(D2)),NOT(ISNUMBER(INDEX(valor_asignado!$C:$C,MATCH(B2,valor_asignado!$B:$B,0)))),NOT(ISNUMBER(SQRT((2*E2)^2+(2*INDEX(valor_asignado!$H:$H,MATCH(B2,valor_asignado!$B:$B,0)))^2))),SQRT((2*E2)^2+(2*INDEX(valor_asignado!$H:$H,MATCH(B2,valor_asignado!$B:$B,0)))^2)=0),"",(D2-INDEX(valor_asignado!$C:$C,MATCH(B2,valor_asignado!$B:$B,0)))/SQRT((2*E2)^2+(2*INDEX(valor_asignado!$H:$H,MATCH(B2,valor_asignado!$B:$B,0)))^2))</f>
        <v>0.245294339442497</v>
      </c>
      <c r="M2" s="5" t="str">
        <f aca="false">IF(L2="","N/A",IF(ABS(L2)&lt;=1,"Satisfactorio","No satisfactorio"))</f>
        <v>Satisfactorio</v>
      </c>
      <c r="N2" s="5" t="str">
        <f aca="false">IF(AND(SUM(IF(AND(D2="",validacion_snapshot!$U$49=""),0,IFERROR(ABS(D2-validacion_snapshot!$U$49),1E+099)),IF(AND(E2="",validacion_snapshot!$V$49=""),0,IFERROR(ABS(E2-validacion_snapshot!$V$49),1E+099)),IF(AND(F2="",validacion_snapshot!$W$49=""),0,IFERROR(ABS(F2-validacion_snapshot!$W$49),1E+099)),IF(AND(H2="",validacion_snapshot!$Y$49=""),0,IFERROR(ABS(H2-validacion_snapshot!$Y$49),1E+099)),IF(AND(J2="",validacion_snapshot!$AA$49=""),0,IFERROR(ABS(J2-validacion_snapshot!$AA$49),1E+099)),IF(AND(L2="",validacion_snapshot!$AC$49=""),0,IFERROR(ABS(L2-validacion_snapshot!$AC$49),1E+099)))&lt;=0.00000001,G2=validacion_snapshot!$X$49,I2=validacion_snapshot!$Z$49,K2=validacion_snapshot!$AB$49,M2=validacion_snapshot!$AD$49),"OK","FALLA")</f>
        <v>OK</v>
      </c>
    </row>
    <row r="3" customFormat="false" ht="15" hidden="false" customHeight="false" outlineLevel="0" collapsed="false">
      <c r="A3" s="3"/>
      <c r="B3" s="3" t="s">
        <v>189</v>
      </c>
      <c r="C3" s="3" t="s">
        <v>127</v>
      </c>
      <c r="D3" s="4" t="n">
        <f aca="false">INDEX(datos_participantes!$D:$D,MATCH(C3,datos_participantes!$A:$A,0))</f>
        <v>177.981666666667</v>
      </c>
      <c r="E3" s="4" t="n">
        <f aca="false">INDEX(datos_participantes!$F:$F,MATCH(C3,datos_participantes!$A:$A,0))</f>
        <v>0.414358062941227</v>
      </c>
      <c r="F3" s="4" t="n">
        <f aca="false">IF(OR(NOT(ISNUMBER(D3)),NOT(ISNUMBER(INDEX(valor_asignado!$C:$C,MATCH(B3,valor_asignado!$B:$B,0)))),NOT(ISNUMBER(INDEX(valor_asignado!$D:$D,MATCH(B3,valor_asignado!$B:$B,0)))),INDEX(valor_asignado!$D:$D,MATCH(B3,valor_asignado!$B:$B,0))=0),"",(D3-INDEX(valor_asignado!$C:$C,MATCH(B3,valor_asignado!$B:$B,0)))/INDEX(valor_asignado!$D:$D,MATCH(B3,valor_asignado!$B:$B,0)))</f>
        <v>0.0807653893580781</v>
      </c>
      <c r="G3" s="5" t="str">
        <f aca="false">IF(F3="","N/A",IF(ABS(F3)&lt;=2,"Satisfactorio",IF(ABS(F3)&lt;3,"Cuestionable","No satisfactorio")))</f>
        <v>Satisfactorio</v>
      </c>
      <c r="H3" s="4" t="n">
        <f aca="false">IF(OR(NOT(ISNUMBER(D3)),NOT(ISNUMBER(INDEX(valor_asignado!$C:$C,MATCH(B3,valor_asignado!$B:$B,0)))),NOT(ISNUMBER(SQRT(INDEX(valor_asignado!$D:$D,MATCH(B3,valor_asignado!$B:$B,0))^2+INDEX(valor_asignado!$H:$H,MATCH(B3,valor_asignado!$B:$B,0))^2))),SQRT(INDEX(valor_asignado!$D:$D,MATCH(B3,valor_asignado!$B:$B,0))^2+INDEX(valor_asignado!$H:$H,MATCH(B3,valor_asignado!$B:$B,0))^2)=0),"",(D3-INDEX(valor_asignado!$C:$C,MATCH(B3,valor_asignado!$B:$B,0)))/SQRT(INDEX(valor_asignado!$D:$D,MATCH(B3,valor_asignado!$B:$B,0))^2+INDEX(valor_asignado!$H:$H,MATCH(B3,valor_asignado!$B:$B,0))^2))</f>
        <v>0.0725034817918583</v>
      </c>
      <c r="I3" s="5" t="str">
        <f aca="false">IF(H3="","N/A",IF(ABS(H3)&lt;=2,"Satisfactorio",IF(ABS(H3)&lt;3,"Cuestionable","No satisfactorio")))</f>
        <v>Satisfactorio</v>
      </c>
      <c r="J3" s="4" t="n">
        <f aca="false">IF(OR(NOT(ISNUMBER(D3)),NOT(ISNUMBER(INDEX(valor_asignado!$C:$C,MATCH(B3,valor_asignado!$B:$B,0)))),NOT(ISNUMBER(SQRT(E3^2+INDEX(valor_asignado!$H:$H,MATCH(B3,valor_asignado!$B:$B,0))^2))),SQRT(E3^2+INDEX(valor_asignado!$H:$H,MATCH(B3,valor_asignado!$B:$B,0))^2)=0),"",(D3-INDEX(valor_asignado!$C:$C,MATCH(B3,valor_asignado!$B:$B,0)))/SQRT(E3^2+INDEX(valor_asignado!$H:$H,MATCH(B3,valor_asignado!$B:$B,0))^2))</f>
        <v>0.161798356329087</v>
      </c>
      <c r="K3" s="5" t="str">
        <f aca="false">IF(J3="","N/A",IF(ABS(J3)&lt;=2,"Satisfactorio",IF(ABS(J3)&lt;3,"Cuestionable","No satisfactorio")))</f>
        <v>Satisfactorio</v>
      </c>
      <c r="L3" s="4" t="n">
        <f aca="false">IF(OR(NOT(ISNUMBER(D3)),NOT(ISNUMBER(INDEX(valor_asignado!$C:$C,MATCH(B3,valor_asignado!$B:$B,0)))),NOT(ISNUMBER(SQRT((2*E3)^2+(2*INDEX(valor_asignado!$H:$H,MATCH(B3,valor_asignado!$B:$B,0)))^2))),SQRT((2*E3)^2+(2*INDEX(valor_asignado!$H:$H,MATCH(B3,valor_asignado!$B:$B,0)))^2)=0),"",(D3-INDEX(valor_asignado!$C:$C,MATCH(B3,valor_asignado!$B:$B,0)))/SQRT((2*E3)^2+(2*INDEX(valor_asignado!$H:$H,MATCH(B3,valor_asignado!$B:$B,0)))^2))</f>
        <v>0.0808991781645435</v>
      </c>
      <c r="M3" s="5" t="str">
        <f aca="false">IF(L3="","N/A",IF(ABS(L3)&lt;=1,"Satisfactorio","No satisfactorio"))</f>
        <v>Satisfactorio</v>
      </c>
      <c r="N3" s="5" t="str">
        <f aca="false">IF(AND(SUM(IF(AND(D3="",validacion_snapshot!$U$50=""),0,IFERROR(ABS(D3-validacion_snapshot!$U$50),1E+099)),IF(AND(E3="",validacion_snapshot!$V$50=""),0,IFERROR(ABS(E3-validacion_snapshot!$V$50),1E+099)),IF(AND(F3="",validacion_snapshot!$W$50=""),0,IFERROR(ABS(F3-validacion_snapshot!$W$50),1E+099)),IF(AND(H3="",validacion_snapshot!$Y$50=""),0,IFERROR(ABS(H3-validacion_snapshot!$Y$50),1E+099)),IF(AND(J3="",validacion_snapshot!$AA$50=""),0,IFERROR(ABS(J3-validacion_snapshot!$AA$50),1E+099)),IF(AND(L3="",validacion_snapshot!$AC$50=""),0,IFERROR(ABS(L3-validacion_snapshot!$AC$50),1E+099)))&lt;=0.00000001,G3=validacion_snapshot!$X$50,I3=validacion_snapshot!$Z$50,K3=validacion_snapshot!$AB$50,M3=validacion_snapshot!$AD$50),"OK","FALLA")</f>
        <v>OK</v>
      </c>
    </row>
    <row r="4" customFormat="false" ht="15" hidden="false" customHeight="false" outlineLevel="0" collapsed="false">
      <c r="A4" s="3"/>
      <c r="B4" s="3" t="s">
        <v>189</v>
      </c>
      <c r="C4" s="3" t="s">
        <v>128</v>
      </c>
      <c r="D4" s="4" t="n">
        <f aca="false">INDEX(datos_participantes!$D:$D,MATCH(C4,datos_participantes!$A:$A,0))</f>
        <v>179.610333333333</v>
      </c>
      <c r="E4" s="4" t="n">
        <f aca="false">INDEX(datos_participantes!$F:$F,MATCH(C4,datos_participantes!$A:$A,0))</f>
        <v>0.380761268150885</v>
      </c>
      <c r="F4" s="4" t="n">
        <f aca="false">IF(OR(NOT(ISNUMBER(D4)),NOT(ISNUMBER(INDEX(valor_asignado!$C:$C,MATCH(B4,valor_asignado!$B:$B,0)))),NOT(ISNUMBER(INDEX(valor_asignado!$D:$D,MATCH(B4,valor_asignado!$B:$B,0)))),INDEX(valor_asignado!$D:$D,MATCH(B4,valor_asignado!$B:$B,0))=0),"",(D4-INDEX(valor_asignado!$C:$C,MATCH(B4,valor_asignado!$B:$B,0)))/INDEX(valor_asignado!$D:$D,MATCH(B4,valor_asignado!$B:$B,0)))</f>
        <v>0.438534829433379</v>
      </c>
      <c r="G4" s="5" t="str">
        <f aca="false">IF(F4="","N/A",IF(ABS(F4)&lt;=2,"Satisfactorio",IF(ABS(F4)&lt;3,"Cuestionable","No satisfactorio")))</f>
        <v>Satisfactorio</v>
      </c>
      <c r="H4" s="4" t="n">
        <f aca="false">IF(OR(NOT(ISNUMBER(D4)),NOT(ISNUMBER(INDEX(valor_asignado!$C:$C,MATCH(B4,valor_asignado!$B:$B,0)))),NOT(ISNUMBER(SQRT(INDEX(valor_asignado!$D:$D,MATCH(B4,valor_asignado!$B:$B,0))^2+INDEX(valor_asignado!$H:$H,MATCH(B4,valor_asignado!$B:$B,0))^2))),SQRT(INDEX(valor_asignado!$D:$D,MATCH(B4,valor_asignado!$B:$B,0))^2+INDEX(valor_asignado!$H:$H,MATCH(B4,valor_asignado!$B:$B,0))^2)=0),"",(D4-INDEX(valor_asignado!$C:$C,MATCH(B4,valor_asignado!$B:$B,0)))/SQRT(INDEX(valor_asignado!$D:$D,MATCH(B4,valor_asignado!$B:$B,0))^2+INDEX(valor_asignado!$H:$H,MATCH(B4,valor_asignado!$B:$B,0))^2))</f>
        <v>0.393674843563898</v>
      </c>
      <c r="I4" s="5" t="str">
        <f aca="false">IF(H4="","N/A",IF(ABS(H4)&lt;=2,"Satisfactorio",IF(ABS(H4)&lt;3,"Cuestionable","No satisfactorio")))</f>
        <v>Satisfactorio</v>
      </c>
      <c r="J4" s="4" t="n">
        <f aca="false">IF(OR(NOT(ISNUMBER(D4)),NOT(ISNUMBER(INDEX(valor_asignado!$C:$C,MATCH(B4,valor_asignado!$B:$B,0)))),NOT(ISNUMBER(SQRT(E4^2+INDEX(valor_asignado!$H:$H,MATCH(B4,valor_asignado!$B:$B,0))^2))),SQRT(E4^2+INDEX(valor_asignado!$H:$H,MATCH(B4,valor_asignado!$B:$B,0))^2)=0),"",(D4-INDEX(valor_asignado!$C:$C,MATCH(B4,valor_asignado!$B:$B,0)))/SQRT(E4^2+INDEX(valor_asignado!$H:$H,MATCH(B4,valor_asignado!$B:$B,0))^2))</f>
        <v>0.880803831975787</v>
      </c>
      <c r="K4" s="5" t="str">
        <f aca="false">IF(J4="","N/A",IF(ABS(J4)&lt;=2,"Satisfactorio",IF(ABS(J4)&lt;3,"Cuestionable","No satisfactorio")))</f>
        <v>Satisfactorio</v>
      </c>
      <c r="L4" s="4" t="n">
        <f aca="false">IF(OR(NOT(ISNUMBER(D4)),NOT(ISNUMBER(INDEX(valor_asignado!$C:$C,MATCH(B4,valor_asignado!$B:$B,0)))),NOT(ISNUMBER(SQRT((2*E4)^2+(2*INDEX(valor_asignado!$H:$H,MATCH(B4,valor_asignado!$B:$B,0)))^2))),SQRT((2*E4)^2+(2*INDEX(valor_asignado!$H:$H,MATCH(B4,valor_asignado!$B:$B,0)))^2)=0),"",(D4-INDEX(valor_asignado!$C:$C,MATCH(B4,valor_asignado!$B:$B,0)))/SQRT((2*E4)^2+(2*INDEX(valor_asignado!$H:$H,MATCH(B4,valor_asignado!$B:$B,0)))^2))</f>
        <v>0.440401915987893</v>
      </c>
      <c r="M4" s="5" t="str">
        <f aca="false">IF(L4="","N/A",IF(ABS(L4)&lt;=1,"Satisfactorio","No satisfactorio"))</f>
        <v>Satisfactorio</v>
      </c>
      <c r="N4" s="5" t="str">
        <f aca="false">IF(AND(SUM(IF(AND(D4="",validacion_snapshot!$U$51=""),0,IFERROR(ABS(D4-validacion_snapshot!$U$51),1E+099)),IF(AND(E4="",validacion_snapshot!$V$51=""),0,IFERROR(ABS(E4-validacion_snapshot!$V$51),1E+099)),IF(AND(F4="",validacion_snapshot!$W$51=""),0,IFERROR(ABS(F4-validacion_snapshot!$W$51),1E+099)),IF(AND(H4="",validacion_snapshot!$Y$51=""),0,IFERROR(ABS(H4-validacion_snapshot!$Y$51),1E+099)),IF(AND(J4="",validacion_snapshot!$AA$51=""),0,IFERROR(ABS(J4-validacion_snapshot!$AA$51),1E+099)),IF(AND(L4="",validacion_snapshot!$AC$51=""),0,IFERROR(ABS(L4-validacion_snapshot!$AC$51),1E+099)))&lt;=0.00000001,G4=validacion_snapshot!$X$51,I4=validacion_snapshot!$Z$51,K4=validacion_snapshot!$AB$51,M4=validacion_snapshot!$AD$51),"OK","FALLA")</f>
        <v>OK</v>
      </c>
    </row>
    <row r="5" customFormat="false" ht="15" hidden="false" customHeight="false" outlineLevel="0" collapsed="false">
      <c r="A5" s="3"/>
      <c r="B5" s="3" t="s">
        <v>189</v>
      </c>
      <c r="C5" s="3" t="s">
        <v>129</v>
      </c>
      <c r="D5" s="4" t="n">
        <f aca="false">INDEX(datos_participantes!$D:$D,MATCH(C5,datos_participantes!$A:$A,0))</f>
        <v>178.669666666667</v>
      </c>
      <c r="E5" s="4" t="n">
        <f aca="false">INDEX(datos_participantes!$F:$F,MATCH(C5,datos_participantes!$A:$A,0))</f>
        <v>0.343658946047462</v>
      </c>
      <c r="F5" s="4" t="n">
        <f aca="false">IF(OR(NOT(ISNUMBER(D5)),NOT(ISNUMBER(INDEX(valor_asignado!$C:$C,MATCH(B5,valor_asignado!$B:$B,0)))),NOT(ISNUMBER(INDEX(valor_asignado!$D:$D,MATCH(B5,valor_asignado!$B:$B,0)))),INDEX(valor_asignado!$D:$D,MATCH(B5,valor_asignado!$B:$B,0))=0),"",(D5-INDEX(valor_asignado!$C:$C,MATCH(B5,valor_asignado!$B:$B,0)))/INDEX(valor_asignado!$D:$D,MATCH(B5,valor_asignado!$B:$B,0)))</f>
        <v>0.231898447957289</v>
      </c>
      <c r="G5" s="5" t="str">
        <f aca="false">IF(F5="","N/A",IF(ABS(F5)&lt;=2,"Satisfactorio",IF(ABS(F5)&lt;3,"Cuestionable","No satisfactorio")))</f>
        <v>Satisfactorio</v>
      </c>
      <c r="H5" s="4" t="n">
        <f aca="false">IF(OR(NOT(ISNUMBER(D5)),NOT(ISNUMBER(INDEX(valor_asignado!$C:$C,MATCH(B5,valor_asignado!$B:$B,0)))),NOT(ISNUMBER(SQRT(INDEX(valor_asignado!$D:$D,MATCH(B5,valor_asignado!$B:$B,0))^2+INDEX(valor_asignado!$H:$H,MATCH(B5,valor_asignado!$B:$B,0))^2))),SQRT(INDEX(valor_asignado!$D:$D,MATCH(B5,valor_asignado!$B:$B,0))^2+INDEX(valor_asignado!$H:$H,MATCH(B5,valor_asignado!$B:$B,0))^2)=0),"",(D5-INDEX(valor_asignado!$C:$C,MATCH(B5,valor_asignado!$B:$B,0)))/SQRT(INDEX(valor_asignado!$D:$D,MATCH(B5,valor_asignado!$B:$B,0))^2+INDEX(valor_asignado!$H:$H,MATCH(B5,valor_asignado!$B:$B,0))^2))</f>
        <v>0.208176361590831</v>
      </c>
      <c r="I5" s="5" t="str">
        <f aca="false">IF(H5="","N/A",IF(ABS(H5)&lt;=2,"Satisfactorio",IF(ABS(H5)&lt;3,"Cuestionable","No satisfactorio")))</f>
        <v>Satisfactorio</v>
      </c>
      <c r="J5" s="4" t="n">
        <f aca="false">IF(OR(NOT(ISNUMBER(D5)),NOT(ISNUMBER(INDEX(valor_asignado!$C:$C,MATCH(B5,valor_asignado!$B:$B,0)))),NOT(ISNUMBER(SQRT(E5^2+INDEX(valor_asignado!$H:$H,MATCH(B5,valor_asignado!$B:$B,0))^2))),SQRT(E5^2+INDEX(valor_asignado!$H:$H,MATCH(B5,valor_asignado!$B:$B,0))^2)=0),"",(D5-INDEX(valor_asignado!$C:$C,MATCH(B5,valor_asignado!$B:$B,0)))/SQRT(E5^2+INDEX(valor_asignado!$H:$H,MATCH(B5,valor_asignado!$B:$B,0))^2))</f>
        <v>0.466994843427061</v>
      </c>
      <c r="K5" s="5" t="str">
        <f aca="false">IF(J5="","N/A",IF(ABS(J5)&lt;=2,"Satisfactorio",IF(ABS(J5)&lt;3,"Cuestionable","No satisfactorio")))</f>
        <v>Satisfactorio</v>
      </c>
      <c r="L5" s="4" t="n">
        <f aca="false">IF(OR(NOT(ISNUMBER(D5)),NOT(ISNUMBER(INDEX(valor_asignado!$C:$C,MATCH(B5,valor_asignado!$B:$B,0)))),NOT(ISNUMBER(SQRT((2*E5)^2+(2*INDEX(valor_asignado!$H:$H,MATCH(B5,valor_asignado!$B:$B,0)))^2))),SQRT((2*E5)^2+(2*INDEX(valor_asignado!$H:$H,MATCH(B5,valor_asignado!$B:$B,0)))^2)=0),"",(D5-INDEX(valor_asignado!$C:$C,MATCH(B5,valor_asignado!$B:$B,0)))/SQRT((2*E5)^2+(2*INDEX(valor_asignado!$H:$H,MATCH(B5,valor_asignado!$B:$B,0)))^2))</f>
        <v>0.23349742171353</v>
      </c>
      <c r="M5" s="5" t="str">
        <f aca="false">IF(L5="","N/A",IF(ABS(L5)&lt;=1,"Satisfactorio","No satisfactorio"))</f>
        <v>Satisfactorio</v>
      </c>
      <c r="N5" s="5" t="str">
        <f aca="false">IF(AND(SUM(IF(AND(D5="",validacion_snapshot!$U$52=""),0,IFERROR(ABS(D5-validacion_snapshot!$U$52),1E+099)),IF(AND(E5="",validacion_snapshot!$V$52=""),0,IFERROR(ABS(E5-validacion_snapshot!$V$52),1E+099)),IF(AND(F5="",validacion_snapshot!$W$52=""),0,IFERROR(ABS(F5-validacion_snapshot!$W$52),1E+099)),IF(AND(H5="",validacion_snapshot!$Y$52=""),0,IFERROR(ABS(H5-validacion_snapshot!$Y$52),1E+099)),IF(AND(J5="",validacion_snapshot!$AA$52=""),0,IFERROR(ABS(J5-validacion_snapshot!$AA$52),1E+099)),IF(AND(L5="",validacion_snapshot!$AC$52=""),0,IFERROR(ABS(L5-validacion_snapshot!$AC$52),1E+099)))&lt;=0.00000001,G5=validacion_snapshot!$X$52,I5=validacion_snapshot!$Z$52,K5=validacion_snapshot!$AB$52,M5=validacion_snapshot!$AD$52),"OK","FALLA")</f>
        <v>OK</v>
      </c>
    </row>
    <row r="6" customFormat="false" ht="15" hidden="false" customHeight="false" outlineLevel="0" collapsed="false">
      <c r="A6" s="3"/>
      <c r="B6" s="3" t="s">
        <v>189</v>
      </c>
      <c r="C6" s="3" t="s">
        <v>130</v>
      </c>
      <c r="D6" s="4" t="n">
        <f aca="false">INDEX(datos_participantes!$D:$D,MATCH(C6,datos_participantes!$A:$A,0))</f>
        <v>177.849</v>
      </c>
      <c r="E6" s="4" t="n">
        <f aca="false">INDEX(datos_participantes!$F:$F,MATCH(C6,datos_participantes!$A:$A,0))</f>
        <v>0.140176574676736</v>
      </c>
      <c r="F6" s="4" t="n">
        <f aca="false">IF(OR(NOT(ISNUMBER(D6)),NOT(ISNUMBER(INDEX(valor_asignado!$C:$C,MATCH(B6,valor_asignado!$B:$B,0)))),NOT(ISNUMBER(INDEX(valor_asignado!$D:$D,MATCH(B6,valor_asignado!$B:$B,0)))),INDEX(valor_asignado!$D:$D,MATCH(B6,valor_asignado!$B:$B,0))=0),"",(D6-INDEX(valor_asignado!$C:$C,MATCH(B6,valor_asignado!$B:$B,0)))/INDEX(valor_asignado!$D:$D,MATCH(B6,valor_asignado!$B:$B,0)))</f>
        <v>0.0516224836785051</v>
      </c>
      <c r="G6" s="5" t="str">
        <f aca="false">IF(F6="","N/A",IF(ABS(F6)&lt;=2,"Satisfactorio",IF(ABS(F6)&lt;3,"Cuestionable","No satisfactorio")))</f>
        <v>Satisfactorio</v>
      </c>
      <c r="H6" s="4" t="n">
        <f aca="false">IF(OR(NOT(ISNUMBER(D6)),NOT(ISNUMBER(INDEX(valor_asignado!$C:$C,MATCH(B6,valor_asignado!$B:$B,0)))),NOT(ISNUMBER(SQRT(INDEX(valor_asignado!$D:$D,MATCH(B6,valor_asignado!$B:$B,0))^2+INDEX(valor_asignado!$H:$H,MATCH(B6,valor_asignado!$B:$B,0))^2))),SQRT(INDEX(valor_asignado!$D:$D,MATCH(B6,valor_asignado!$B:$B,0))^2+INDEX(valor_asignado!$H:$H,MATCH(B6,valor_asignado!$B:$B,0))^2)=0),"",(D6-INDEX(valor_asignado!$C:$C,MATCH(B6,valor_asignado!$B:$B,0)))/SQRT(INDEX(valor_asignado!$D:$D,MATCH(B6,valor_asignado!$B:$B,0))^2+INDEX(valor_asignado!$H:$H,MATCH(B6,valor_asignado!$B:$B,0))^2))</f>
        <v>0.0463417540010985</v>
      </c>
      <c r="I6" s="5" t="str">
        <f aca="false">IF(H6="","N/A",IF(ABS(H6)&lt;=2,"Satisfactorio",IF(ABS(H6)&lt;3,"Cuestionable","No satisfactorio")))</f>
        <v>Satisfactorio</v>
      </c>
      <c r="J6" s="4" t="n">
        <f aca="false">IF(OR(NOT(ISNUMBER(D6)),NOT(ISNUMBER(INDEX(valor_asignado!$C:$C,MATCH(B6,valor_asignado!$B:$B,0)))),NOT(ISNUMBER(SQRT(E6^2+INDEX(valor_asignado!$H:$H,MATCH(B6,valor_asignado!$B:$B,0))^2))),SQRT(E6^2+INDEX(valor_asignado!$H:$H,MATCH(B6,valor_asignado!$B:$B,0))^2)=0),"",(D6-INDEX(valor_asignado!$C:$C,MATCH(B6,valor_asignado!$B:$B,0)))/SQRT(E6^2+INDEX(valor_asignado!$H:$H,MATCH(B6,valor_asignado!$B:$B,0))^2))</f>
        <v>0.104972987586357</v>
      </c>
      <c r="K6" s="5" t="str">
        <f aca="false">IF(J6="","N/A",IF(ABS(J6)&lt;=2,"Satisfactorio",IF(ABS(J6)&lt;3,"Cuestionable","No satisfactorio")))</f>
        <v>Satisfactorio</v>
      </c>
      <c r="L6" s="4" t="n">
        <f aca="false">IF(OR(NOT(ISNUMBER(D6)),NOT(ISNUMBER(INDEX(valor_asignado!$C:$C,MATCH(B6,valor_asignado!$B:$B,0)))),NOT(ISNUMBER(SQRT((2*E6)^2+(2*INDEX(valor_asignado!$H:$H,MATCH(B6,valor_asignado!$B:$B,0)))^2))),SQRT((2*E6)^2+(2*INDEX(valor_asignado!$H:$H,MATCH(B6,valor_asignado!$B:$B,0)))^2)=0),"",(D6-INDEX(valor_asignado!$C:$C,MATCH(B6,valor_asignado!$B:$B,0)))/SQRT((2*E6)^2+(2*INDEX(valor_asignado!$H:$H,MATCH(B6,valor_asignado!$B:$B,0)))^2))</f>
        <v>0.0524864937931787</v>
      </c>
      <c r="M6" s="5" t="str">
        <f aca="false">IF(L6="","N/A",IF(ABS(L6)&lt;=1,"Satisfactorio","No satisfactorio"))</f>
        <v>Satisfactorio</v>
      </c>
      <c r="N6" s="5" t="str">
        <f aca="false">IF(AND(SUM(IF(AND(D6="",validacion_snapshot!$U$53=""),0,IFERROR(ABS(D6-validacion_snapshot!$U$53),1E+099)),IF(AND(E6="",validacion_snapshot!$V$53=""),0,IFERROR(ABS(E6-validacion_snapshot!$V$53),1E+099)),IF(AND(F6="",validacion_snapshot!$W$53=""),0,IFERROR(ABS(F6-validacion_snapshot!$W$53),1E+099)),IF(AND(H6="",validacion_snapshot!$Y$53=""),0,IFERROR(ABS(H6-validacion_snapshot!$Y$53),1E+099)),IF(AND(J6="",validacion_snapshot!$AA$53=""),0,IFERROR(ABS(J6-validacion_snapshot!$AA$53),1E+099)),IF(AND(L6="",validacion_snapshot!$AC$53=""),0,IFERROR(ABS(L6-validacion_snapshot!$AC$53),1E+099)))&lt;=0.00000001,G6=validacion_snapshot!$X$53,I6=validacion_snapshot!$Z$53,K6=validacion_snapshot!$AB$53,M6=validacion_snapshot!$AD$53),"OK","FALLA")</f>
        <v>OK</v>
      </c>
    </row>
    <row r="7" customFormat="false" ht="15" hidden="false" customHeight="false" outlineLevel="0" collapsed="false">
      <c r="A7" s="3"/>
      <c r="B7" s="3" t="s">
        <v>189</v>
      </c>
      <c r="C7" s="3" t="s">
        <v>131</v>
      </c>
      <c r="D7" s="4" t="n">
        <f aca="false">INDEX(datos_participantes!$D:$D,MATCH(C7,datos_participantes!$A:$A,0))</f>
        <v>178.039333333333</v>
      </c>
      <c r="E7" s="4" t="n">
        <f aca="false">INDEX(datos_participantes!$F:$F,MATCH(C7,datos_participantes!$A:$A,0))</f>
        <v>0.00796067860388924</v>
      </c>
      <c r="F7" s="4" t="n">
        <f aca="false">IF(OR(NOT(ISNUMBER(D7)),NOT(ISNUMBER(INDEX(valor_asignado!$C:$C,MATCH(B7,valor_asignado!$B:$B,0)))),NOT(ISNUMBER(INDEX(valor_asignado!$D:$D,MATCH(B7,valor_asignado!$B:$B,0)))),INDEX(valor_asignado!$D:$D,MATCH(B7,valor_asignado!$B:$B,0))=0),"",(D7-INDEX(valor_asignado!$C:$C,MATCH(B7,valor_asignado!$B:$B,0)))/INDEX(valor_asignado!$D:$D,MATCH(B7,valor_asignado!$B:$B,0)))</f>
        <v>0.0934330342889687</v>
      </c>
      <c r="G7" s="5" t="str">
        <f aca="false">IF(F7="","N/A",IF(ABS(F7)&lt;=2,"Satisfactorio",IF(ABS(F7)&lt;3,"Cuestionable","No satisfactorio")))</f>
        <v>Satisfactorio</v>
      </c>
      <c r="H7" s="4" t="n">
        <f aca="false">IF(OR(NOT(ISNUMBER(D7)),NOT(ISNUMBER(INDEX(valor_asignado!$C:$C,MATCH(B7,valor_asignado!$B:$B,0)))),NOT(ISNUMBER(SQRT(INDEX(valor_asignado!$D:$D,MATCH(B7,valor_asignado!$B:$B,0))^2+INDEX(valor_asignado!$H:$H,MATCH(B7,valor_asignado!$B:$B,0))^2))),SQRT(INDEX(valor_asignado!$D:$D,MATCH(B7,valor_asignado!$B:$B,0))^2+INDEX(valor_asignado!$H:$H,MATCH(B7,valor_asignado!$B:$B,0))^2)=0),"",(D7-INDEX(valor_asignado!$C:$C,MATCH(B7,valor_asignado!$B:$B,0)))/SQRT(INDEX(valor_asignado!$D:$D,MATCH(B7,valor_asignado!$B:$B,0))^2+INDEX(valor_asignado!$H:$H,MATCH(B7,valor_asignado!$B:$B,0))^2))</f>
        <v>0.0838752880927053</v>
      </c>
      <c r="I7" s="5" t="str">
        <f aca="false">IF(H7="","N/A",IF(ABS(H7)&lt;=2,"Satisfactorio",IF(ABS(H7)&lt;3,"Cuestionable","No satisfactorio")))</f>
        <v>Satisfactorio</v>
      </c>
      <c r="J7" s="4" t="n">
        <f aca="false">IF(OR(NOT(ISNUMBER(D7)),NOT(ISNUMBER(INDEX(valor_asignado!$C:$C,MATCH(B7,valor_asignado!$B:$B,0)))),NOT(ISNUMBER(SQRT(E7^2+INDEX(valor_asignado!$H:$H,MATCH(B7,valor_asignado!$B:$B,0))^2))),SQRT(E7^2+INDEX(valor_asignado!$H:$H,MATCH(B7,valor_asignado!$B:$B,0))^2)=0),"",(D7-INDEX(valor_asignado!$C:$C,MATCH(B7,valor_asignado!$B:$B,0)))/SQRT(E7^2+INDEX(valor_asignado!$H:$H,MATCH(B7,valor_asignado!$B:$B,0))^2))</f>
        <v>0.19036601294098</v>
      </c>
      <c r="K7" s="5" t="str">
        <f aca="false">IF(J7="","N/A",IF(ABS(J7)&lt;=2,"Satisfactorio",IF(ABS(J7)&lt;3,"Cuestionable","No satisfactorio")))</f>
        <v>Satisfactorio</v>
      </c>
      <c r="L7" s="4" t="n">
        <f aca="false">IF(OR(NOT(ISNUMBER(D7)),NOT(ISNUMBER(INDEX(valor_asignado!$C:$C,MATCH(B7,valor_asignado!$B:$B,0)))),NOT(ISNUMBER(SQRT((2*E7)^2+(2*INDEX(valor_asignado!$H:$H,MATCH(B7,valor_asignado!$B:$B,0)))^2))),SQRT((2*E7)^2+(2*INDEX(valor_asignado!$H:$H,MATCH(B7,valor_asignado!$B:$B,0)))^2)=0),"",(D7-INDEX(valor_asignado!$C:$C,MATCH(B7,valor_asignado!$B:$B,0)))/SQRT((2*E7)^2+(2*INDEX(valor_asignado!$H:$H,MATCH(B7,valor_asignado!$B:$B,0)))^2))</f>
        <v>0.0951830064704898</v>
      </c>
      <c r="M7" s="5" t="str">
        <f aca="false">IF(L7="","N/A",IF(ABS(L7)&lt;=1,"Satisfactorio","No satisfactorio"))</f>
        <v>Satisfactorio</v>
      </c>
      <c r="N7" s="5" t="str">
        <f aca="false">IF(AND(SUM(IF(AND(D7="",validacion_snapshot!$U$54=""),0,IFERROR(ABS(D7-validacion_snapshot!$U$54),1E+099)),IF(AND(E7="",validacion_snapshot!$V$54=""),0,IFERROR(ABS(E7-validacion_snapshot!$V$54),1E+099)),IF(AND(F7="",validacion_snapshot!$W$54=""),0,IFERROR(ABS(F7-validacion_snapshot!$W$54),1E+099)),IF(AND(H7="",validacion_snapshot!$Y$54=""),0,IFERROR(ABS(H7-validacion_snapshot!$Y$54),1E+099)),IF(AND(J7="",validacion_snapshot!$AA$54=""),0,IFERROR(ABS(J7-validacion_snapshot!$AA$54),1E+099)),IF(AND(L7="",validacion_snapshot!$AC$54=""),0,IFERROR(ABS(L7-validacion_snapshot!$AC$54),1E+099)))&lt;=0.00000001,G7=validacion_snapshot!$X$54,I7=validacion_snapshot!$Z$54,K7=validacion_snapshot!$AB$54,M7=validacion_snapshot!$AD$54),"OK","FALLA")</f>
        <v>OK</v>
      </c>
    </row>
    <row r="8" customFormat="false" ht="15" hidden="false" customHeight="false" outlineLevel="0" collapsed="false">
      <c r="A8" s="3"/>
      <c r="B8" s="3" t="s">
        <v>189</v>
      </c>
      <c r="C8" s="3" t="s">
        <v>132</v>
      </c>
      <c r="D8" s="4" t="n">
        <f aca="false">INDEX(datos_participantes!$D:$D,MATCH(C8,datos_participantes!$A:$A,0))</f>
        <v>179.197666666667</v>
      </c>
      <c r="E8" s="4" t="n">
        <f aca="false">INDEX(datos_participantes!$F:$F,MATCH(C8,datos_participantes!$A:$A,0))</f>
        <v>0.23561544179908</v>
      </c>
      <c r="F8" s="4" t="n">
        <f aca="false">IF(OR(NOT(ISNUMBER(D8)),NOT(ISNUMBER(INDEX(valor_asignado!$C:$C,MATCH(B8,valor_asignado!$B:$B,0)))),NOT(ISNUMBER(INDEX(valor_asignado!$D:$D,MATCH(B8,valor_asignado!$B:$B,0)))),INDEX(valor_asignado!$D:$D,MATCH(B8,valor_asignado!$B:$B,0))=0),"",(D8-INDEX(valor_asignado!$C:$C,MATCH(B8,valor_asignado!$B:$B,0)))/INDEX(valor_asignado!$D:$D,MATCH(B8,valor_asignado!$B:$B,0)))</f>
        <v>0.347884283626447</v>
      </c>
      <c r="G8" s="5" t="str">
        <f aca="false">IF(F8="","N/A",IF(ABS(F8)&lt;=2,"Satisfactorio",IF(ABS(F8)&lt;3,"Cuestionable","No satisfactorio")))</f>
        <v>Satisfactorio</v>
      </c>
      <c r="H8" s="4" t="n">
        <f aca="false">IF(OR(NOT(ISNUMBER(D8)),NOT(ISNUMBER(INDEX(valor_asignado!$C:$C,MATCH(B8,valor_asignado!$B:$B,0)))),NOT(ISNUMBER(SQRT(INDEX(valor_asignado!$D:$D,MATCH(B8,valor_asignado!$B:$B,0))^2+INDEX(valor_asignado!$H:$H,MATCH(B8,valor_asignado!$B:$B,0))^2))),SQRT(INDEX(valor_asignado!$D:$D,MATCH(B8,valor_asignado!$B:$B,0))^2+INDEX(valor_asignado!$H:$H,MATCH(B8,valor_asignado!$B:$B,0))^2)=0),"",(D8-INDEX(valor_asignado!$C:$C,MATCH(B8,valor_asignado!$B:$B,0)))/SQRT(INDEX(valor_asignado!$D:$D,MATCH(B8,valor_asignado!$B:$B,0))^2+INDEX(valor_asignado!$H:$H,MATCH(B8,valor_asignado!$B:$B,0))^2))</f>
        <v>0.31229740887841</v>
      </c>
      <c r="I8" s="5" t="str">
        <f aca="false">IF(H8="","N/A",IF(ABS(H8)&lt;=2,"Satisfactorio",IF(ABS(H8)&lt;3,"Cuestionable","No satisfactorio")))</f>
        <v>Satisfactorio</v>
      </c>
      <c r="J8" s="4" t="n">
        <f aca="false">IF(OR(NOT(ISNUMBER(D8)),NOT(ISNUMBER(INDEX(valor_asignado!$C:$C,MATCH(B8,valor_asignado!$B:$B,0)))),NOT(ISNUMBER(SQRT(E8^2+INDEX(valor_asignado!$H:$H,MATCH(B8,valor_asignado!$B:$B,0))^2))),SQRT(E8^2+INDEX(valor_asignado!$H:$H,MATCH(B8,valor_asignado!$B:$B,0))^2)=0),"",(D8-INDEX(valor_asignado!$C:$C,MATCH(B8,valor_asignado!$B:$B,0)))/SQRT(E8^2+INDEX(valor_asignado!$H:$H,MATCH(B8,valor_asignado!$B:$B,0))^2))</f>
        <v>0.704895959448484</v>
      </c>
      <c r="K8" s="5" t="str">
        <f aca="false">IF(J8="","N/A",IF(ABS(J8)&lt;=2,"Satisfactorio",IF(ABS(J8)&lt;3,"Cuestionable","No satisfactorio")))</f>
        <v>Satisfactorio</v>
      </c>
      <c r="L8" s="4" t="n">
        <f aca="false">IF(OR(NOT(ISNUMBER(D8)),NOT(ISNUMBER(INDEX(valor_asignado!$C:$C,MATCH(B8,valor_asignado!$B:$B,0)))),NOT(ISNUMBER(SQRT((2*E8)^2+(2*INDEX(valor_asignado!$H:$H,MATCH(B8,valor_asignado!$B:$B,0)))^2))),SQRT((2*E8)^2+(2*INDEX(valor_asignado!$H:$H,MATCH(B8,valor_asignado!$B:$B,0)))^2)=0),"",(D8-INDEX(valor_asignado!$C:$C,MATCH(B8,valor_asignado!$B:$B,0)))/SQRT((2*E8)^2+(2*INDEX(valor_asignado!$H:$H,MATCH(B8,valor_asignado!$B:$B,0)))^2))</f>
        <v>0.352447979724242</v>
      </c>
      <c r="M8" s="5" t="str">
        <f aca="false">IF(L8="","N/A",IF(ABS(L8)&lt;=1,"Satisfactorio","No satisfactorio"))</f>
        <v>Satisfactorio</v>
      </c>
      <c r="N8" s="5" t="str">
        <f aca="false">IF(AND(SUM(IF(AND(D8="",validacion_snapshot!$U$55=""),0,IFERROR(ABS(D8-validacion_snapshot!$U$55),1E+099)),IF(AND(E8="",validacion_snapshot!$V$55=""),0,IFERROR(ABS(E8-validacion_snapshot!$V$55),1E+099)),IF(AND(F8="",validacion_snapshot!$W$55=""),0,IFERROR(ABS(F8-validacion_snapshot!$W$55),1E+099)),IF(AND(H8="",validacion_snapshot!$Y$55=""),0,IFERROR(ABS(H8-validacion_snapshot!$Y$55),1E+099)),IF(AND(J8="",validacion_snapshot!$AA$55=""),0,IFERROR(ABS(J8-validacion_snapshot!$AA$55),1E+099)),IF(AND(L8="",validacion_snapshot!$AC$55=""),0,IFERROR(ABS(L8-validacion_snapshot!$AC$55),1E+099)))&lt;=0.00000001,G8=validacion_snapshot!$X$55,I8=validacion_snapshot!$Z$55,K8=validacion_snapshot!$AB$55,M8=validacion_snapshot!$AD$55),"OK","FALLA")</f>
        <v>OK</v>
      </c>
    </row>
    <row r="9" customFormat="false" ht="15" hidden="false" customHeight="false" outlineLevel="0" collapsed="false">
      <c r="A9" s="3"/>
      <c r="B9" s="3" t="s">
        <v>189</v>
      </c>
      <c r="C9" s="3" t="s">
        <v>133</v>
      </c>
      <c r="D9" s="4" t="n">
        <f aca="false">INDEX(datos_participantes!$D:$D,MATCH(C9,datos_participantes!$A:$A,0))</f>
        <v>178.035</v>
      </c>
      <c r="E9" s="4" t="n">
        <f aca="false">INDEX(datos_participantes!$F:$F,MATCH(C9,datos_participantes!$A:$A,0))</f>
        <v>0.0202713981208594</v>
      </c>
      <c r="F9" s="4" t="n">
        <f aca="false">IF(OR(NOT(ISNUMBER(D9)),NOT(ISNUMBER(INDEX(valor_asignado!$C:$C,MATCH(B9,valor_asignado!$B:$B,0)))),NOT(ISNUMBER(INDEX(valor_asignado!$D:$D,MATCH(B9,valor_asignado!$B:$B,0)))),INDEX(valor_asignado!$D:$D,MATCH(B9,valor_asignado!$B:$B,0))=0),"",(D9-INDEX(valor_asignado!$C:$C,MATCH(B9,valor_asignado!$B:$B,0)))/INDEX(valor_asignado!$D:$D,MATCH(B9,valor_asignado!$B:$B,0)))</f>
        <v>0.0924811303346877</v>
      </c>
      <c r="G9" s="5" t="str">
        <f aca="false">IF(F9="","N/A",IF(ABS(F9)&lt;=2,"Satisfactorio",IF(ABS(F9)&lt;3,"Cuestionable","No satisfactorio")))</f>
        <v>Satisfactorio</v>
      </c>
      <c r="H9" s="4" t="n">
        <f aca="false">IF(OR(NOT(ISNUMBER(D9)),NOT(ISNUMBER(INDEX(valor_asignado!$C:$C,MATCH(B9,valor_asignado!$B:$B,0)))),NOT(ISNUMBER(SQRT(INDEX(valor_asignado!$D:$D,MATCH(B9,valor_asignado!$B:$B,0))^2+INDEX(valor_asignado!$H:$H,MATCH(B9,valor_asignado!$B:$B,0))^2))),SQRT(INDEX(valor_asignado!$D:$D,MATCH(B9,valor_asignado!$B:$B,0))^2+INDEX(valor_asignado!$H:$H,MATCH(B9,valor_asignado!$B:$B,0))^2)=0),"",(D9-INDEX(valor_asignado!$C:$C,MATCH(B9,valor_asignado!$B:$B,0)))/SQRT(INDEX(valor_asignado!$D:$D,MATCH(B9,valor_asignado!$B:$B,0))^2+INDEX(valor_asignado!$H:$H,MATCH(B9,valor_asignado!$B:$B,0))^2))</f>
        <v>0.0830207592955887</v>
      </c>
      <c r="I9" s="5" t="str">
        <f aca="false">IF(H9="","N/A",IF(ABS(H9)&lt;=2,"Satisfactorio",IF(ABS(H9)&lt;3,"Cuestionable","No satisfactorio")))</f>
        <v>Satisfactorio</v>
      </c>
      <c r="J9" s="4" t="n">
        <f aca="false">IF(OR(NOT(ISNUMBER(D9)),NOT(ISNUMBER(INDEX(valor_asignado!$C:$C,MATCH(B9,valor_asignado!$B:$B,0)))),NOT(ISNUMBER(SQRT(E9^2+INDEX(valor_asignado!$H:$H,MATCH(B9,valor_asignado!$B:$B,0))^2))),SQRT(E9^2+INDEX(valor_asignado!$H:$H,MATCH(B9,valor_asignado!$B:$B,0))^2)=0),"",(D9-INDEX(valor_asignado!$C:$C,MATCH(B9,valor_asignado!$B:$B,0)))/SQRT(E9^2+INDEX(valor_asignado!$H:$H,MATCH(B9,valor_asignado!$B:$B,0))^2))</f>
        <v>0.188419988321675</v>
      </c>
      <c r="K9" s="5" t="str">
        <f aca="false">IF(J9="","N/A",IF(ABS(J9)&lt;=2,"Satisfactorio",IF(ABS(J9)&lt;3,"Cuestionable","No satisfactorio")))</f>
        <v>Satisfactorio</v>
      </c>
      <c r="L9" s="4" t="n">
        <f aca="false">IF(OR(NOT(ISNUMBER(D9)),NOT(ISNUMBER(INDEX(valor_asignado!$C:$C,MATCH(B9,valor_asignado!$B:$B,0)))),NOT(ISNUMBER(SQRT((2*E9)^2+(2*INDEX(valor_asignado!$H:$H,MATCH(B9,valor_asignado!$B:$B,0)))^2))),SQRT((2*E9)^2+(2*INDEX(valor_asignado!$H:$H,MATCH(B9,valor_asignado!$B:$B,0)))^2)=0),"",(D9-INDEX(valor_asignado!$C:$C,MATCH(B9,valor_asignado!$B:$B,0)))/SQRT((2*E9)^2+(2*INDEX(valor_asignado!$H:$H,MATCH(B9,valor_asignado!$B:$B,0)))^2))</f>
        <v>0.0942099941608374</v>
      </c>
      <c r="M9" s="5" t="str">
        <f aca="false">IF(L9="","N/A",IF(ABS(L9)&lt;=1,"Satisfactorio","No satisfactorio"))</f>
        <v>Satisfactorio</v>
      </c>
      <c r="N9" s="5" t="str">
        <f aca="false">IF(AND(SUM(IF(AND(D9="",validacion_snapshot!$U$56=""),0,IFERROR(ABS(D9-validacion_snapshot!$U$56),1E+099)),IF(AND(E9="",validacion_snapshot!$V$56=""),0,IFERROR(ABS(E9-validacion_snapshot!$V$56),1E+099)),IF(AND(F9="",validacion_snapshot!$W$56=""),0,IFERROR(ABS(F9-validacion_snapshot!$W$56),1E+099)),IF(AND(H9="",validacion_snapshot!$Y$56=""),0,IFERROR(ABS(H9-validacion_snapshot!$Y$56),1E+099)),IF(AND(J9="",validacion_snapshot!$AA$56=""),0,IFERROR(ABS(J9-validacion_snapshot!$AA$56),1E+099)),IF(AND(L9="",validacion_snapshot!$AC$56=""),0,IFERROR(ABS(L9-validacion_snapshot!$AC$56),1E+099)))&lt;=0.00000001,G9=validacion_snapshot!$X$56,I9=validacion_snapshot!$Z$56,K9=validacion_snapshot!$AB$56,M9=validacion_snapshot!$AD$56),"OK","FALLA")</f>
        <v>OK</v>
      </c>
    </row>
    <row r="10" customFormat="false" ht="15" hidden="false" customHeight="false" outlineLevel="0" collapsed="false">
      <c r="A10" s="3"/>
      <c r="B10" s="3" t="s">
        <v>189</v>
      </c>
      <c r="C10" s="3" t="s">
        <v>134</v>
      </c>
      <c r="D10" s="4" t="n">
        <f aca="false">INDEX(datos_participantes!$D:$D,MATCH(C10,datos_participantes!$A:$A,0))</f>
        <v>178.152666666667</v>
      </c>
      <c r="E10" s="4" t="n">
        <f aca="false">INDEX(datos_participantes!$F:$F,MATCH(C10,datos_participantes!$A:$A,0))</f>
        <v>0.498874552692086</v>
      </c>
      <c r="F10" s="4" t="n">
        <f aca="false">IF(OR(NOT(ISNUMBER(D10)),NOT(ISNUMBER(INDEX(valor_asignado!$C:$C,MATCH(B10,valor_asignado!$B:$B,0)))),NOT(ISNUMBER(INDEX(valor_asignado!$D:$D,MATCH(B10,valor_asignado!$B:$B,0)))),INDEX(valor_asignado!$D:$D,MATCH(B10,valor_asignado!$B:$B,0))=0),"",(D10-INDEX(valor_asignado!$C:$C,MATCH(B10,valor_asignado!$B:$B,0)))/INDEX(valor_asignado!$D:$D,MATCH(B10,valor_asignado!$B:$B,0)))</f>
        <v>0.118328983864565</v>
      </c>
      <c r="G10" s="5" t="str">
        <f aca="false">IF(F10="","N/A",IF(ABS(F10)&lt;=2,"Satisfactorio",IF(ABS(F10)&lt;3,"Cuestionable","No satisfactorio")))</f>
        <v>Satisfactorio</v>
      </c>
      <c r="H10" s="4" t="n">
        <f aca="false">IF(OR(NOT(ISNUMBER(D10)),NOT(ISNUMBER(INDEX(valor_asignado!$C:$C,MATCH(B10,valor_asignado!$B:$B,0)))),NOT(ISNUMBER(SQRT(INDEX(valor_asignado!$D:$D,MATCH(B10,valor_asignado!$B:$B,0))^2+INDEX(valor_asignado!$H:$H,MATCH(B10,valor_asignado!$B:$B,0))^2))),SQRT(INDEX(valor_asignado!$D:$D,MATCH(B10,valor_asignado!$B:$B,0))^2+INDEX(valor_asignado!$H:$H,MATCH(B10,valor_asignado!$B:$B,0))^2)=0),"",(D10-INDEX(valor_asignado!$C:$C,MATCH(B10,valor_asignado!$B:$B,0)))/SQRT(INDEX(valor_asignado!$D:$D,MATCH(B10,valor_asignado!$B:$B,0))^2+INDEX(valor_asignado!$H:$H,MATCH(B10,valor_asignado!$B:$B,0))^2))</f>
        <v>0.106224502788403</v>
      </c>
      <c r="I10" s="5" t="str">
        <f aca="false">IF(H10="","N/A",IF(ABS(H10)&lt;=2,"Satisfactorio",IF(ABS(H10)&lt;3,"Cuestionable","No satisfactorio")))</f>
        <v>Satisfactorio</v>
      </c>
      <c r="J10" s="4" t="n">
        <f aca="false">IF(OR(NOT(ISNUMBER(D10)),NOT(ISNUMBER(INDEX(valor_asignado!$C:$C,MATCH(B10,valor_asignado!$B:$B,0)))),NOT(ISNUMBER(SQRT(E10^2+INDEX(valor_asignado!$H:$H,MATCH(B10,valor_asignado!$B:$B,0))^2))),SQRT(E10^2+INDEX(valor_asignado!$H:$H,MATCH(B10,valor_asignado!$B:$B,0))^2)=0),"",(D10-INDEX(valor_asignado!$C:$C,MATCH(B10,valor_asignado!$B:$B,0)))/SQRT(E10^2+INDEX(valor_asignado!$H:$H,MATCH(B10,valor_asignado!$B:$B,0))^2))</f>
        <v>0.235297983079367</v>
      </c>
      <c r="K10" s="5" t="str">
        <f aca="false">IF(J10="","N/A",IF(ABS(J10)&lt;=2,"Satisfactorio",IF(ABS(J10)&lt;3,"Cuestionable","No satisfactorio")))</f>
        <v>Satisfactorio</v>
      </c>
      <c r="L10" s="4" t="n">
        <f aca="false">IF(OR(NOT(ISNUMBER(D10)),NOT(ISNUMBER(INDEX(valor_asignado!$C:$C,MATCH(B10,valor_asignado!$B:$B,0)))),NOT(ISNUMBER(SQRT((2*E10)^2+(2*INDEX(valor_asignado!$H:$H,MATCH(B10,valor_asignado!$B:$B,0)))^2))),SQRT((2*E10)^2+(2*INDEX(valor_asignado!$H:$H,MATCH(B10,valor_asignado!$B:$B,0)))^2)=0),"",(D10-INDEX(valor_asignado!$C:$C,MATCH(B10,valor_asignado!$B:$B,0)))/SQRT((2*E10)^2+(2*INDEX(valor_asignado!$H:$H,MATCH(B10,valor_asignado!$B:$B,0)))^2))</f>
        <v>0.117648991539683</v>
      </c>
      <c r="M10" s="5" t="str">
        <f aca="false">IF(L10="","N/A",IF(ABS(L10)&lt;=1,"Satisfactorio","No satisfactorio"))</f>
        <v>Satisfactorio</v>
      </c>
      <c r="N10" s="5" t="str">
        <f aca="false">IF(AND(SUM(IF(AND(D10="",validacion_snapshot!$U$57=""),0,IFERROR(ABS(D10-validacion_snapshot!$U$57),1E+099)),IF(AND(E10="",validacion_snapshot!$V$57=""),0,IFERROR(ABS(E10-validacion_snapshot!$V$57),1E+099)),IF(AND(F10="",validacion_snapshot!$W$57=""),0,IFERROR(ABS(F10-validacion_snapshot!$W$57),1E+099)),IF(AND(H10="",validacion_snapshot!$Y$57=""),0,IFERROR(ABS(H10-validacion_snapshot!$Y$57),1E+099)),IF(AND(J10="",validacion_snapshot!$AA$57=""),0,IFERROR(ABS(J10-validacion_snapshot!$AA$57),1E+099)),IF(AND(L10="",validacion_snapshot!$AC$57=""),0,IFERROR(ABS(L10-validacion_snapshot!$AC$57),1E+099)))&lt;=0.00000001,G10=validacion_snapshot!$X$57,I10=validacion_snapshot!$Z$57,K10=validacion_snapshot!$AB$57,M10=validacion_snapshot!$AD$57),"OK","FALLA")</f>
        <v>OK</v>
      </c>
    </row>
    <row r="11" customFormat="false" ht="15" hidden="false" customHeight="false" outlineLevel="0" collapsed="false">
      <c r="A11" s="3"/>
      <c r="B11" s="3" t="s">
        <v>189</v>
      </c>
      <c r="C11" s="3" t="s">
        <v>135</v>
      </c>
      <c r="D11" s="4" t="n">
        <f aca="false">INDEX(datos_participantes!$D:$D,MATCH(C11,datos_participantes!$A:$A,0))</f>
        <v>178.290666666667</v>
      </c>
      <c r="E11" s="4" t="n">
        <f aca="false">INDEX(datos_participantes!$F:$F,MATCH(C11,datos_participantes!$A:$A,0))</f>
        <v>0.355089886356072</v>
      </c>
      <c r="F11" s="4" t="n">
        <f aca="false">IF(OR(NOT(ISNUMBER(D11)),NOT(ISNUMBER(INDEX(valor_asignado!$C:$C,MATCH(B11,valor_asignado!$B:$B,0)))),NOT(ISNUMBER(INDEX(valor_asignado!$D:$D,MATCH(B11,valor_asignado!$B:$B,0)))),INDEX(valor_asignado!$D:$D,MATCH(B11,valor_asignado!$B:$B,0))=0),"",(D11-INDEX(valor_asignado!$C:$C,MATCH(B11,valor_asignado!$B:$B,0)))/INDEX(valor_asignado!$D:$D,MATCH(B11,valor_asignado!$B:$B,0)))</f>
        <v>0.148643463641733</v>
      </c>
      <c r="G11" s="5" t="str">
        <f aca="false">IF(F11="","N/A",IF(ABS(F11)&lt;=2,"Satisfactorio",IF(ABS(F11)&lt;3,"Cuestionable","No satisfactorio")))</f>
        <v>Satisfactorio</v>
      </c>
      <c r="H11" s="4" t="n">
        <f aca="false">IF(OR(NOT(ISNUMBER(D11)),NOT(ISNUMBER(INDEX(valor_asignado!$C:$C,MATCH(B11,valor_asignado!$B:$B,0)))),NOT(ISNUMBER(SQRT(INDEX(valor_asignado!$D:$D,MATCH(B11,valor_asignado!$B:$B,0))^2+INDEX(valor_asignado!$H:$H,MATCH(B11,valor_asignado!$B:$B,0))^2))),SQRT(INDEX(valor_asignado!$D:$D,MATCH(B11,valor_asignado!$B:$B,0))^2+INDEX(valor_asignado!$H:$H,MATCH(B11,valor_asignado!$B:$B,0))^2)=0),"",(D11-INDEX(valor_asignado!$C:$C,MATCH(B11,valor_asignado!$B:$B,0)))/SQRT(INDEX(valor_asignado!$D:$D,MATCH(B11,valor_asignado!$B:$B,0))^2+INDEX(valor_asignado!$H:$H,MATCH(B11,valor_asignado!$B:$B,0))^2))</f>
        <v>0.133437958329476</v>
      </c>
      <c r="I11" s="5" t="str">
        <f aca="false">IF(H11="","N/A",IF(ABS(H11)&lt;=2,"Satisfactorio",IF(ABS(H11)&lt;3,"Cuestionable","No satisfactorio")))</f>
        <v>Satisfactorio</v>
      </c>
      <c r="J11" s="4" t="n">
        <f aca="false">IF(OR(NOT(ISNUMBER(D11)),NOT(ISNUMBER(INDEX(valor_asignado!$C:$C,MATCH(B11,valor_asignado!$B:$B,0)))),NOT(ISNUMBER(SQRT(E11^2+INDEX(valor_asignado!$H:$H,MATCH(B11,valor_asignado!$B:$B,0))^2))),SQRT(E11^2+INDEX(valor_asignado!$H:$H,MATCH(B11,valor_asignado!$B:$B,0))^2)=0),"",(D11-INDEX(valor_asignado!$C:$C,MATCH(B11,valor_asignado!$B:$B,0)))/SQRT(E11^2+INDEX(valor_asignado!$H:$H,MATCH(B11,valor_asignado!$B:$B,0))^2))</f>
        <v>0.299103098507722</v>
      </c>
      <c r="K11" s="5" t="str">
        <f aca="false">IF(J11="","N/A",IF(ABS(J11)&lt;=2,"Satisfactorio",IF(ABS(J11)&lt;3,"Cuestionable","No satisfactorio")))</f>
        <v>Satisfactorio</v>
      </c>
      <c r="L11" s="4" t="n">
        <f aca="false">IF(OR(NOT(ISNUMBER(D11)),NOT(ISNUMBER(INDEX(valor_asignado!$C:$C,MATCH(B11,valor_asignado!$B:$B,0)))),NOT(ISNUMBER(SQRT((2*E11)^2+(2*INDEX(valor_asignado!$H:$H,MATCH(B11,valor_asignado!$B:$B,0)))^2))),SQRT((2*E11)^2+(2*INDEX(valor_asignado!$H:$H,MATCH(B11,valor_asignado!$B:$B,0)))^2)=0),"",(D11-INDEX(valor_asignado!$C:$C,MATCH(B11,valor_asignado!$B:$B,0)))/SQRT((2*E11)^2+(2*INDEX(valor_asignado!$H:$H,MATCH(B11,valor_asignado!$B:$B,0)))^2))</f>
        <v>0.149551549253861</v>
      </c>
      <c r="M11" s="5" t="str">
        <f aca="false">IF(L11="","N/A",IF(ABS(L11)&lt;=1,"Satisfactorio","No satisfactorio"))</f>
        <v>Satisfactorio</v>
      </c>
      <c r="N11" s="5" t="str">
        <f aca="false">IF(AND(SUM(IF(AND(D11="",validacion_snapshot!$U$58=""),0,IFERROR(ABS(D11-validacion_snapshot!$U$58),1E+099)),IF(AND(E11="",validacion_snapshot!$V$58=""),0,IFERROR(ABS(E11-validacion_snapshot!$V$58),1E+099)),IF(AND(F11="",validacion_snapshot!$W$58=""),0,IFERROR(ABS(F11-validacion_snapshot!$W$58),1E+099)),IF(AND(H11="",validacion_snapshot!$Y$58=""),0,IFERROR(ABS(H11-validacion_snapshot!$Y$58),1E+099)),IF(AND(J11="",validacion_snapshot!$AA$58=""),0,IFERROR(ABS(J11-validacion_snapshot!$AA$58),1E+099)),IF(AND(L11="",validacion_snapshot!$AC$58=""),0,IFERROR(ABS(L11-validacion_snapshot!$AC$58),1E+099)))&lt;=0.00000001,G11=validacion_snapshot!$X$58,I11=validacion_snapshot!$Z$58,K11=validacion_snapshot!$AB$58,M11=validacion_snapshot!$AD$58),"OK","FALLA")</f>
        <v>OK</v>
      </c>
    </row>
    <row r="12" customFormat="false" ht="15" hidden="false" customHeight="false" outlineLevel="0" collapsed="false">
      <c r="A12" s="3"/>
      <c r="B12" s="3" t="s">
        <v>189</v>
      </c>
      <c r="C12" s="3" t="s">
        <v>136</v>
      </c>
      <c r="D12" s="4" t="n">
        <f aca="false">INDEX(datos_participantes!$D:$D,MATCH(C12,datos_participantes!$A:$A,0))</f>
        <v>177.998333333333</v>
      </c>
      <c r="E12" s="4" t="n">
        <f aca="false">INDEX(datos_participantes!$F:$F,MATCH(C12,datos_participantes!$A:$A,0))</f>
        <v>0.46269516615466</v>
      </c>
      <c r="F12" s="4" t="n">
        <f aca="false">IF(OR(NOT(ISNUMBER(D12)),NOT(ISNUMBER(INDEX(valor_asignado!$C:$C,MATCH(B12,valor_asignado!$B:$B,0)))),NOT(ISNUMBER(INDEX(valor_asignado!$D:$D,MATCH(B12,valor_asignado!$B:$B,0)))),INDEX(valor_asignado!$D:$D,MATCH(B12,valor_asignado!$B:$B,0))=0),"",(D12-INDEX(valor_asignado!$C:$C,MATCH(B12,valor_asignado!$B:$B,0)))/INDEX(valor_asignado!$D:$D,MATCH(B12,valor_asignado!$B:$B,0)))</f>
        <v>0.0844265584131445</v>
      </c>
      <c r="G12" s="5" t="str">
        <f aca="false">IF(F12="","N/A",IF(ABS(F12)&lt;=2,"Satisfactorio",IF(ABS(F12)&lt;3,"Cuestionable","No satisfactorio")))</f>
        <v>Satisfactorio</v>
      </c>
      <c r="H12" s="4" t="n">
        <f aca="false">IF(OR(NOT(ISNUMBER(D12)),NOT(ISNUMBER(INDEX(valor_asignado!$C:$C,MATCH(B12,valor_asignado!$B:$B,0)))),NOT(ISNUMBER(SQRT(INDEX(valor_asignado!$D:$D,MATCH(B12,valor_asignado!$B:$B,0))^2+INDEX(valor_asignado!$H:$H,MATCH(B12,valor_asignado!$B:$B,0))^2))),SQRT(INDEX(valor_asignado!$D:$D,MATCH(B12,valor_asignado!$B:$B,0))^2+INDEX(valor_asignado!$H:$H,MATCH(B12,valor_asignado!$B:$B,0))^2)=0),"",(D12-INDEX(valor_asignado!$C:$C,MATCH(B12,valor_asignado!$B:$B,0)))/SQRT(INDEX(valor_asignado!$D:$D,MATCH(B12,valor_asignado!$B:$B,0))^2+INDEX(valor_asignado!$H:$H,MATCH(B12,valor_asignado!$B:$B,0))^2))</f>
        <v>0.0757901310116627</v>
      </c>
      <c r="I12" s="5" t="str">
        <f aca="false">IF(H12="","N/A",IF(ABS(H12)&lt;=2,"Satisfactorio",IF(ABS(H12)&lt;3,"Cuestionable","No satisfactorio")))</f>
        <v>Satisfactorio</v>
      </c>
      <c r="J12" s="4" t="n">
        <f aca="false">IF(OR(NOT(ISNUMBER(D12)),NOT(ISNUMBER(INDEX(valor_asignado!$C:$C,MATCH(B12,valor_asignado!$B:$B,0)))),NOT(ISNUMBER(SQRT(E12^2+INDEX(valor_asignado!$H:$H,MATCH(B12,valor_asignado!$B:$B,0))^2))),SQRT(E12^2+INDEX(valor_asignado!$H:$H,MATCH(B12,valor_asignado!$B:$B,0))^2)=0),"",(D12-INDEX(valor_asignado!$C:$C,MATCH(B12,valor_asignado!$B:$B,0)))/SQRT(E12^2+INDEX(valor_asignado!$H:$H,MATCH(B12,valor_asignado!$B:$B,0))^2))</f>
        <v>0.168442774875428</v>
      </c>
      <c r="K12" s="5" t="str">
        <f aca="false">IF(J12="","N/A",IF(ABS(J12)&lt;=2,"Satisfactorio",IF(ABS(J12)&lt;3,"Cuestionable","No satisfactorio")))</f>
        <v>Satisfactorio</v>
      </c>
      <c r="L12" s="4" t="n">
        <f aca="false">IF(OR(NOT(ISNUMBER(D12)),NOT(ISNUMBER(INDEX(valor_asignado!$C:$C,MATCH(B12,valor_asignado!$B:$B,0)))),NOT(ISNUMBER(SQRT((2*E12)^2+(2*INDEX(valor_asignado!$H:$H,MATCH(B12,valor_asignado!$B:$B,0)))^2))),SQRT((2*E12)^2+(2*INDEX(valor_asignado!$H:$H,MATCH(B12,valor_asignado!$B:$B,0)))^2)=0),"",(D12-INDEX(valor_asignado!$C:$C,MATCH(B12,valor_asignado!$B:$B,0)))/SQRT((2*E12)^2+(2*INDEX(valor_asignado!$H:$H,MATCH(B12,valor_asignado!$B:$B,0)))^2))</f>
        <v>0.0842213874377139</v>
      </c>
      <c r="M12" s="5" t="str">
        <f aca="false">IF(L12="","N/A",IF(ABS(L12)&lt;=1,"Satisfactorio","No satisfactorio"))</f>
        <v>Satisfactorio</v>
      </c>
      <c r="N12" s="5" t="str">
        <f aca="false">IF(AND(SUM(IF(AND(D12="",validacion_snapshot!$U$59=""),0,IFERROR(ABS(D12-validacion_snapshot!$U$59),1E+099)),IF(AND(E12="",validacion_snapshot!$V$59=""),0,IFERROR(ABS(E12-validacion_snapshot!$V$59),1E+099)),IF(AND(F12="",validacion_snapshot!$W$59=""),0,IFERROR(ABS(F12-validacion_snapshot!$W$59),1E+099)),IF(AND(H12="",validacion_snapshot!$Y$59=""),0,IFERROR(ABS(H12-validacion_snapshot!$Y$59),1E+099)),IF(AND(J12="",validacion_snapshot!$AA$59=""),0,IFERROR(ABS(J12-validacion_snapshot!$AA$59),1E+099)),IF(AND(L12="",validacion_snapshot!$AC$59=""),0,IFERROR(ABS(L12-validacion_snapshot!$AC$59),1E+099)))&lt;=0.00000001,G12=validacion_snapshot!$X$59,I12=validacion_snapshot!$Z$59,K12=validacion_snapshot!$AB$59,M12=validacion_snapshot!$AD$59),"OK","FALLA")</f>
        <v>OK</v>
      </c>
    </row>
    <row r="13" customFormat="false" ht="15" hidden="false" customHeight="false" outlineLevel="0" collapsed="false">
      <c r="A13" s="3"/>
      <c r="B13" s="3" t="s">
        <v>189</v>
      </c>
      <c r="C13" s="3" t="s">
        <v>137</v>
      </c>
      <c r="D13" s="4" t="n">
        <f aca="false">INDEX(datos_participantes!$D:$D,MATCH(C13,datos_participantes!$A:$A,0))</f>
        <v>178.265333333333</v>
      </c>
      <c r="E13" s="4" t="n">
        <f aca="false">INDEX(datos_participantes!$F:$F,MATCH(C13,datos_participantes!$A:$A,0))</f>
        <v>0.236972481628575</v>
      </c>
      <c r="F13" s="4" t="n">
        <f aca="false">IF(OR(NOT(ISNUMBER(D13)),NOT(ISNUMBER(INDEX(valor_asignado!$C:$C,MATCH(B13,valor_asignado!$B:$B,0)))),NOT(ISNUMBER(INDEX(valor_asignado!$D:$D,MATCH(B13,valor_asignado!$B:$B,0)))),INDEX(valor_asignado!$D:$D,MATCH(B13,valor_asignado!$B:$B,0))=0),"",(D13-INDEX(valor_asignado!$C:$C,MATCH(B13,valor_asignado!$B:$B,0)))/INDEX(valor_asignado!$D:$D,MATCH(B13,valor_asignado!$B:$B,0)))</f>
        <v>0.143078486677662</v>
      </c>
      <c r="G13" s="5" t="str">
        <f aca="false">IF(F13="","N/A",IF(ABS(F13)&lt;=2,"Satisfactorio",IF(ABS(F13)&lt;3,"Cuestionable","No satisfactorio")))</f>
        <v>Satisfactorio</v>
      </c>
      <c r="H13" s="4" t="n">
        <f aca="false">IF(OR(NOT(ISNUMBER(D13)),NOT(ISNUMBER(INDEX(valor_asignado!$C:$C,MATCH(B13,valor_asignado!$B:$B,0)))),NOT(ISNUMBER(SQRT(INDEX(valor_asignado!$D:$D,MATCH(B13,valor_asignado!$B:$B,0))^2+INDEX(valor_asignado!$H:$H,MATCH(B13,valor_asignado!$B:$B,0))^2))),SQRT(INDEX(valor_asignado!$D:$D,MATCH(B13,valor_asignado!$B:$B,0))^2+INDEX(valor_asignado!$H:$H,MATCH(B13,valor_asignado!$B:$B,0))^2)=0),"",(D13-INDEX(valor_asignado!$C:$C,MATCH(B13,valor_asignado!$B:$B,0)))/SQRT(INDEX(valor_asignado!$D:$D,MATCH(B13,valor_asignado!$B:$B,0))^2+INDEX(valor_asignado!$H:$H,MATCH(B13,valor_asignado!$B:$B,0))^2))</f>
        <v>0.128442251515041</v>
      </c>
      <c r="I13" s="5" t="str">
        <f aca="false">IF(H13="","N/A",IF(ABS(H13)&lt;=2,"Satisfactorio",IF(ABS(H13)&lt;3,"Cuestionable","No satisfactorio")))</f>
        <v>Satisfactorio</v>
      </c>
      <c r="J13" s="4" t="n">
        <f aca="false">IF(OR(NOT(ISNUMBER(D13)),NOT(ISNUMBER(INDEX(valor_asignado!$C:$C,MATCH(B13,valor_asignado!$B:$B,0)))),NOT(ISNUMBER(SQRT(E13^2+INDEX(valor_asignado!$H:$H,MATCH(B13,valor_asignado!$B:$B,0))^2))),SQRT(E13^2+INDEX(valor_asignado!$H:$H,MATCH(B13,valor_asignado!$B:$B,0))^2)=0),"",(D13-INDEX(valor_asignado!$C:$C,MATCH(B13,valor_asignado!$B:$B,0)))/SQRT(E13^2+INDEX(valor_asignado!$H:$H,MATCH(B13,valor_asignado!$B:$B,0))^2))</f>
        <v>0.289892488157802</v>
      </c>
      <c r="K13" s="5" t="str">
        <f aca="false">IF(J13="","N/A",IF(ABS(J13)&lt;=2,"Satisfactorio",IF(ABS(J13)&lt;3,"Cuestionable","No satisfactorio")))</f>
        <v>Satisfactorio</v>
      </c>
      <c r="L13" s="4" t="n">
        <f aca="false">IF(OR(NOT(ISNUMBER(D13)),NOT(ISNUMBER(INDEX(valor_asignado!$C:$C,MATCH(B13,valor_asignado!$B:$B,0)))),NOT(ISNUMBER(SQRT((2*E13)^2+(2*INDEX(valor_asignado!$H:$H,MATCH(B13,valor_asignado!$B:$B,0)))^2))),SQRT((2*E13)^2+(2*INDEX(valor_asignado!$H:$H,MATCH(B13,valor_asignado!$B:$B,0)))^2)=0),"",(D13-INDEX(valor_asignado!$C:$C,MATCH(B13,valor_asignado!$B:$B,0)))/SQRT((2*E13)^2+(2*INDEX(valor_asignado!$H:$H,MATCH(B13,valor_asignado!$B:$B,0)))^2))</f>
        <v>0.144946244078901</v>
      </c>
      <c r="M13" s="5" t="str">
        <f aca="false">IF(L13="","N/A",IF(ABS(L13)&lt;=1,"Satisfactorio","No satisfactorio"))</f>
        <v>Satisfactorio</v>
      </c>
      <c r="N13" s="5" t="str">
        <f aca="false">IF(AND(SUM(IF(AND(D13="",validacion_snapshot!$U$60=""),0,IFERROR(ABS(D13-validacion_snapshot!$U$60),1E+099)),IF(AND(E13="",validacion_snapshot!$V$60=""),0,IFERROR(ABS(E13-validacion_snapshot!$V$60),1E+099)),IF(AND(F13="",validacion_snapshot!$W$60=""),0,IFERROR(ABS(F13-validacion_snapshot!$W$60),1E+099)),IF(AND(H13="",validacion_snapshot!$Y$60=""),0,IFERROR(ABS(H13-validacion_snapshot!$Y$60),1E+099)),IF(AND(J13="",validacion_snapshot!$AA$60=""),0,IFERROR(ABS(J13-validacion_snapshot!$AA$60),1E+099)),IF(AND(L13="",validacion_snapshot!$AC$60=""),0,IFERROR(ABS(L13-validacion_snapshot!$AC$60),1E+099)))&lt;=0.00000001,G13=validacion_snapshot!$X$60,I13=validacion_snapshot!$Z$60,K13=validacion_snapshot!$AB$60,M13=validacion_snapshot!$AD$60),"OK","FALLA")</f>
        <v>OK</v>
      </c>
    </row>
    <row r="14" customFormat="false" ht="26.85" hidden="false" customHeight="false" outlineLevel="0" collapsed="false">
      <c r="A14" s="3"/>
      <c r="B14" s="3" t="s">
        <v>191</v>
      </c>
      <c r="C14" s="3" t="s">
        <v>126</v>
      </c>
      <c r="D14" s="4" t="n">
        <f aca="false">INDEX(datos_participantes!$D:$D,MATCH(C14,datos_participantes!$A:$A,0))</f>
        <v>178.722333333333</v>
      </c>
      <c r="E14" s="4" t="n">
        <f aca="false">INDEX(datos_participantes!$F:$F,MATCH(C14,datos_participantes!$A:$A,0))</f>
        <v>0.334578968165167</v>
      </c>
      <c r="F14" s="4" t="n">
        <f aca="false">IF(OR(NOT(ISNUMBER(D14)),NOT(ISNUMBER(INDEX(valor_asignado!$C:$C,MATCH(B14,valor_asignado!$B:$B,0)))),NOT(ISNUMBER(INDEX(valor_asignado!$D:$D,MATCH(B14,valor_asignado!$B:$B,0)))),INDEX(valor_asignado!$D:$D,MATCH(B14,valor_asignado!$B:$B,0))=0),"",(D14-INDEX(valor_asignado!$C:$C,MATCH(B14,valor_asignado!$B:$B,0)))/INDEX(valor_asignado!$D:$D,MATCH(B14,valor_asignado!$B:$B,0)))</f>
        <v>1.58057169483365</v>
      </c>
      <c r="G14" s="5" t="str">
        <f aca="false">IF(F14="","N/A",IF(ABS(F14)&lt;=2,"Satisfactorio",IF(ABS(F14)&lt;3,"Cuestionable","No satisfactorio")))</f>
        <v>Satisfactorio</v>
      </c>
      <c r="H14" s="4" t="n">
        <f aca="false">IF(OR(NOT(ISNUMBER(D14)),NOT(ISNUMBER(INDEX(valor_asignado!$C:$C,MATCH(B14,valor_asignado!$B:$B,0)))),NOT(ISNUMBER(SQRT(INDEX(valor_asignado!$D:$D,MATCH(B14,valor_asignado!$B:$B,0))^2+INDEX(valor_asignado!$H:$H,MATCH(B14,valor_asignado!$B:$B,0))^2))),SQRT(INDEX(valor_asignado!$D:$D,MATCH(B14,valor_asignado!$B:$B,0))^2+INDEX(valor_asignado!$H:$H,MATCH(B14,valor_asignado!$B:$B,0))^2)=0),"",(D14-INDEX(valor_asignado!$C:$C,MATCH(B14,valor_asignado!$B:$B,0)))/SQRT(INDEX(valor_asignado!$D:$D,MATCH(B14,valor_asignado!$B:$B,0))^2+INDEX(valor_asignado!$H:$H,MATCH(B14,valor_asignado!$B:$B,0))^2))</f>
        <v>0.368622870618908</v>
      </c>
      <c r="I14" s="5" t="str">
        <f aca="false">IF(H14="","N/A",IF(ABS(H14)&lt;=2,"Satisfactorio",IF(ABS(H14)&lt;3,"Cuestionable","No satisfactorio")))</f>
        <v>Satisfactorio</v>
      </c>
      <c r="J14" s="4" t="n">
        <f aca="false">IF(OR(NOT(ISNUMBER(D14)),NOT(ISNUMBER(INDEX(valor_asignado!$C:$C,MATCH(B14,valor_asignado!$B:$B,0)))),NOT(ISNUMBER(SQRT(E14^2+INDEX(valor_asignado!$H:$H,MATCH(B14,valor_asignado!$B:$B,0))^2))),SQRT(E14^2+INDEX(valor_asignado!$H:$H,MATCH(B14,valor_asignado!$B:$B,0))^2)=0),"",(D14-INDEX(valor_asignado!$C:$C,MATCH(B14,valor_asignado!$B:$B,0)))/SQRT(E14^2+INDEX(valor_asignado!$H:$H,MATCH(B14,valor_asignado!$B:$B,0))^2))</f>
        <v>0.368010143291711</v>
      </c>
      <c r="K14" s="5" t="str">
        <f aca="false">IF(J14="","N/A",IF(ABS(J14)&lt;=2,"Satisfactorio",IF(ABS(J14)&lt;3,"Cuestionable","No satisfactorio")))</f>
        <v>Satisfactorio</v>
      </c>
      <c r="L14" s="4" t="n">
        <f aca="false">IF(OR(NOT(ISNUMBER(D14)),NOT(ISNUMBER(INDEX(valor_asignado!$C:$C,MATCH(B14,valor_asignado!$B:$B,0)))),NOT(ISNUMBER(SQRT((2*E14)^2+(2*INDEX(valor_asignado!$H:$H,MATCH(B14,valor_asignado!$B:$B,0)))^2))),SQRT((2*E14)^2+(2*INDEX(valor_asignado!$H:$H,MATCH(B14,valor_asignado!$B:$B,0)))^2)=0),"",(D14-INDEX(valor_asignado!$C:$C,MATCH(B14,valor_asignado!$B:$B,0)))/SQRT((2*E14)^2+(2*INDEX(valor_asignado!$H:$H,MATCH(B14,valor_asignado!$B:$B,0)))^2))</f>
        <v>0.184005071645855</v>
      </c>
      <c r="M14" s="5" t="str">
        <f aca="false">IF(L14="","N/A",IF(ABS(L14)&lt;=1,"Satisfactorio","No satisfactorio"))</f>
        <v>Satisfactorio</v>
      </c>
      <c r="N14" s="5" t="str">
        <f aca="false">IF(AND(SUM(IF(AND(D14="",validacion_snapshot!$U$61=""),0,IFERROR(ABS(D14-validacion_snapshot!$U$61),1E+099)),IF(AND(E14="",validacion_snapshot!$V$61=""),0,IFERROR(ABS(E14-validacion_snapshot!$V$61),1E+099)),IF(AND(F14="",validacion_snapshot!$W$61=""),0,IFERROR(ABS(F14-validacion_snapshot!$W$61),1E+099)),IF(AND(H14="",validacion_snapshot!$Y$61=""),0,IFERROR(ABS(H14-validacion_snapshot!$Y$61),1E+099)),IF(AND(J14="",validacion_snapshot!$AA$61=""),0,IFERROR(ABS(J14-validacion_snapshot!$AA$61),1E+099)),IF(AND(L14="",validacion_snapshot!$AC$61=""),0,IFERROR(ABS(L14-validacion_snapshot!$AC$61),1E+099)))&lt;=0.00000001,G14=validacion_snapshot!$X$61,I14=validacion_snapshot!$Z$61,K14=validacion_snapshot!$AB$61,M14=validacion_snapshot!$AD$61),"OK","FALLA")</f>
        <v>OK</v>
      </c>
    </row>
    <row r="15" customFormat="false" ht="26.85" hidden="false" customHeight="false" outlineLevel="0" collapsed="false">
      <c r="A15" s="3"/>
      <c r="B15" s="3" t="s">
        <v>191</v>
      </c>
      <c r="C15" s="3" t="s">
        <v>127</v>
      </c>
      <c r="D15" s="4" t="n">
        <f aca="false">INDEX(datos_participantes!$D:$D,MATCH(C15,datos_participantes!$A:$A,0))</f>
        <v>177.981666666667</v>
      </c>
      <c r="E15" s="4" t="n">
        <f aca="false">INDEX(datos_participantes!$F:$F,MATCH(C15,datos_participantes!$A:$A,0))</f>
        <v>0.414358062941227</v>
      </c>
      <c r="F15" s="4" t="n">
        <f aca="false">IF(OR(NOT(ISNUMBER(D15)),NOT(ISNUMBER(INDEX(valor_asignado!$C:$C,MATCH(B15,valor_asignado!$B:$B,0)))),NOT(ISNUMBER(INDEX(valor_asignado!$D:$D,MATCH(B15,valor_asignado!$B:$B,0)))),INDEX(valor_asignado!$D:$D,MATCH(B15,valor_asignado!$B:$B,0))=0),"",(D15-INDEX(valor_asignado!$C:$C,MATCH(B15,valor_asignado!$B:$B,0)))/INDEX(valor_asignado!$D:$D,MATCH(B15,valor_asignado!$B:$B,0)))</f>
        <v>-0.699967464854342</v>
      </c>
      <c r="G15" s="5" t="str">
        <f aca="false">IF(F15="","N/A",IF(ABS(F15)&lt;=2,"Satisfactorio",IF(ABS(F15)&lt;3,"Cuestionable","No satisfactorio")))</f>
        <v>Satisfactorio</v>
      </c>
      <c r="H15" s="4" t="n">
        <f aca="false">IF(OR(NOT(ISNUMBER(D15)),NOT(ISNUMBER(INDEX(valor_asignado!$C:$C,MATCH(B15,valor_asignado!$B:$B,0)))),NOT(ISNUMBER(SQRT(INDEX(valor_asignado!$D:$D,MATCH(B15,valor_asignado!$B:$B,0))^2+INDEX(valor_asignado!$H:$H,MATCH(B15,valor_asignado!$B:$B,0))^2))),SQRT(INDEX(valor_asignado!$D:$D,MATCH(B15,valor_asignado!$B:$B,0))^2+INDEX(valor_asignado!$H:$H,MATCH(B15,valor_asignado!$B:$B,0))^2)=0),"",(D15-INDEX(valor_asignado!$C:$C,MATCH(B15,valor_asignado!$B:$B,0)))/SQRT(INDEX(valor_asignado!$D:$D,MATCH(B15,valor_asignado!$B:$B,0))^2+INDEX(valor_asignado!$H:$H,MATCH(B15,valor_asignado!$B:$B,0))^2))</f>
        <v>-0.163247271273957</v>
      </c>
      <c r="I15" s="5" t="str">
        <f aca="false">IF(H15="","N/A",IF(ABS(H15)&lt;=2,"Satisfactorio",IF(ABS(H15)&lt;3,"Cuestionable","No satisfactorio")))</f>
        <v>Satisfactorio</v>
      </c>
      <c r="J15" s="4" t="n">
        <f aca="false">IF(OR(NOT(ISNUMBER(D15)),NOT(ISNUMBER(INDEX(valor_asignado!$C:$C,MATCH(B15,valor_asignado!$B:$B,0)))),NOT(ISNUMBER(SQRT(E15^2+INDEX(valor_asignado!$H:$H,MATCH(B15,valor_asignado!$B:$B,0))^2))),SQRT(E15^2+INDEX(valor_asignado!$H:$H,MATCH(B15,valor_asignado!$B:$B,0))^2)=0),"",(D15-INDEX(valor_asignado!$C:$C,MATCH(B15,valor_asignado!$B:$B,0)))/SQRT(E15^2+INDEX(valor_asignado!$H:$H,MATCH(B15,valor_asignado!$B:$B,0))^2))</f>
        <v>-0.160529763910465</v>
      </c>
      <c r="K15" s="5" t="str">
        <f aca="false">IF(J15="","N/A",IF(ABS(J15)&lt;=2,"Satisfactorio",IF(ABS(J15)&lt;3,"Cuestionable","No satisfactorio")))</f>
        <v>Satisfactorio</v>
      </c>
      <c r="L15" s="4" t="n">
        <f aca="false">IF(OR(NOT(ISNUMBER(D15)),NOT(ISNUMBER(INDEX(valor_asignado!$C:$C,MATCH(B15,valor_asignado!$B:$B,0)))),NOT(ISNUMBER(SQRT((2*E15)^2+(2*INDEX(valor_asignado!$H:$H,MATCH(B15,valor_asignado!$B:$B,0)))^2))),SQRT((2*E15)^2+(2*INDEX(valor_asignado!$H:$H,MATCH(B15,valor_asignado!$B:$B,0)))^2)=0),"",(D15-INDEX(valor_asignado!$C:$C,MATCH(B15,valor_asignado!$B:$B,0)))/SQRT((2*E15)^2+(2*INDEX(valor_asignado!$H:$H,MATCH(B15,valor_asignado!$B:$B,0)))^2))</f>
        <v>-0.0802648819552325</v>
      </c>
      <c r="M15" s="5" t="str">
        <f aca="false">IF(L15="","N/A",IF(ABS(L15)&lt;=1,"Satisfactorio","No satisfactorio"))</f>
        <v>Satisfactorio</v>
      </c>
      <c r="N15" s="5" t="str">
        <f aca="false">IF(AND(SUM(IF(AND(D15="",validacion_snapshot!$U$62=""),0,IFERROR(ABS(D15-validacion_snapshot!$U$62),1E+099)),IF(AND(E15="",validacion_snapshot!$V$62=""),0,IFERROR(ABS(E15-validacion_snapshot!$V$62),1E+099)),IF(AND(F15="",validacion_snapshot!$W$62=""),0,IFERROR(ABS(F15-validacion_snapshot!$W$62),1E+099)),IF(AND(H15="",validacion_snapshot!$Y$62=""),0,IFERROR(ABS(H15-validacion_snapshot!$Y$62),1E+099)),IF(AND(J15="",validacion_snapshot!$AA$62=""),0,IFERROR(ABS(J15-validacion_snapshot!$AA$62),1E+099)),IF(AND(L15="",validacion_snapshot!$AC$62=""),0,IFERROR(ABS(L15-validacion_snapshot!$AC$62),1E+099)))&lt;=0.00000001,G15=validacion_snapshot!$X$62,I15=validacion_snapshot!$Z$62,K15=validacion_snapshot!$AB$62,M15=validacion_snapshot!$AD$62),"OK","FALLA")</f>
        <v>OK</v>
      </c>
    </row>
    <row r="16" customFormat="false" ht="26.85" hidden="false" customHeight="false" outlineLevel="0" collapsed="false">
      <c r="A16" s="3"/>
      <c r="B16" s="3" t="s">
        <v>191</v>
      </c>
      <c r="C16" s="3" t="s">
        <v>128</v>
      </c>
      <c r="D16" s="4" t="n">
        <f aca="false">INDEX(datos_participantes!$D:$D,MATCH(C16,datos_participantes!$A:$A,0))</f>
        <v>179.610333333333</v>
      </c>
      <c r="E16" s="4" t="n">
        <f aca="false">INDEX(datos_participantes!$F:$F,MATCH(C16,datos_participantes!$A:$A,0))</f>
        <v>0.380761268150885</v>
      </c>
      <c r="F16" s="4" t="n">
        <f aca="false">IF(OR(NOT(ISNUMBER(D16)),NOT(ISNUMBER(INDEX(valor_asignado!$C:$C,MATCH(B16,valor_asignado!$B:$B,0)))),NOT(ISNUMBER(INDEX(valor_asignado!$D:$D,MATCH(B16,valor_asignado!$B:$B,0)))),INDEX(valor_asignado!$D:$D,MATCH(B16,valor_asignado!$B:$B,0))=0),"",(D16-INDEX(valor_asignado!$C:$C,MATCH(B16,valor_asignado!$B:$B,0)))/INDEX(valor_asignado!$D:$D,MATCH(B16,valor_asignado!$B:$B,0)))</f>
        <v>4.31475545784625</v>
      </c>
      <c r="G16" s="5" t="str">
        <f aca="false">IF(F16="","N/A",IF(ABS(F16)&lt;=2,"Satisfactorio",IF(ABS(F16)&lt;3,"Cuestionable","No satisfactorio")))</f>
        <v>No satisfactorio</v>
      </c>
      <c r="H16" s="4" t="n">
        <f aca="false">IF(OR(NOT(ISNUMBER(D16)),NOT(ISNUMBER(INDEX(valor_asignado!$C:$C,MATCH(B16,valor_asignado!$B:$B,0)))),NOT(ISNUMBER(SQRT(INDEX(valor_asignado!$D:$D,MATCH(B16,valor_asignado!$B:$B,0))^2+INDEX(valor_asignado!$H:$H,MATCH(B16,valor_asignado!$B:$B,0))^2))),SQRT(INDEX(valor_asignado!$D:$D,MATCH(B16,valor_asignado!$B:$B,0))^2+INDEX(valor_asignado!$H:$H,MATCH(B16,valor_asignado!$B:$B,0))^2)=0),"",(D16-INDEX(valor_asignado!$C:$C,MATCH(B16,valor_asignado!$B:$B,0)))/SQRT(INDEX(valor_asignado!$D:$D,MATCH(B16,valor_asignado!$B:$B,0))^2+INDEX(valor_asignado!$H:$H,MATCH(B16,valor_asignado!$B:$B,0))^2))</f>
        <v>1.00629256368993</v>
      </c>
      <c r="I16" s="5" t="str">
        <f aca="false">IF(H16="","N/A",IF(ABS(H16)&lt;=2,"Satisfactorio",IF(ABS(H16)&lt;3,"Cuestionable","No satisfactorio")))</f>
        <v>Satisfactorio</v>
      </c>
      <c r="J16" s="4" t="n">
        <f aca="false">IF(OR(NOT(ISNUMBER(D16)),NOT(ISNUMBER(INDEX(valor_asignado!$C:$C,MATCH(B16,valor_asignado!$B:$B,0)))),NOT(ISNUMBER(SQRT(E16^2+INDEX(valor_asignado!$H:$H,MATCH(B16,valor_asignado!$B:$B,0))^2))),SQRT(E16^2+INDEX(valor_asignado!$H:$H,MATCH(B16,valor_asignado!$B:$B,0))^2)=0),"",(D16-INDEX(valor_asignado!$C:$C,MATCH(B16,valor_asignado!$B:$B,0)))/SQRT(E16^2+INDEX(valor_asignado!$H:$H,MATCH(B16,valor_asignado!$B:$B,0))^2))</f>
        <v>0.996198331933338</v>
      </c>
      <c r="K16" s="5" t="str">
        <f aca="false">IF(J16="","N/A",IF(ABS(J16)&lt;=2,"Satisfactorio",IF(ABS(J16)&lt;3,"Cuestionable","No satisfactorio")))</f>
        <v>Satisfactorio</v>
      </c>
      <c r="L16" s="4" t="n">
        <f aca="false">IF(OR(NOT(ISNUMBER(D16)),NOT(ISNUMBER(INDEX(valor_asignado!$C:$C,MATCH(B16,valor_asignado!$B:$B,0)))),NOT(ISNUMBER(SQRT((2*E16)^2+(2*INDEX(valor_asignado!$H:$H,MATCH(B16,valor_asignado!$B:$B,0)))^2))),SQRT((2*E16)^2+(2*INDEX(valor_asignado!$H:$H,MATCH(B16,valor_asignado!$B:$B,0)))^2)=0),"",(D16-INDEX(valor_asignado!$C:$C,MATCH(B16,valor_asignado!$B:$B,0)))/SQRT((2*E16)^2+(2*INDEX(valor_asignado!$H:$H,MATCH(B16,valor_asignado!$B:$B,0)))^2))</f>
        <v>0.498099165966669</v>
      </c>
      <c r="M16" s="5" t="str">
        <f aca="false">IF(L16="","N/A",IF(ABS(L16)&lt;=1,"Satisfactorio","No satisfactorio"))</f>
        <v>Satisfactorio</v>
      </c>
      <c r="N16" s="5" t="str">
        <f aca="false">IF(AND(SUM(IF(AND(D16="",validacion_snapshot!$U$63=""),0,IFERROR(ABS(D16-validacion_snapshot!$U$63),1E+099)),IF(AND(E16="",validacion_snapshot!$V$63=""),0,IFERROR(ABS(E16-validacion_snapshot!$V$63),1E+099)),IF(AND(F16="",validacion_snapshot!$W$63=""),0,IFERROR(ABS(F16-validacion_snapshot!$W$63),1E+099)),IF(AND(H16="",validacion_snapshot!$Y$63=""),0,IFERROR(ABS(H16-validacion_snapshot!$Y$63),1E+099)),IF(AND(J16="",validacion_snapshot!$AA$63=""),0,IFERROR(ABS(J16-validacion_snapshot!$AA$63),1E+099)),IF(AND(L16="",validacion_snapshot!$AC$63=""),0,IFERROR(ABS(L16-validacion_snapshot!$AC$63),1E+099)))&lt;=0.00000001,G16=validacion_snapshot!$X$63,I16=validacion_snapshot!$Z$63,K16=validacion_snapshot!$AB$63,M16=validacion_snapshot!$AD$63),"OK","FALLA")</f>
        <v>OK</v>
      </c>
    </row>
    <row r="17" customFormat="false" ht="26.85" hidden="false" customHeight="false" outlineLevel="0" collapsed="false">
      <c r="A17" s="3"/>
      <c r="B17" s="3" t="s">
        <v>191</v>
      </c>
      <c r="C17" s="3" t="s">
        <v>129</v>
      </c>
      <c r="D17" s="4" t="n">
        <f aca="false">INDEX(datos_participantes!$D:$D,MATCH(C17,datos_participantes!$A:$A,0))</f>
        <v>178.669666666667</v>
      </c>
      <c r="E17" s="4" t="n">
        <f aca="false">INDEX(datos_participantes!$F:$F,MATCH(C17,datos_participantes!$A:$A,0))</f>
        <v>0.343658946047462</v>
      </c>
      <c r="F17" s="4" t="n">
        <f aca="false">IF(OR(NOT(ISNUMBER(D17)),NOT(ISNUMBER(INDEX(valor_asignado!$C:$C,MATCH(B17,valor_asignado!$B:$B,0)))),NOT(ISNUMBER(INDEX(valor_asignado!$D:$D,MATCH(B17,valor_asignado!$B:$B,0)))),INDEX(valor_asignado!$D:$D,MATCH(B17,valor_asignado!$B:$B,0))=0),"",(D17-INDEX(valor_asignado!$C:$C,MATCH(B17,valor_asignado!$B:$B,0)))/INDEX(valor_asignado!$D:$D,MATCH(B17,valor_asignado!$B:$B,0)))</f>
        <v>1.4184091443267</v>
      </c>
      <c r="G17" s="5" t="str">
        <f aca="false">IF(F17="","N/A",IF(ABS(F17)&lt;=2,"Satisfactorio",IF(ABS(F17)&lt;3,"Cuestionable","No satisfactorio")))</f>
        <v>Satisfactorio</v>
      </c>
      <c r="H17" s="4" t="n">
        <f aca="false">IF(OR(NOT(ISNUMBER(D17)),NOT(ISNUMBER(INDEX(valor_asignado!$C:$C,MATCH(B17,valor_asignado!$B:$B,0)))),NOT(ISNUMBER(SQRT(INDEX(valor_asignado!$D:$D,MATCH(B17,valor_asignado!$B:$B,0))^2+INDEX(valor_asignado!$H:$H,MATCH(B17,valor_asignado!$B:$B,0))^2))),SQRT(INDEX(valor_asignado!$D:$D,MATCH(B17,valor_asignado!$B:$B,0))^2+INDEX(valor_asignado!$H:$H,MATCH(B17,valor_asignado!$B:$B,0))^2)=0),"",(D17-INDEX(valor_asignado!$C:$C,MATCH(B17,valor_asignado!$B:$B,0)))/SQRT(INDEX(valor_asignado!$D:$D,MATCH(B17,valor_asignado!$B:$B,0))^2+INDEX(valor_asignado!$H:$H,MATCH(B17,valor_asignado!$B:$B,0))^2))</f>
        <v>0.330803121555865</v>
      </c>
      <c r="I17" s="5" t="str">
        <f aca="false">IF(H17="","N/A",IF(ABS(H17)&lt;=2,"Satisfactorio",IF(ABS(H17)&lt;3,"Cuestionable","No satisfactorio")))</f>
        <v>Satisfactorio</v>
      </c>
      <c r="J17" s="4" t="n">
        <f aca="false">IF(OR(NOT(ISNUMBER(D17)),NOT(ISNUMBER(INDEX(valor_asignado!$C:$C,MATCH(B17,valor_asignado!$B:$B,0)))),NOT(ISNUMBER(SQRT(E17^2+INDEX(valor_asignado!$H:$H,MATCH(B17,valor_asignado!$B:$B,0))^2))),SQRT(E17^2+INDEX(valor_asignado!$H:$H,MATCH(B17,valor_asignado!$B:$B,0))^2)=0),"",(D17-INDEX(valor_asignado!$C:$C,MATCH(B17,valor_asignado!$B:$B,0)))/SQRT(E17^2+INDEX(valor_asignado!$H:$H,MATCH(B17,valor_asignado!$B:$B,0))^2))</f>
        <v>0.329731853487769</v>
      </c>
      <c r="K17" s="5" t="str">
        <f aca="false">IF(J17="","N/A",IF(ABS(J17)&lt;=2,"Satisfactorio",IF(ABS(J17)&lt;3,"Cuestionable","No satisfactorio")))</f>
        <v>Satisfactorio</v>
      </c>
      <c r="L17" s="4" t="n">
        <f aca="false">IF(OR(NOT(ISNUMBER(D17)),NOT(ISNUMBER(INDEX(valor_asignado!$C:$C,MATCH(B17,valor_asignado!$B:$B,0)))),NOT(ISNUMBER(SQRT((2*E17)^2+(2*INDEX(valor_asignado!$H:$H,MATCH(B17,valor_asignado!$B:$B,0)))^2))),SQRT((2*E17)^2+(2*INDEX(valor_asignado!$H:$H,MATCH(B17,valor_asignado!$B:$B,0)))^2)=0),"",(D17-INDEX(valor_asignado!$C:$C,MATCH(B17,valor_asignado!$B:$B,0)))/SQRT((2*E17)^2+(2*INDEX(valor_asignado!$H:$H,MATCH(B17,valor_asignado!$B:$B,0)))^2))</f>
        <v>0.164865926743885</v>
      </c>
      <c r="M17" s="5" t="str">
        <f aca="false">IF(L17="","N/A",IF(ABS(L17)&lt;=1,"Satisfactorio","No satisfactorio"))</f>
        <v>Satisfactorio</v>
      </c>
      <c r="N17" s="5" t="str">
        <f aca="false">IF(AND(SUM(IF(AND(D17="",validacion_snapshot!$U$64=""),0,IFERROR(ABS(D17-validacion_snapshot!$U$64),1E+099)),IF(AND(E17="",validacion_snapshot!$V$64=""),0,IFERROR(ABS(E17-validacion_snapshot!$V$64),1E+099)),IF(AND(F17="",validacion_snapshot!$W$64=""),0,IFERROR(ABS(F17-validacion_snapshot!$W$64),1E+099)),IF(AND(H17="",validacion_snapshot!$Y$64=""),0,IFERROR(ABS(H17-validacion_snapshot!$Y$64),1E+099)),IF(AND(J17="",validacion_snapshot!$AA$64=""),0,IFERROR(ABS(J17-validacion_snapshot!$AA$64),1E+099)),IF(AND(L17="",validacion_snapshot!$AC$64=""),0,IFERROR(ABS(L17-validacion_snapshot!$AC$64),1E+099)))&lt;=0.00000001,G17=validacion_snapshot!$X$64,I17=validacion_snapshot!$Z$64,K17=validacion_snapshot!$AB$64,M17=validacion_snapshot!$AD$64),"OK","FALLA")</f>
        <v>OK</v>
      </c>
    </row>
    <row r="18" customFormat="false" ht="26.85" hidden="false" customHeight="false" outlineLevel="0" collapsed="false">
      <c r="A18" s="3"/>
      <c r="B18" s="3" t="s">
        <v>191</v>
      </c>
      <c r="C18" s="3" t="s">
        <v>130</v>
      </c>
      <c r="D18" s="4" t="n">
        <f aca="false">INDEX(datos_participantes!$D:$D,MATCH(C18,datos_participantes!$A:$A,0))</f>
        <v>177.849</v>
      </c>
      <c r="E18" s="4" t="n">
        <f aca="false">INDEX(datos_participantes!$F:$F,MATCH(C18,datos_participantes!$A:$A,0))</f>
        <v>0.140176574676736</v>
      </c>
      <c r="F18" s="4" t="n">
        <f aca="false">IF(OR(NOT(ISNUMBER(D18)),NOT(ISNUMBER(INDEX(valor_asignado!$C:$C,MATCH(B18,valor_asignado!$B:$B,0)))),NOT(ISNUMBER(INDEX(valor_asignado!$D:$D,MATCH(B18,valor_asignado!$B:$B,0)))),INDEX(valor_asignado!$D:$D,MATCH(B18,valor_asignado!$B:$B,0))=0),"",(D18-INDEX(valor_asignado!$C:$C,MATCH(B18,valor_asignado!$B:$B,0)))/INDEX(valor_asignado!$D:$D,MATCH(B18,valor_asignado!$B:$B,0)))</f>
        <v>-1.10845287689707</v>
      </c>
      <c r="G18" s="5" t="str">
        <f aca="false">IF(F18="","N/A",IF(ABS(F18)&lt;=2,"Satisfactorio",IF(ABS(F18)&lt;3,"Cuestionable","No satisfactorio")))</f>
        <v>Satisfactorio</v>
      </c>
      <c r="H18" s="4" t="n">
        <f aca="false">IF(OR(NOT(ISNUMBER(D18)),NOT(ISNUMBER(INDEX(valor_asignado!$C:$C,MATCH(B18,valor_asignado!$B:$B,0)))),NOT(ISNUMBER(SQRT(INDEX(valor_asignado!$D:$D,MATCH(B18,valor_asignado!$B:$B,0))^2+INDEX(valor_asignado!$H:$H,MATCH(B18,valor_asignado!$B:$B,0))^2))),SQRT(INDEX(valor_asignado!$D:$D,MATCH(B18,valor_asignado!$B:$B,0))^2+INDEX(valor_asignado!$H:$H,MATCH(B18,valor_asignado!$B:$B,0))^2)=0),"",(D18-INDEX(valor_asignado!$C:$C,MATCH(B18,valor_asignado!$B:$B,0)))/SQRT(INDEX(valor_asignado!$D:$D,MATCH(B18,valor_asignado!$B:$B,0))^2+INDEX(valor_asignado!$H:$H,MATCH(B18,valor_asignado!$B:$B,0))^2))</f>
        <v>-0.258514740434213</v>
      </c>
      <c r="I18" s="5" t="str">
        <f aca="false">IF(H18="","N/A",IF(ABS(H18)&lt;=2,"Satisfactorio",IF(ABS(H18)&lt;3,"Cuestionable","No satisfactorio")))</f>
        <v>Satisfactorio</v>
      </c>
      <c r="J18" s="4" t="n">
        <f aca="false">IF(OR(NOT(ISNUMBER(D18)),NOT(ISNUMBER(INDEX(valor_asignado!$C:$C,MATCH(B18,valor_asignado!$B:$B,0)))),NOT(ISNUMBER(SQRT(E18^2+INDEX(valor_asignado!$H:$H,MATCH(B18,valor_asignado!$B:$B,0))^2))),SQRT(E18^2+INDEX(valor_asignado!$H:$H,MATCH(B18,valor_asignado!$B:$B,0))^2)=0),"",(D18-INDEX(valor_asignado!$C:$C,MATCH(B18,valor_asignado!$B:$B,0)))/SQRT(E18^2+INDEX(valor_asignado!$H:$H,MATCH(B18,valor_asignado!$B:$B,0))^2))</f>
        <v>-0.264432815511743</v>
      </c>
      <c r="K18" s="5" t="str">
        <f aca="false">IF(J18="","N/A",IF(ABS(J18)&lt;=2,"Satisfactorio",IF(ABS(J18)&lt;3,"Cuestionable","No satisfactorio")))</f>
        <v>Satisfactorio</v>
      </c>
      <c r="L18" s="4" t="n">
        <f aca="false">IF(OR(NOT(ISNUMBER(D18)),NOT(ISNUMBER(INDEX(valor_asignado!$C:$C,MATCH(B18,valor_asignado!$B:$B,0)))),NOT(ISNUMBER(SQRT((2*E18)^2+(2*INDEX(valor_asignado!$H:$H,MATCH(B18,valor_asignado!$B:$B,0)))^2))),SQRT((2*E18)^2+(2*INDEX(valor_asignado!$H:$H,MATCH(B18,valor_asignado!$B:$B,0)))^2)=0),"",(D18-INDEX(valor_asignado!$C:$C,MATCH(B18,valor_asignado!$B:$B,0)))/SQRT((2*E18)^2+(2*INDEX(valor_asignado!$H:$H,MATCH(B18,valor_asignado!$B:$B,0)))^2))</f>
        <v>-0.132216407755872</v>
      </c>
      <c r="M18" s="5" t="str">
        <f aca="false">IF(L18="","N/A",IF(ABS(L18)&lt;=1,"Satisfactorio","No satisfactorio"))</f>
        <v>Satisfactorio</v>
      </c>
      <c r="N18" s="5" t="str">
        <f aca="false">IF(AND(SUM(IF(AND(D18="",validacion_snapshot!$U$65=""),0,IFERROR(ABS(D18-validacion_snapshot!$U$65),1E+099)),IF(AND(E18="",validacion_snapshot!$V$65=""),0,IFERROR(ABS(E18-validacion_snapshot!$V$65),1E+099)),IF(AND(F18="",validacion_snapshot!$W$65=""),0,IFERROR(ABS(F18-validacion_snapshot!$W$65),1E+099)),IF(AND(H18="",validacion_snapshot!$Y$65=""),0,IFERROR(ABS(H18-validacion_snapshot!$Y$65),1E+099)),IF(AND(J18="",validacion_snapshot!$AA$65=""),0,IFERROR(ABS(J18-validacion_snapshot!$AA$65),1E+099)),IF(AND(L18="",validacion_snapshot!$AC$65=""),0,IFERROR(ABS(L18-validacion_snapshot!$AC$65),1E+099)))&lt;=0.00000001,G18=validacion_snapshot!$X$65,I18=validacion_snapshot!$Z$65,K18=validacion_snapshot!$AB$65,M18=validacion_snapshot!$AD$65),"OK","FALLA")</f>
        <v>OK</v>
      </c>
    </row>
    <row r="19" customFormat="false" ht="26.85" hidden="false" customHeight="false" outlineLevel="0" collapsed="false">
      <c r="A19" s="3"/>
      <c r="B19" s="3" t="s">
        <v>191</v>
      </c>
      <c r="C19" s="3" t="s">
        <v>131</v>
      </c>
      <c r="D19" s="4" t="n">
        <f aca="false">INDEX(datos_participantes!$D:$D,MATCH(C19,datos_participantes!$A:$A,0))</f>
        <v>178.039333333333</v>
      </c>
      <c r="E19" s="4" t="n">
        <f aca="false">INDEX(datos_participantes!$F:$F,MATCH(C19,datos_participantes!$A:$A,0))</f>
        <v>0.00796067860388924</v>
      </c>
      <c r="F19" s="4" t="n">
        <f aca="false">IF(OR(NOT(ISNUMBER(D19)),NOT(ISNUMBER(INDEX(valor_asignado!$C:$C,MATCH(B19,valor_asignado!$B:$B,0)))),NOT(ISNUMBER(INDEX(valor_asignado!$D:$D,MATCH(B19,valor_asignado!$B:$B,0)))),INDEX(valor_asignado!$D:$D,MATCH(B19,valor_asignado!$B:$B,0))=0),"",(D19-INDEX(valor_asignado!$C:$C,MATCH(B19,valor_asignado!$B:$B,0)))/INDEX(valor_asignado!$D:$D,MATCH(B19,valor_asignado!$B:$B,0)))</f>
        <v>-0.522409735501609</v>
      </c>
      <c r="G19" s="5" t="str">
        <f aca="false">IF(F19="","N/A",IF(ABS(F19)&lt;=2,"Satisfactorio",IF(ABS(F19)&lt;3,"Cuestionable","No satisfactorio")))</f>
        <v>Satisfactorio</v>
      </c>
      <c r="H19" s="4" t="n">
        <f aca="false">IF(OR(NOT(ISNUMBER(D19)),NOT(ISNUMBER(INDEX(valor_asignado!$C:$C,MATCH(B19,valor_asignado!$B:$B,0)))),NOT(ISNUMBER(SQRT(INDEX(valor_asignado!$D:$D,MATCH(B19,valor_asignado!$B:$B,0))^2+INDEX(valor_asignado!$H:$H,MATCH(B19,valor_asignado!$B:$B,0))^2))),SQRT(INDEX(valor_asignado!$D:$D,MATCH(B19,valor_asignado!$B:$B,0))^2+INDEX(valor_asignado!$H:$H,MATCH(B19,valor_asignado!$B:$B,0))^2)=0),"",(D19-INDEX(valor_asignado!$C:$C,MATCH(B19,valor_asignado!$B:$B,0)))/SQRT(INDEX(valor_asignado!$D:$D,MATCH(B19,valor_asignado!$B:$B,0))^2+INDEX(valor_asignado!$H:$H,MATCH(B19,valor_asignado!$B:$B,0))^2))</f>
        <v>-0.121837039704887</v>
      </c>
      <c r="I19" s="5" t="str">
        <f aca="false">IF(H19="","N/A",IF(ABS(H19)&lt;=2,"Satisfactorio",IF(ABS(H19)&lt;3,"Cuestionable","No satisfactorio")))</f>
        <v>Satisfactorio</v>
      </c>
      <c r="J19" s="4" t="n">
        <f aca="false">IF(OR(NOT(ISNUMBER(D19)),NOT(ISNUMBER(INDEX(valor_asignado!$C:$C,MATCH(B19,valor_asignado!$B:$B,0)))),NOT(ISNUMBER(SQRT(E19^2+INDEX(valor_asignado!$H:$H,MATCH(B19,valor_asignado!$B:$B,0))^2))),SQRT(E19^2+INDEX(valor_asignado!$H:$H,MATCH(B19,valor_asignado!$B:$B,0))^2)=0),"",(D19-INDEX(valor_asignado!$C:$C,MATCH(B19,valor_asignado!$B:$B,0)))/SQRT(E19^2+INDEX(valor_asignado!$H:$H,MATCH(B19,valor_asignado!$B:$B,0))^2))</f>
        <v>-0.125289967809988</v>
      </c>
      <c r="K19" s="5" t="str">
        <f aca="false">IF(J19="","N/A",IF(ABS(J19)&lt;=2,"Satisfactorio",IF(ABS(J19)&lt;3,"Cuestionable","No satisfactorio")))</f>
        <v>Satisfactorio</v>
      </c>
      <c r="L19" s="4" t="n">
        <f aca="false">IF(OR(NOT(ISNUMBER(D19)),NOT(ISNUMBER(INDEX(valor_asignado!$C:$C,MATCH(B19,valor_asignado!$B:$B,0)))),NOT(ISNUMBER(SQRT((2*E19)^2+(2*INDEX(valor_asignado!$H:$H,MATCH(B19,valor_asignado!$B:$B,0)))^2))),SQRT((2*E19)^2+(2*INDEX(valor_asignado!$H:$H,MATCH(B19,valor_asignado!$B:$B,0)))^2)=0),"",(D19-INDEX(valor_asignado!$C:$C,MATCH(B19,valor_asignado!$B:$B,0)))/SQRT((2*E19)^2+(2*INDEX(valor_asignado!$H:$H,MATCH(B19,valor_asignado!$B:$B,0)))^2))</f>
        <v>-0.062644983904994</v>
      </c>
      <c r="M19" s="5" t="str">
        <f aca="false">IF(L19="","N/A",IF(ABS(L19)&lt;=1,"Satisfactorio","No satisfactorio"))</f>
        <v>Satisfactorio</v>
      </c>
      <c r="N19" s="5" t="str">
        <f aca="false">IF(AND(SUM(IF(AND(D19="",validacion_snapshot!$U$66=""),0,IFERROR(ABS(D19-validacion_snapshot!$U$66),1E+099)),IF(AND(E19="",validacion_snapshot!$V$66=""),0,IFERROR(ABS(E19-validacion_snapshot!$V$66),1E+099)),IF(AND(F19="",validacion_snapshot!$W$66=""),0,IFERROR(ABS(F19-validacion_snapshot!$W$66),1E+099)),IF(AND(H19="",validacion_snapshot!$Y$66=""),0,IFERROR(ABS(H19-validacion_snapshot!$Y$66),1E+099)),IF(AND(J19="",validacion_snapshot!$AA$66=""),0,IFERROR(ABS(J19-validacion_snapshot!$AA$66),1E+099)),IF(AND(L19="",validacion_snapshot!$AC$66=""),0,IFERROR(ABS(L19-validacion_snapshot!$AC$66),1E+099)))&lt;=0.00000001,G19=validacion_snapshot!$X$66,I19=validacion_snapshot!$Z$66,K19=validacion_snapshot!$AB$66,M19=validacion_snapshot!$AD$66),"OK","FALLA")</f>
        <v>OK</v>
      </c>
    </row>
    <row r="20" customFormat="false" ht="26.85" hidden="false" customHeight="false" outlineLevel="0" collapsed="false">
      <c r="A20" s="3"/>
      <c r="B20" s="3" t="s">
        <v>191</v>
      </c>
      <c r="C20" s="3" t="s">
        <v>132</v>
      </c>
      <c r="D20" s="4" t="n">
        <f aca="false">INDEX(datos_participantes!$D:$D,MATCH(C20,datos_participantes!$A:$A,0))</f>
        <v>179.197666666667</v>
      </c>
      <c r="E20" s="4" t="n">
        <f aca="false">INDEX(datos_participantes!$F:$F,MATCH(C20,datos_participantes!$A:$A,0))</f>
        <v>0.23561544179908</v>
      </c>
      <c r="F20" s="4" t="n">
        <f aca="false">IF(OR(NOT(ISNUMBER(D20)),NOT(ISNUMBER(INDEX(valor_asignado!$C:$C,MATCH(B20,valor_asignado!$B:$B,0)))),NOT(ISNUMBER(INDEX(valor_asignado!$D:$D,MATCH(B20,valor_asignado!$B:$B,0)))),INDEX(valor_asignado!$D:$D,MATCH(B20,valor_asignado!$B:$B,0))=0),"",(D20-INDEX(valor_asignado!$C:$C,MATCH(B20,valor_asignado!$B:$B,0)))/INDEX(valor_asignado!$D:$D,MATCH(B20,valor_asignado!$B:$B,0)))</f>
        <v>3.04414003044231</v>
      </c>
      <c r="G20" s="5" t="str">
        <f aca="false">IF(F20="","N/A",IF(ABS(F20)&lt;=2,"Satisfactorio",IF(ABS(F20)&lt;3,"Cuestionable","No satisfactorio")))</f>
        <v>No satisfactorio</v>
      </c>
      <c r="H20" s="4" t="n">
        <f aca="false">IF(OR(NOT(ISNUMBER(D20)),NOT(ISNUMBER(INDEX(valor_asignado!$C:$C,MATCH(B20,valor_asignado!$B:$B,0)))),NOT(ISNUMBER(SQRT(INDEX(valor_asignado!$D:$D,MATCH(B20,valor_asignado!$B:$B,0))^2+INDEX(valor_asignado!$H:$H,MATCH(B20,valor_asignado!$B:$B,0))^2))),SQRT(INDEX(valor_asignado!$D:$D,MATCH(B20,valor_asignado!$B:$B,0))^2+INDEX(valor_asignado!$H:$H,MATCH(B20,valor_asignado!$B:$B,0))^2)=0),"",(D20-INDEX(valor_asignado!$C:$C,MATCH(B20,valor_asignado!$B:$B,0)))/SQRT(INDEX(valor_asignado!$D:$D,MATCH(B20,valor_asignado!$B:$B,0))^2+INDEX(valor_asignado!$H:$H,MATCH(B20,valor_asignado!$B:$B,0))^2))</f>
        <v>0.709958074192691</v>
      </c>
      <c r="I20" s="5" t="str">
        <f aca="false">IF(H20="","N/A",IF(ABS(H20)&lt;=2,"Satisfactorio",IF(ABS(H20)&lt;3,"Cuestionable","No satisfactorio")))</f>
        <v>Satisfactorio</v>
      </c>
      <c r="J20" s="4" t="n">
        <f aca="false">IF(OR(NOT(ISNUMBER(D20)),NOT(ISNUMBER(INDEX(valor_asignado!$C:$C,MATCH(B20,valor_asignado!$B:$B,0)))),NOT(ISNUMBER(SQRT(E20^2+INDEX(valor_asignado!$H:$H,MATCH(B20,valor_asignado!$B:$B,0))^2))),SQRT(E20^2+INDEX(valor_asignado!$H:$H,MATCH(B20,valor_asignado!$B:$B,0))^2)=0),"",(D20-INDEX(valor_asignado!$C:$C,MATCH(B20,valor_asignado!$B:$B,0)))/SQRT(E20^2+INDEX(valor_asignado!$H:$H,MATCH(B20,valor_asignado!$B:$B,0))^2))</f>
        <v>0.719284845138089</v>
      </c>
      <c r="K20" s="5" t="str">
        <f aca="false">IF(J20="","N/A",IF(ABS(J20)&lt;=2,"Satisfactorio",IF(ABS(J20)&lt;3,"Cuestionable","No satisfactorio")))</f>
        <v>Satisfactorio</v>
      </c>
      <c r="L20" s="4" t="n">
        <f aca="false">IF(OR(NOT(ISNUMBER(D20)),NOT(ISNUMBER(INDEX(valor_asignado!$C:$C,MATCH(B20,valor_asignado!$B:$B,0)))),NOT(ISNUMBER(SQRT((2*E20)^2+(2*INDEX(valor_asignado!$H:$H,MATCH(B20,valor_asignado!$B:$B,0)))^2))),SQRT((2*E20)^2+(2*INDEX(valor_asignado!$H:$H,MATCH(B20,valor_asignado!$B:$B,0)))^2)=0),"",(D20-INDEX(valor_asignado!$C:$C,MATCH(B20,valor_asignado!$B:$B,0)))/SQRT((2*E20)^2+(2*INDEX(valor_asignado!$H:$H,MATCH(B20,valor_asignado!$B:$B,0)))^2))</f>
        <v>0.359642422569044</v>
      </c>
      <c r="M20" s="5" t="str">
        <f aca="false">IF(L20="","N/A",IF(ABS(L20)&lt;=1,"Satisfactorio","No satisfactorio"))</f>
        <v>Satisfactorio</v>
      </c>
      <c r="N20" s="5" t="str">
        <f aca="false">IF(AND(SUM(IF(AND(D20="",validacion_snapshot!$U$67=""),0,IFERROR(ABS(D20-validacion_snapshot!$U$67),1E+099)),IF(AND(E20="",validacion_snapshot!$V$67=""),0,IFERROR(ABS(E20-validacion_snapshot!$V$67),1E+099)),IF(AND(F20="",validacion_snapshot!$W$67=""),0,IFERROR(ABS(F20-validacion_snapshot!$W$67),1E+099)),IF(AND(H20="",validacion_snapshot!$Y$67=""),0,IFERROR(ABS(H20-validacion_snapshot!$Y$67),1E+099)),IF(AND(J20="",validacion_snapshot!$AA$67=""),0,IFERROR(ABS(J20-validacion_snapshot!$AA$67),1E+099)),IF(AND(L20="",validacion_snapshot!$AC$67=""),0,IFERROR(ABS(L20-validacion_snapshot!$AC$67),1E+099)))&lt;=0.00000001,G20=validacion_snapshot!$X$67,I20=validacion_snapshot!$Z$67,K20=validacion_snapshot!$AB$67,M20=validacion_snapshot!$AD$67),"OK","FALLA")</f>
        <v>OK</v>
      </c>
    </row>
    <row r="21" customFormat="false" ht="26.85" hidden="false" customHeight="false" outlineLevel="0" collapsed="false">
      <c r="A21" s="3"/>
      <c r="B21" s="3" t="s">
        <v>191</v>
      </c>
      <c r="C21" s="3" t="s">
        <v>133</v>
      </c>
      <c r="D21" s="4" t="n">
        <f aca="false">INDEX(datos_participantes!$D:$D,MATCH(C21,datos_participantes!$A:$A,0))</f>
        <v>178.035</v>
      </c>
      <c r="E21" s="4" t="n">
        <f aca="false">INDEX(datos_participantes!$F:$F,MATCH(C21,datos_participantes!$A:$A,0))</f>
        <v>0.0202713981208594</v>
      </c>
      <c r="F21" s="4" t="n">
        <f aca="false">IF(OR(NOT(ISNUMBER(D21)),NOT(ISNUMBER(INDEX(valor_asignado!$C:$C,MATCH(B21,valor_asignado!$B:$B,0)))),NOT(ISNUMBER(INDEX(valor_asignado!$D:$D,MATCH(B21,valor_asignado!$B:$B,0)))),INDEX(valor_asignado!$D:$D,MATCH(B21,valor_asignado!$B:$B,0))=0),"",(D21-INDEX(valor_asignado!$C:$C,MATCH(B21,valor_asignado!$B:$B,0)))/INDEX(valor_asignado!$D:$D,MATCH(B21,valor_asignado!$B:$B,0)))</f>
        <v>-0.535752223833584</v>
      </c>
      <c r="G21" s="5" t="str">
        <f aca="false">IF(F21="","N/A",IF(ABS(F21)&lt;=2,"Satisfactorio",IF(ABS(F21)&lt;3,"Cuestionable","No satisfactorio")))</f>
        <v>Satisfactorio</v>
      </c>
      <c r="H21" s="4" t="n">
        <f aca="false">IF(OR(NOT(ISNUMBER(D21)),NOT(ISNUMBER(INDEX(valor_asignado!$C:$C,MATCH(B21,valor_asignado!$B:$B,0)))),NOT(ISNUMBER(SQRT(INDEX(valor_asignado!$D:$D,MATCH(B21,valor_asignado!$B:$B,0))^2+INDEX(valor_asignado!$H:$H,MATCH(B21,valor_asignado!$B:$B,0))^2))),SQRT(INDEX(valor_asignado!$D:$D,MATCH(B21,valor_asignado!$B:$B,0))^2+INDEX(valor_asignado!$H:$H,MATCH(B21,valor_asignado!$B:$B,0))^2)=0),"",(D21-INDEX(valor_asignado!$C:$C,MATCH(B21,valor_asignado!$B:$B,0)))/SQRT(INDEX(valor_asignado!$D:$D,MATCH(B21,valor_asignado!$B:$B,0))^2+INDEX(valor_asignado!$H:$H,MATCH(B21,valor_asignado!$B:$B,0))^2))</f>
        <v>-0.12494879120987</v>
      </c>
      <c r="I21" s="5" t="str">
        <f aca="false">IF(H21="","N/A",IF(ABS(H21)&lt;=2,"Satisfactorio",IF(ABS(H21)&lt;3,"Cuestionable","No satisfactorio")))</f>
        <v>Satisfactorio</v>
      </c>
      <c r="J21" s="4" t="n">
        <f aca="false">IF(OR(NOT(ISNUMBER(D21)),NOT(ISNUMBER(INDEX(valor_asignado!$C:$C,MATCH(B21,valor_asignado!$B:$B,0)))),NOT(ISNUMBER(SQRT(E21^2+INDEX(valor_asignado!$H:$H,MATCH(B21,valor_asignado!$B:$B,0))^2))),SQRT(E21^2+INDEX(valor_asignado!$H:$H,MATCH(B21,valor_asignado!$B:$B,0))^2)=0),"",(D21-INDEX(valor_asignado!$C:$C,MATCH(B21,valor_asignado!$B:$B,0)))/SQRT(E21^2+INDEX(valor_asignado!$H:$H,MATCH(B21,valor_asignado!$B:$B,0))^2))</f>
        <v>-0.128477733773758</v>
      </c>
      <c r="K21" s="5" t="str">
        <f aca="false">IF(J21="","N/A",IF(ABS(J21)&lt;=2,"Satisfactorio",IF(ABS(J21)&lt;3,"Cuestionable","No satisfactorio")))</f>
        <v>Satisfactorio</v>
      </c>
      <c r="L21" s="4" t="n">
        <f aca="false">IF(OR(NOT(ISNUMBER(D21)),NOT(ISNUMBER(INDEX(valor_asignado!$C:$C,MATCH(B21,valor_asignado!$B:$B,0)))),NOT(ISNUMBER(SQRT((2*E21)^2+(2*INDEX(valor_asignado!$H:$H,MATCH(B21,valor_asignado!$B:$B,0)))^2))),SQRT((2*E21)^2+(2*INDEX(valor_asignado!$H:$H,MATCH(B21,valor_asignado!$B:$B,0)))^2)=0),"",(D21-INDEX(valor_asignado!$C:$C,MATCH(B21,valor_asignado!$B:$B,0)))/SQRT((2*E21)^2+(2*INDEX(valor_asignado!$H:$H,MATCH(B21,valor_asignado!$B:$B,0)))^2))</f>
        <v>-0.0642388668868791</v>
      </c>
      <c r="M21" s="5" t="str">
        <f aca="false">IF(L21="","N/A",IF(ABS(L21)&lt;=1,"Satisfactorio","No satisfactorio"))</f>
        <v>Satisfactorio</v>
      </c>
      <c r="N21" s="5" t="str">
        <f aca="false">IF(AND(SUM(IF(AND(D21="",validacion_snapshot!$U$68=""),0,IFERROR(ABS(D21-validacion_snapshot!$U$68),1E+099)),IF(AND(E21="",validacion_snapshot!$V$68=""),0,IFERROR(ABS(E21-validacion_snapshot!$V$68),1E+099)),IF(AND(F21="",validacion_snapshot!$W$68=""),0,IFERROR(ABS(F21-validacion_snapshot!$W$68),1E+099)),IF(AND(H21="",validacion_snapshot!$Y$68=""),0,IFERROR(ABS(H21-validacion_snapshot!$Y$68),1E+099)),IF(AND(J21="",validacion_snapshot!$AA$68=""),0,IFERROR(ABS(J21-validacion_snapshot!$AA$68),1E+099)),IF(AND(L21="",validacion_snapshot!$AC$68=""),0,IFERROR(ABS(L21-validacion_snapshot!$AC$68),1E+099)))&lt;=0.00000001,G21=validacion_snapshot!$X$68,I21=validacion_snapshot!$Z$68,K21=validacion_snapshot!$AB$68,M21=validacion_snapshot!$AD$68),"OK","FALLA")</f>
        <v>OK</v>
      </c>
    </row>
    <row r="22" customFormat="false" ht="26.85" hidden="false" customHeight="false" outlineLevel="0" collapsed="false">
      <c r="A22" s="3"/>
      <c r="B22" s="3" t="s">
        <v>191</v>
      </c>
      <c r="C22" s="3" t="s">
        <v>134</v>
      </c>
      <c r="D22" s="4" t="n">
        <f aca="false">INDEX(datos_participantes!$D:$D,MATCH(C22,datos_participantes!$A:$A,0))</f>
        <v>178.152666666667</v>
      </c>
      <c r="E22" s="4" t="n">
        <f aca="false">INDEX(datos_participantes!$F:$F,MATCH(C22,datos_participantes!$A:$A,0))</f>
        <v>0.498874552692086</v>
      </c>
      <c r="F22" s="4" t="n">
        <f aca="false">IF(OR(NOT(ISNUMBER(D22)),NOT(ISNUMBER(INDEX(valor_asignado!$C:$C,MATCH(B22,valor_asignado!$B:$B,0)))),NOT(ISNUMBER(INDEX(valor_asignado!$D:$D,MATCH(B22,valor_asignado!$B:$B,0)))),INDEX(valor_asignado!$D:$D,MATCH(B22,valor_asignado!$B:$B,0))=0),"",(D22-INDEX(valor_asignado!$C:$C,MATCH(B22,valor_asignado!$B:$B,0)))/INDEX(valor_asignado!$D:$D,MATCH(B22,valor_asignado!$B:$B,0)))</f>
        <v>-0.173452348328277</v>
      </c>
      <c r="G22" s="5" t="str">
        <f aca="false">IF(F22="","N/A",IF(ABS(F22)&lt;=2,"Satisfactorio",IF(ABS(F22)&lt;3,"Cuestionable","No satisfactorio")))</f>
        <v>Satisfactorio</v>
      </c>
      <c r="H22" s="4" t="n">
        <f aca="false">IF(OR(NOT(ISNUMBER(D22)),NOT(ISNUMBER(INDEX(valor_asignado!$C:$C,MATCH(B22,valor_asignado!$B:$B,0)))),NOT(ISNUMBER(SQRT(INDEX(valor_asignado!$D:$D,MATCH(B22,valor_asignado!$B:$B,0))^2+INDEX(valor_asignado!$H:$H,MATCH(B22,valor_asignado!$B:$B,0))^2))),SQRT(INDEX(valor_asignado!$D:$D,MATCH(B22,valor_asignado!$B:$B,0))^2+INDEX(valor_asignado!$H:$H,MATCH(B22,valor_asignado!$B:$B,0))^2)=0),"",(D22-INDEX(valor_asignado!$C:$C,MATCH(B22,valor_asignado!$B:$B,0)))/SQRT(INDEX(valor_asignado!$D:$D,MATCH(B22,valor_asignado!$B:$B,0))^2+INDEX(valor_asignado!$H:$H,MATCH(B22,valor_asignado!$B:$B,0))^2))</f>
        <v>-0.0404527695677161</v>
      </c>
      <c r="I22" s="5" t="str">
        <f aca="false">IF(H22="","N/A",IF(ABS(H22)&lt;=2,"Satisfactorio",IF(ABS(H22)&lt;3,"Cuestionable","No satisfactorio")))</f>
        <v>Satisfactorio</v>
      </c>
      <c r="J22" s="4" t="n">
        <f aca="false">IF(OR(NOT(ISNUMBER(D22)),NOT(ISNUMBER(INDEX(valor_asignado!$C:$C,MATCH(B22,valor_asignado!$B:$B,0)))),NOT(ISNUMBER(SQRT(E22^2+INDEX(valor_asignado!$H:$H,MATCH(B22,valor_asignado!$B:$B,0))^2))),SQRT(E22^2+INDEX(valor_asignado!$H:$H,MATCH(B22,valor_asignado!$B:$B,0))^2)=0),"",(D22-INDEX(valor_asignado!$C:$C,MATCH(B22,valor_asignado!$B:$B,0)))/SQRT(E22^2+INDEX(valor_asignado!$H:$H,MATCH(B22,valor_asignado!$B:$B,0))^2))</f>
        <v>-0.0390352964154189</v>
      </c>
      <c r="K22" s="5" t="str">
        <f aca="false">IF(J22="","N/A",IF(ABS(J22)&lt;=2,"Satisfactorio",IF(ABS(J22)&lt;3,"Cuestionable","No satisfactorio")))</f>
        <v>Satisfactorio</v>
      </c>
      <c r="L22" s="4" t="n">
        <f aca="false">IF(OR(NOT(ISNUMBER(D22)),NOT(ISNUMBER(INDEX(valor_asignado!$C:$C,MATCH(B22,valor_asignado!$B:$B,0)))),NOT(ISNUMBER(SQRT((2*E22)^2+(2*INDEX(valor_asignado!$H:$H,MATCH(B22,valor_asignado!$B:$B,0)))^2))),SQRT((2*E22)^2+(2*INDEX(valor_asignado!$H:$H,MATCH(B22,valor_asignado!$B:$B,0)))^2)=0),"",(D22-INDEX(valor_asignado!$C:$C,MATCH(B22,valor_asignado!$B:$B,0)))/SQRT((2*E22)^2+(2*INDEX(valor_asignado!$H:$H,MATCH(B22,valor_asignado!$B:$B,0)))^2))</f>
        <v>-0.0195176482077095</v>
      </c>
      <c r="M22" s="5" t="str">
        <f aca="false">IF(L22="","N/A",IF(ABS(L22)&lt;=1,"Satisfactorio","No satisfactorio"))</f>
        <v>Satisfactorio</v>
      </c>
      <c r="N22" s="5" t="str">
        <f aca="false">IF(AND(SUM(IF(AND(D22="",validacion_snapshot!$U$69=""),0,IFERROR(ABS(D22-validacion_snapshot!$U$69),1E+099)),IF(AND(E22="",validacion_snapshot!$V$69=""),0,IFERROR(ABS(E22-validacion_snapshot!$V$69),1E+099)),IF(AND(F22="",validacion_snapshot!$W$69=""),0,IFERROR(ABS(F22-validacion_snapshot!$W$69),1E+099)),IF(AND(H22="",validacion_snapshot!$Y$69=""),0,IFERROR(ABS(H22-validacion_snapshot!$Y$69),1E+099)),IF(AND(J22="",validacion_snapshot!$AA$69=""),0,IFERROR(ABS(J22-validacion_snapshot!$AA$69),1E+099)),IF(AND(L22="",validacion_snapshot!$AC$69=""),0,IFERROR(ABS(L22-validacion_snapshot!$AC$69),1E+099)))&lt;=0.00000001,G22=validacion_snapshot!$X$69,I22=validacion_snapshot!$Z$69,K22=validacion_snapshot!$AB$69,M22=validacion_snapshot!$AD$69),"OK","FALLA")</f>
        <v>OK</v>
      </c>
    </row>
    <row r="23" customFormat="false" ht="26.85" hidden="false" customHeight="false" outlineLevel="0" collapsed="false">
      <c r="A23" s="3"/>
      <c r="B23" s="3" t="s">
        <v>191</v>
      </c>
      <c r="C23" s="3" t="s">
        <v>135</v>
      </c>
      <c r="D23" s="4" t="n">
        <f aca="false">INDEX(datos_participantes!$D:$D,MATCH(C23,datos_participantes!$A:$A,0))</f>
        <v>178.290666666667</v>
      </c>
      <c r="E23" s="4" t="n">
        <f aca="false">INDEX(datos_participantes!$F:$F,MATCH(C23,datos_participantes!$A:$A,0))</f>
        <v>0.355089886356072</v>
      </c>
      <c r="F23" s="4" t="n">
        <f aca="false">IF(OR(NOT(ISNUMBER(D23)),NOT(ISNUMBER(INDEX(valor_asignado!$C:$C,MATCH(B23,valor_asignado!$B:$B,0)))),NOT(ISNUMBER(INDEX(valor_asignado!$D:$D,MATCH(B23,valor_asignado!$B:$B,0)))),INDEX(valor_asignado!$D:$D,MATCH(B23,valor_asignado!$B:$B,0))=0),"",(D23-INDEX(valor_asignado!$C:$C,MATCH(B23,valor_asignado!$B:$B,0)))/INDEX(valor_asignado!$D:$D,MATCH(B23,valor_asignado!$B:$B,0)))</f>
        <v>0.2514545878156</v>
      </c>
      <c r="G23" s="5" t="str">
        <f aca="false">IF(F23="","N/A",IF(ABS(F23)&lt;=2,"Satisfactorio",IF(ABS(F23)&lt;3,"Cuestionable","No satisfactorio")))</f>
        <v>Satisfactorio</v>
      </c>
      <c r="H23" s="4" t="n">
        <f aca="false">IF(OR(NOT(ISNUMBER(D23)),NOT(ISNUMBER(INDEX(valor_asignado!$C:$C,MATCH(B23,valor_asignado!$B:$B,0)))),NOT(ISNUMBER(SQRT(INDEX(valor_asignado!$D:$D,MATCH(B23,valor_asignado!$B:$B,0))^2+INDEX(valor_asignado!$H:$H,MATCH(B23,valor_asignado!$B:$B,0))^2))),SQRT(INDEX(valor_asignado!$D:$D,MATCH(B23,valor_asignado!$B:$B,0))^2+INDEX(valor_asignado!$H:$H,MATCH(B23,valor_asignado!$B:$B,0))^2)=0),"",(D23-INDEX(valor_asignado!$C:$C,MATCH(B23,valor_asignado!$B:$B,0)))/SQRT(INDEX(valor_asignado!$D:$D,MATCH(B23,valor_asignado!$B:$B,0))^2+INDEX(valor_asignado!$H:$H,MATCH(B23,valor_asignado!$B:$B,0))^2))</f>
        <v>0.0586445475987322</v>
      </c>
      <c r="I23" s="5" t="str">
        <f aca="false">IF(H23="","N/A",IF(ABS(H23)&lt;=2,"Satisfactorio",IF(ABS(H23)&lt;3,"Cuestionable","No satisfactorio")))</f>
        <v>Satisfactorio</v>
      </c>
      <c r="J23" s="4" t="n">
        <f aca="false">IF(OR(NOT(ISNUMBER(D23)),NOT(ISNUMBER(INDEX(valor_asignado!$C:$C,MATCH(B23,valor_asignado!$B:$B,0)))),NOT(ISNUMBER(SQRT(E23^2+INDEX(valor_asignado!$H:$H,MATCH(B23,valor_asignado!$B:$B,0))^2))),SQRT(E23^2+INDEX(valor_asignado!$H:$H,MATCH(B23,valor_asignado!$B:$B,0))^2)=0),"",(D23-INDEX(valor_asignado!$C:$C,MATCH(B23,valor_asignado!$B:$B,0)))/SQRT(E23^2+INDEX(valor_asignado!$H:$H,MATCH(B23,valor_asignado!$B:$B,0))^2))</f>
        <v>0.0583353972726264</v>
      </c>
      <c r="K23" s="5" t="str">
        <f aca="false">IF(J23="","N/A",IF(ABS(J23)&lt;=2,"Satisfactorio",IF(ABS(J23)&lt;3,"Cuestionable","No satisfactorio")))</f>
        <v>Satisfactorio</v>
      </c>
      <c r="L23" s="4" t="n">
        <f aca="false">IF(OR(NOT(ISNUMBER(D23)),NOT(ISNUMBER(INDEX(valor_asignado!$C:$C,MATCH(B23,valor_asignado!$B:$B,0)))),NOT(ISNUMBER(SQRT((2*E23)^2+(2*INDEX(valor_asignado!$H:$H,MATCH(B23,valor_asignado!$B:$B,0)))^2))),SQRT((2*E23)^2+(2*INDEX(valor_asignado!$H:$H,MATCH(B23,valor_asignado!$B:$B,0)))^2)=0),"",(D23-INDEX(valor_asignado!$C:$C,MATCH(B23,valor_asignado!$B:$B,0)))/SQRT((2*E23)^2+(2*INDEX(valor_asignado!$H:$H,MATCH(B23,valor_asignado!$B:$B,0)))^2))</f>
        <v>0.0291676986363132</v>
      </c>
      <c r="M23" s="5" t="str">
        <f aca="false">IF(L23="","N/A",IF(ABS(L23)&lt;=1,"Satisfactorio","No satisfactorio"))</f>
        <v>Satisfactorio</v>
      </c>
      <c r="N23" s="5" t="str">
        <f aca="false">IF(AND(SUM(IF(AND(D23="",validacion_snapshot!$U$70=""),0,IFERROR(ABS(D23-validacion_snapshot!$U$70),1E+099)),IF(AND(E23="",validacion_snapshot!$V$70=""),0,IFERROR(ABS(E23-validacion_snapshot!$V$70),1E+099)),IF(AND(F23="",validacion_snapshot!$W$70=""),0,IFERROR(ABS(F23-validacion_snapshot!$W$70),1E+099)),IF(AND(H23="",validacion_snapshot!$Y$70=""),0,IFERROR(ABS(H23-validacion_snapshot!$Y$70),1E+099)),IF(AND(J23="",validacion_snapshot!$AA$70=""),0,IFERROR(ABS(J23-validacion_snapshot!$AA$70),1E+099)),IF(AND(L23="",validacion_snapshot!$AC$70=""),0,IFERROR(ABS(L23-validacion_snapshot!$AC$70),1E+099)))&lt;=0.00000001,G23=validacion_snapshot!$X$70,I23=validacion_snapshot!$Z$70,K23=validacion_snapshot!$AB$70,M23=validacion_snapshot!$AD$70),"OK","FALLA")</f>
        <v>OK</v>
      </c>
    </row>
    <row r="24" customFormat="false" ht="26.85" hidden="false" customHeight="false" outlineLevel="0" collapsed="false">
      <c r="A24" s="3"/>
      <c r="B24" s="3" t="s">
        <v>191</v>
      </c>
      <c r="C24" s="3" t="s">
        <v>136</v>
      </c>
      <c r="D24" s="4" t="n">
        <f aca="false">INDEX(datos_participantes!$D:$D,MATCH(C24,datos_participantes!$A:$A,0))</f>
        <v>177.998333333333</v>
      </c>
      <c r="E24" s="4" t="n">
        <f aca="false">INDEX(datos_participantes!$F:$F,MATCH(C24,datos_participantes!$A:$A,0))</f>
        <v>0.46269516615466</v>
      </c>
      <c r="F24" s="4" t="n">
        <f aca="false">IF(OR(NOT(ISNUMBER(D24)),NOT(ISNUMBER(INDEX(valor_asignado!$C:$C,MATCH(B24,valor_asignado!$B:$B,0)))),NOT(ISNUMBER(INDEX(valor_asignado!$D:$D,MATCH(B24,valor_asignado!$B:$B,0)))),INDEX(valor_asignado!$D:$D,MATCH(B24,valor_asignado!$B:$B,0))=0),"",(D24-INDEX(valor_asignado!$C:$C,MATCH(B24,valor_asignado!$B:$B,0)))/INDEX(valor_asignado!$D:$D,MATCH(B24,valor_asignado!$B:$B,0)))</f>
        <v>-0.648650202037094</v>
      </c>
      <c r="G24" s="5" t="str">
        <f aca="false">IF(F24="","N/A",IF(ABS(F24)&lt;=2,"Satisfactorio",IF(ABS(F24)&lt;3,"Cuestionable","No satisfactorio")))</f>
        <v>Satisfactorio</v>
      </c>
      <c r="H24" s="4" t="n">
        <f aca="false">IF(OR(NOT(ISNUMBER(D24)),NOT(ISNUMBER(INDEX(valor_asignado!$C:$C,MATCH(B24,valor_asignado!$B:$B,0)))),NOT(ISNUMBER(SQRT(INDEX(valor_asignado!$D:$D,MATCH(B24,valor_asignado!$B:$B,0))^2+INDEX(valor_asignado!$H:$H,MATCH(B24,valor_asignado!$B:$B,0))^2))),SQRT(INDEX(valor_asignado!$D:$D,MATCH(B24,valor_asignado!$B:$B,0))^2+INDEX(valor_asignado!$H:$H,MATCH(B24,valor_asignado!$B:$B,0))^2)=0),"",(D24-INDEX(valor_asignado!$C:$C,MATCH(B24,valor_asignado!$B:$B,0)))/SQRT(INDEX(valor_asignado!$D:$D,MATCH(B24,valor_asignado!$B:$B,0))^2+INDEX(valor_asignado!$H:$H,MATCH(B24,valor_asignado!$B:$B,0))^2))</f>
        <v>-0.151278996254335</v>
      </c>
      <c r="I24" s="5" t="str">
        <f aca="false">IF(H24="","N/A",IF(ABS(H24)&lt;=2,"Satisfactorio",IF(ABS(H24)&lt;3,"Cuestionable","No satisfactorio")))</f>
        <v>Satisfactorio</v>
      </c>
      <c r="J24" s="4" t="n">
        <f aca="false">IF(OR(NOT(ISNUMBER(D24)),NOT(ISNUMBER(INDEX(valor_asignado!$C:$C,MATCH(B24,valor_asignado!$B:$B,0)))),NOT(ISNUMBER(SQRT(E24^2+INDEX(valor_asignado!$H:$H,MATCH(B24,valor_asignado!$B:$B,0))^2))),SQRT(E24^2+INDEX(valor_asignado!$H:$H,MATCH(B24,valor_asignado!$B:$B,0))^2)=0),"",(D24-INDEX(valor_asignado!$C:$C,MATCH(B24,valor_asignado!$B:$B,0)))/SQRT(E24^2+INDEX(valor_asignado!$H:$H,MATCH(B24,valor_asignado!$B:$B,0))^2))</f>
        <v>-0.147212865452356</v>
      </c>
      <c r="K24" s="5" t="str">
        <f aca="false">IF(J24="","N/A",IF(ABS(J24)&lt;=2,"Satisfactorio",IF(ABS(J24)&lt;3,"Cuestionable","No satisfactorio")))</f>
        <v>Satisfactorio</v>
      </c>
      <c r="L24" s="4" t="n">
        <f aca="false">IF(OR(NOT(ISNUMBER(D24)),NOT(ISNUMBER(INDEX(valor_asignado!$C:$C,MATCH(B24,valor_asignado!$B:$B,0)))),NOT(ISNUMBER(SQRT((2*E24)^2+(2*INDEX(valor_asignado!$H:$H,MATCH(B24,valor_asignado!$B:$B,0)))^2))),SQRT((2*E24)^2+(2*INDEX(valor_asignado!$H:$H,MATCH(B24,valor_asignado!$B:$B,0)))^2)=0),"",(D24-INDEX(valor_asignado!$C:$C,MATCH(B24,valor_asignado!$B:$B,0)))/SQRT((2*E24)^2+(2*INDEX(valor_asignado!$H:$H,MATCH(B24,valor_asignado!$B:$B,0)))^2))</f>
        <v>-0.0736064327261779</v>
      </c>
      <c r="M24" s="5" t="str">
        <f aca="false">IF(L24="","N/A",IF(ABS(L24)&lt;=1,"Satisfactorio","No satisfactorio"))</f>
        <v>Satisfactorio</v>
      </c>
      <c r="N24" s="5" t="str">
        <f aca="false">IF(AND(SUM(IF(AND(D24="",validacion_snapshot!$U$71=""),0,IFERROR(ABS(D24-validacion_snapshot!$U$71),1E+099)),IF(AND(E24="",validacion_snapshot!$V$71=""),0,IFERROR(ABS(E24-validacion_snapshot!$V$71),1E+099)),IF(AND(F24="",validacion_snapshot!$W$71=""),0,IFERROR(ABS(F24-validacion_snapshot!$W$71),1E+099)),IF(AND(H24="",validacion_snapshot!$Y$71=""),0,IFERROR(ABS(H24-validacion_snapshot!$Y$71),1E+099)),IF(AND(J24="",validacion_snapshot!$AA$71=""),0,IFERROR(ABS(J24-validacion_snapshot!$AA$71),1E+099)),IF(AND(L24="",validacion_snapshot!$AC$71=""),0,IFERROR(ABS(L24-validacion_snapshot!$AC$71),1E+099)))&lt;=0.00000001,G24=validacion_snapshot!$X$71,I24=validacion_snapshot!$Z$71,K24=validacion_snapshot!$AB$71,M24=validacion_snapshot!$AD$71),"OK","FALLA")</f>
        <v>OK</v>
      </c>
    </row>
    <row r="25" customFormat="false" ht="26.85" hidden="false" customHeight="false" outlineLevel="0" collapsed="false">
      <c r="A25" s="3"/>
      <c r="B25" s="3" t="s">
        <v>191</v>
      </c>
      <c r="C25" s="3" t="s">
        <v>137</v>
      </c>
      <c r="D25" s="4" t="n">
        <f aca="false">INDEX(datos_participantes!$D:$D,MATCH(C25,datos_participantes!$A:$A,0))</f>
        <v>178.265333333333</v>
      </c>
      <c r="E25" s="4" t="n">
        <f aca="false">INDEX(datos_participantes!$F:$F,MATCH(C25,datos_participantes!$A:$A,0))</f>
        <v>0.236972481628575</v>
      </c>
      <c r="F25" s="4" t="n">
        <f aca="false">IF(OR(NOT(ISNUMBER(D25)),NOT(ISNUMBER(INDEX(valor_asignado!$C:$C,MATCH(B25,valor_asignado!$B:$B,0)))),NOT(ISNUMBER(INDEX(valor_asignado!$D:$D,MATCH(B25,valor_asignado!$B:$B,0)))),INDEX(valor_asignado!$D:$D,MATCH(B25,valor_asignado!$B:$B,0))=0),"",(D25-INDEX(valor_asignado!$C:$C,MATCH(B25,valor_asignado!$B:$B,0)))/INDEX(valor_asignado!$D:$D,MATCH(B25,valor_asignado!$B:$B,0)))</f>
        <v>0.173452348328189</v>
      </c>
      <c r="G25" s="5" t="str">
        <f aca="false">IF(F25="","N/A",IF(ABS(F25)&lt;=2,"Satisfactorio",IF(ABS(F25)&lt;3,"Cuestionable","No satisfactorio")))</f>
        <v>Satisfactorio</v>
      </c>
      <c r="H25" s="4" t="n">
        <f aca="false">IF(OR(NOT(ISNUMBER(D25)),NOT(ISNUMBER(INDEX(valor_asignado!$C:$C,MATCH(B25,valor_asignado!$B:$B,0)))),NOT(ISNUMBER(SQRT(INDEX(valor_asignado!$D:$D,MATCH(B25,valor_asignado!$B:$B,0))^2+INDEX(valor_asignado!$H:$H,MATCH(B25,valor_asignado!$B:$B,0))^2))),SQRT(INDEX(valor_asignado!$D:$D,MATCH(B25,valor_asignado!$B:$B,0))^2+INDEX(valor_asignado!$H:$H,MATCH(B25,valor_asignado!$B:$B,0))^2)=0),"",(D25-INDEX(valor_asignado!$C:$C,MATCH(B25,valor_asignado!$B:$B,0)))/SQRT(INDEX(valor_asignado!$D:$D,MATCH(B25,valor_asignado!$B:$B,0))^2+INDEX(valor_asignado!$H:$H,MATCH(B25,valor_asignado!$B:$B,0))^2))</f>
        <v>0.0404527695676957</v>
      </c>
      <c r="I25" s="5" t="str">
        <f aca="false">IF(H25="","N/A",IF(ABS(H25)&lt;=2,"Satisfactorio",IF(ABS(H25)&lt;3,"Cuestionable","No satisfactorio")))</f>
        <v>Satisfactorio</v>
      </c>
      <c r="J25" s="4" t="n">
        <f aca="false">IF(OR(NOT(ISNUMBER(D25)),NOT(ISNUMBER(INDEX(valor_asignado!$C:$C,MATCH(B25,valor_asignado!$B:$B,0)))),NOT(ISNUMBER(SQRT(E25^2+INDEX(valor_asignado!$H:$H,MATCH(B25,valor_asignado!$B:$B,0))^2))),SQRT(E25^2+INDEX(valor_asignado!$H:$H,MATCH(B25,valor_asignado!$B:$B,0))^2)=0),"",(D25-INDEX(valor_asignado!$C:$C,MATCH(B25,valor_asignado!$B:$B,0)))/SQRT(E25^2+INDEX(valor_asignado!$H:$H,MATCH(B25,valor_asignado!$B:$B,0))^2))</f>
        <v>0.0409772462527103</v>
      </c>
      <c r="K25" s="5" t="str">
        <f aca="false">IF(J25="","N/A",IF(ABS(J25)&lt;=2,"Satisfactorio",IF(ABS(J25)&lt;3,"Cuestionable","No satisfactorio")))</f>
        <v>Satisfactorio</v>
      </c>
      <c r="L25" s="4" t="n">
        <f aca="false">IF(OR(NOT(ISNUMBER(D25)),NOT(ISNUMBER(INDEX(valor_asignado!$C:$C,MATCH(B25,valor_asignado!$B:$B,0)))),NOT(ISNUMBER(SQRT((2*E25)^2+(2*INDEX(valor_asignado!$H:$H,MATCH(B25,valor_asignado!$B:$B,0)))^2))),SQRT((2*E25)^2+(2*INDEX(valor_asignado!$H:$H,MATCH(B25,valor_asignado!$B:$B,0)))^2)=0),"",(D25-INDEX(valor_asignado!$C:$C,MATCH(B25,valor_asignado!$B:$B,0)))/SQRT((2*E25)^2+(2*INDEX(valor_asignado!$H:$H,MATCH(B25,valor_asignado!$B:$B,0)))^2))</f>
        <v>0.0204886231263552</v>
      </c>
      <c r="M25" s="5" t="str">
        <f aca="false">IF(L25="","N/A",IF(ABS(L25)&lt;=1,"Satisfactorio","No satisfactorio"))</f>
        <v>Satisfactorio</v>
      </c>
      <c r="N25" s="5" t="str">
        <f aca="false">IF(AND(SUM(IF(AND(D25="",validacion_snapshot!$U$72=""),0,IFERROR(ABS(D25-validacion_snapshot!$U$72),1E+099)),IF(AND(E25="",validacion_snapshot!$V$72=""),0,IFERROR(ABS(E25-validacion_snapshot!$V$72),1E+099)),IF(AND(F25="",validacion_snapshot!$W$72=""),0,IFERROR(ABS(F25-validacion_snapshot!$W$72),1E+099)),IF(AND(H25="",validacion_snapshot!$Y$72=""),0,IFERROR(ABS(H25-validacion_snapshot!$Y$72),1E+099)),IF(AND(J25="",validacion_snapshot!$AA$72=""),0,IFERROR(ABS(J25-validacion_snapshot!$AA$72),1E+099)),IF(AND(L25="",validacion_snapshot!$AC$72=""),0,IFERROR(ABS(L25-validacion_snapshot!$AC$72),1E+099)))&lt;=0.00000001,G25=validacion_snapshot!$X$72,I25=validacion_snapshot!$Z$72,K25=validacion_snapshot!$AB$72,M25=validacion_snapshot!$AD$72),"OK","FALLA")</f>
        <v>OK</v>
      </c>
    </row>
    <row r="26" customFormat="false" ht="15" hidden="false" customHeight="false" outlineLevel="0" collapsed="false">
      <c r="A26" s="3"/>
      <c r="B26" s="3" t="s">
        <v>193</v>
      </c>
      <c r="C26" s="3" t="s">
        <v>126</v>
      </c>
      <c r="D26" s="4" t="n">
        <f aca="false">INDEX(datos_participantes!$D:$D,MATCH(C26,datos_participantes!$A:$A,0))</f>
        <v>178.722333333333</v>
      </c>
      <c r="E26" s="4" t="n">
        <f aca="false">INDEX(datos_participantes!$F:$F,MATCH(C26,datos_participantes!$A:$A,0))</f>
        <v>0.334578968165167</v>
      </c>
      <c r="F26" s="4" t="n">
        <f aca="false">IF(OR(NOT(ISNUMBER(D26)),NOT(ISNUMBER(INDEX(valor_asignado!$C:$C,MATCH(B26,valor_asignado!$B:$B,0)))),NOT(ISNUMBER(INDEX(valor_asignado!$D:$D,MATCH(B26,valor_asignado!$B:$B,0)))),INDEX(valor_asignado!$D:$D,MATCH(B26,valor_asignado!$B:$B,0))=0),"",(D26-INDEX(valor_asignado!$C:$C,MATCH(B26,valor_asignado!$B:$B,0)))/INDEX(valor_asignado!$D:$D,MATCH(B26,valor_asignado!$B:$B,0)))</f>
        <v>1.05399875148948</v>
      </c>
      <c r="G26" s="5" t="str">
        <f aca="false">IF(F26="","N/A",IF(ABS(F26)&lt;=2,"Satisfactorio",IF(ABS(F26)&lt;3,"Cuestionable","No satisfactorio")))</f>
        <v>Satisfactorio</v>
      </c>
      <c r="H26" s="4" t="n">
        <f aca="false">IF(OR(NOT(ISNUMBER(D26)),NOT(ISNUMBER(INDEX(valor_asignado!$C:$C,MATCH(B26,valor_asignado!$B:$B,0)))),NOT(ISNUMBER(SQRT(INDEX(valor_asignado!$D:$D,MATCH(B26,valor_asignado!$B:$B,0))^2+INDEX(valor_asignado!$H:$H,MATCH(B26,valor_asignado!$B:$B,0))^2))),SQRT(INDEX(valor_asignado!$D:$D,MATCH(B26,valor_asignado!$B:$B,0))^2+INDEX(valor_asignado!$H:$H,MATCH(B26,valor_asignado!$B:$B,0))^2)=0),"",(D26-INDEX(valor_asignado!$C:$C,MATCH(B26,valor_asignado!$B:$B,0)))/SQRT(INDEX(valor_asignado!$D:$D,MATCH(B26,valor_asignado!$B:$B,0))^2+INDEX(valor_asignado!$H:$H,MATCH(B26,valor_asignado!$B:$B,0))^2))</f>
        <v>0.355239388730632</v>
      </c>
      <c r="I26" s="5" t="str">
        <f aca="false">IF(H26="","N/A",IF(ABS(H26)&lt;=2,"Satisfactorio",IF(ABS(H26)&lt;3,"Cuestionable","No satisfactorio")))</f>
        <v>Satisfactorio</v>
      </c>
      <c r="J26" s="4" t="n">
        <f aca="false">IF(OR(NOT(ISNUMBER(D26)),NOT(ISNUMBER(INDEX(valor_asignado!$C:$C,MATCH(B26,valor_asignado!$B:$B,0)))),NOT(ISNUMBER(SQRT(E26^2+INDEX(valor_asignado!$H:$H,MATCH(B26,valor_asignado!$B:$B,0))^2))),SQRT(E26^2+INDEX(valor_asignado!$H:$H,MATCH(B26,valor_asignado!$B:$B,0))^2)=0),"",(D26-INDEX(valor_asignado!$C:$C,MATCH(B26,valor_asignado!$B:$B,0)))/SQRT(E26^2+INDEX(valor_asignado!$H:$H,MATCH(B26,valor_asignado!$B:$B,0))^2))</f>
        <v>0.366398799359529</v>
      </c>
      <c r="K26" s="5" t="str">
        <f aca="false">IF(J26="","N/A",IF(ABS(J26)&lt;=2,"Satisfactorio",IF(ABS(J26)&lt;3,"Cuestionable","No satisfactorio")))</f>
        <v>Satisfactorio</v>
      </c>
      <c r="L26" s="4" t="n">
        <f aca="false">IF(OR(NOT(ISNUMBER(D26)),NOT(ISNUMBER(INDEX(valor_asignado!$C:$C,MATCH(B26,valor_asignado!$B:$B,0)))),NOT(ISNUMBER(SQRT((2*E26)^2+(2*INDEX(valor_asignado!$H:$H,MATCH(B26,valor_asignado!$B:$B,0)))^2))),SQRT((2*E26)^2+(2*INDEX(valor_asignado!$H:$H,MATCH(B26,valor_asignado!$B:$B,0)))^2)=0),"",(D26-INDEX(valor_asignado!$C:$C,MATCH(B26,valor_asignado!$B:$B,0)))/SQRT((2*E26)^2+(2*INDEX(valor_asignado!$H:$H,MATCH(B26,valor_asignado!$B:$B,0)))^2))</f>
        <v>0.183199399679764</v>
      </c>
      <c r="M26" s="5" t="str">
        <f aca="false">IF(L26="","N/A",IF(ABS(L26)&lt;=1,"Satisfactorio","No satisfactorio"))</f>
        <v>Satisfactorio</v>
      </c>
      <c r="N26" s="5" t="str">
        <f aca="false">IF(AND(SUM(IF(AND(D26="",validacion_snapshot!$U$73=""),0,IFERROR(ABS(D26-validacion_snapshot!$U$73),1E+099)),IF(AND(E26="",validacion_snapshot!$V$73=""),0,IFERROR(ABS(E26-validacion_snapshot!$V$73),1E+099)),IF(AND(F26="",validacion_snapshot!$W$73=""),0,IFERROR(ABS(F26-validacion_snapshot!$W$73),1E+099)),IF(AND(H26="",validacion_snapshot!$Y$73=""),0,IFERROR(ABS(H26-validacion_snapshot!$Y$73),1E+099)),IF(AND(J26="",validacion_snapshot!$AA$73=""),0,IFERROR(ABS(J26-validacion_snapshot!$AA$73),1E+099)),IF(AND(L26="",validacion_snapshot!$AC$73=""),0,IFERROR(ABS(L26-validacion_snapshot!$AC$73),1E+099)))&lt;=0.00000001,G26=validacion_snapshot!$X$73,I26=validacion_snapshot!$Z$73,K26=validacion_snapshot!$AB$73,M26=validacion_snapshot!$AD$73),"OK","FALLA")</f>
        <v>OK</v>
      </c>
    </row>
    <row r="27" customFormat="false" ht="15" hidden="false" customHeight="false" outlineLevel="0" collapsed="false">
      <c r="A27" s="3"/>
      <c r="B27" s="3" t="s">
        <v>193</v>
      </c>
      <c r="C27" s="3" t="s">
        <v>127</v>
      </c>
      <c r="D27" s="4" t="n">
        <f aca="false">INDEX(datos_participantes!$D:$D,MATCH(C27,datos_participantes!$A:$A,0))</f>
        <v>177.981666666667</v>
      </c>
      <c r="E27" s="4" t="n">
        <f aca="false">INDEX(datos_participantes!$F:$F,MATCH(C27,datos_participantes!$A:$A,0))</f>
        <v>0.414358062941227</v>
      </c>
      <c r="F27" s="4" t="n">
        <f aca="false">IF(OR(NOT(ISNUMBER(D27)),NOT(ISNUMBER(INDEX(valor_asignado!$C:$C,MATCH(B27,valor_asignado!$B:$B,0)))),NOT(ISNUMBER(INDEX(valor_asignado!$D:$D,MATCH(B27,valor_asignado!$B:$B,0)))),INDEX(valor_asignado!$D:$D,MATCH(B27,valor_asignado!$B:$B,0))=0),"",(D27-INDEX(valor_asignado!$C:$C,MATCH(B27,valor_asignado!$B:$B,0)))/INDEX(valor_asignado!$D:$D,MATCH(B27,valor_asignado!$B:$B,0)))</f>
        <v>-0.466770875659251</v>
      </c>
      <c r="G27" s="5" t="str">
        <f aca="false">IF(F27="","N/A",IF(ABS(F27)&lt;=2,"Satisfactorio",IF(ABS(F27)&lt;3,"Cuestionable","No satisfactorio")))</f>
        <v>Satisfactorio</v>
      </c>
      <c r="H27" s="4" t="n">
        <f aca="false">IF(OR(NOT(ISNUMBER(D27)),NOT(ISNUMBER(INDEX(valor_asignado!$C:$C,MATCH(B27,valor_asignado!$B:$B,0)))),NOT(ISNUMBER(SQRT(INDEX(valor_asignado!$D:$D,MATCH(B27,valor_asignado!$B:$B,0))^2+INDEX(valor_asignado!$H:$H,MATCH(B27,valor_asignado!$B:$B,0))^2))),SQRT(INDEX(valor_asignado!$D:$D,MATCH(B27,valor_asignado!$B:$B,0))^2+INDEX(valor_asignado!$H:$H,MATCH(B27,valor_asignado!$B:$B,0))^2)=0),"",(D27-INDEX(valor_asignado!$C:$C,MATCH(B27,valor_asignado!$B:$B,0)))/SQRT(INDEX(valor_asignado!$D:$D,MATCH(B27,valor_asignado!$B:$B,0))^2+INDEX(valor_asignado!$H:$H,MATCH(B27,valor_asignado!$B:$B,0))^2))</f>
        <v>-0.157320300723439</v>
      </c>
      <c r="I27" s="5" t="str">
        <f aca="false">IF(H27="","N/A",IF(ABS(H27)&lt;=2,"Satisfactorio",IF(ABS(H27)&lt;3,"Cuestionable","No satisfactorio")))</f>
        <v>Satisfactorio</v>
      </c>
      <c r="J27" s="4" t="n">
        <f aca="false">IF(OR(NOT(ISNUMBER(D27)),NOT(ISNUMBER(INDEX(valor_asignado!$C:$C,MATCH(B27,valor_asignado!$B:$B,0)))),NOT(ISNUMBER(SQRT(E27^2+INDEX(valor_asignado!$H:$H,MATCH(B27,valor_asignado!$B:$B,0))^2))),SQRT(E27^2+INDEX(valor_asignado!$H:$H,MATCH(B27,valor_asignado!$B:$B,0))^2)=0),"",(D27-INDEX(valor_asignado!$C:$C,MATCH(B27,valor_asignado!$B:$B,0)))/SQRT(E27^2+INDEX(valor_asignado!$H:$H,MATCH(B27,valor_asignado!$B:$B,0))^2))</f>
        <v>-0.159847687324662</v>
      </c>
      <c r="K27" s="5" t="str">
        <f aca="false">IF(J27="","N/A",IF(ABS(J27)&lt;=2,"Satisfactorio",IF(ABS(J27)&lt;3,"Cuestionable","No satisfactorio")))</f>
        <v>Satisfactorio</v>
      </c>
      <c r="L27" s="4" t="n">
        <f aca="false">IF(OR(NOT(ISNUMBER(D27)),NOT(ISNUMBER(INDEX(valor_asignado!$C:$C,MATCH(B27,valor_asignado!$B:$B,0)))),NOT(ISNUMBER(SQRT((2*E27)^2+(2*INDEX(valor_asignado!$H:$H,MATCH(B27,valor_asignado!$B:$B,0)))^2))),SQRT((2*E27)^2+(2*INDEX(valor_asignado!$H:$H,MATCH(B27,valor_asignado!$B:$B,0)))^2)=0),"",(D27-INDEX(valor_asignado!$C:$C,MATCH(B27,valor_asignado!$B:$B,0)))/SQRT((2*E27)^2+(2*INDEX(valor_asignado!$H:$H,MATCH(B27,valor_asignado!$B:$B,0)))^2))</f>
        <v>-0.0799238436623308</v>
      </c>
      <c r="M27" s="5" t="str">
        <f aca="false">IF(L27="","N/A",IF(ABS(L27)&lt;=1,"Satisfactorio","No satisfactorio"))</f>
        <v>Satisfactorio</v>
      </c>
      <c r="N27" s="5" t="str">
        <f aca="false">IF(AND(SUM(IF(AND(D27="",validacion_snapshot!$U$74=""),0,IFERROR(ABS(D27-validacion_snapshot!$U$74),1E+099)),IF(AND(E27="",validacion_snapshot!$V$74=""),0,IFERROR(ABS(E27-validacion_snapshot!$V$74),1E+099)),IF(AND(F27="",validacion_snapshot!$W$74=""),0,IFERROR(ABS(F27-validacion_snapshot!$W$74),1E+099)),IF(AND(H27="",validacion_snapshot!$Y$74=""),0,IFERROR(ABS(H27-validacion_snapshot!$Y$74),1E+099)),IF(AND(J27="",validacion_snapshot!$AA$74=""),0,IFERROR(ABS(J27-validacion_snapshot!$AA$74),1E+099)),IF(AND(L27="",validacion_snapshot!$AC$74=""),0,IFERROR(ABS(L27-validacion_snapshot!$AC$74),1E+099)))&lt;=0.00000001,G27=validacion_snapshot!$X$74,I27=validacion_snapshot!$Z$74,K27=validacion_snapshot!$AB$74,M27=validacion_snapshot!$AD$74),"OK","FALLA")</f>
        <v>OK</v>
      </c>
    </row>
    <row r="28" customFormat="false" ht="15" hidden="false" customHeight="false" outlineLevel="0" collapsed="false">
      <c r="A28" s="3"/>
      <c r="B28" s="3" t="s">
        <v>193</v>
      </c>
      <c r="C28" s="3" t="s">
        <v>128</v>
      </c>
      <c r="D28" s="4" t="n">
        <f aca="false">INDEX(datos_participantes!$D:$D,MATCH(C28,datos_participantes!$A:$A,0))</f>
        <v>179.610333333333</v>
      </c>
      <c r="E28" s="4" t="n">
        <f aca="false">INDEX(datos_participantes!$F:$F,MATCH(C28,datos_participantes!$A:$A,0))</f>
        <v>0.380761268150885</v>
      </c>
      <c r="F28" s="4" t="n">
        <f aca="false">IF(OR(NOT(ISNUMBER(D28)),NOT(ISNUMBER(INDEX(valor_asignado!$C:$C,MATCH(B28,valor_asignado!$B:$B,0)))),NOT(ISNUMBER(INDEX(valor_asignado!$D:$D,MATCH(B28,valor_asignado!$B:$B,0)))),INDEX(valor_asignado!$D:$D,MATCH(B28,valor_asignado!$B:$B,0))=0),"",(D28-INDEX(valor_asignado!$C:$C,MATCH(B28,valor_asignado!$B:$B,0)))/INDEX(valor_asignado!$D:$D,MATCH(B28,valor_asignado!$B:$B,0)))</f>
        <v>2.87727970861264</v>
      </c>
      <c r="G28" s="5" t="str">
        <f aca="false">IF(F28="","N/A",IF(ABS(F28)&lt;=2,"Satisfactorio",IF(ABS(F28)&lt;3,"Cuestionable","No satisfactorio")))</f>
        <v>Cuestionable</v>
      </c>
      <c r="H28" s="4" t="n">
        <f aca="false">IF(OR(NOT(ISNUMBER(D28)),NOT(ISNUMBER(INDEX(valor_asignado!$C:$C,MATCH(B28,valor_asignado!$B:$B,0)))),NOT(ISNUMBER(SQRT(INDEX(valor_asignado!$D:$D,MATCH(B28,valor_asignado!$B:$B,0))^2+INDEX(valor_asignado!$H:$H,MATCH(B28,valor_asignado!$B:$B,0))^2))),SQRT(INDEX(valor_asignado!$D:$D,MATCH(B28,valor_asignado!$B:$B,0))^2+INDEX(valor_asignado!$H:$H,MATCH(B28,valor_asignado!$B:$B,0))^2)=0),"",(D28-INDEX(valor_asignado!$C:$C,MATCH(B28,valor_asignado!$B:$B,0)))/SQRT(INDEX(valor_asignado!$D:$D,MATCH(B28,valor_asignado!$B:$B,0))^2+INDEX(valor_asignado!$H:$H,MATCH(B28,valor_asignado!$B:$B,0))^2))</f>
        <v>0.969757396249448</v>
      </c>
      <c r="I28" s="5" t="str">
        <f aca="false">IF(H28="","N/A",IF(ABS(H28)&lt;=2,"Satisfactorio",IF(ABS(H28)&lt;3,"Cuestionable","No satisfactorio")))</f>
        <v>Satisfactorio</v>
      </c>
      <c r="J28" s="4" t="n">
        <f aca="false">IF(OR(NOT(ISNUMBER(D28)),NOT(ISNUMBER(INDEX(valor_asignado!$C:$C,MATCH(B28,valor_asignado!$B:$B,0)))),NOT(ISNUMBER(SQRT(E28^2+INDEX(valor_asignado!$H:$H,MATCH(B28,valor_asignado!$B:$B,0))^2))),SQRT(E28^2+INDEX(valor_asignado!$H:$H,MATCH(B28,valor_asignado!$B:$B,0))^2)=0),"",(D28-INDEX(valor_asignado!$C:$C,MATCH(B28,valor_asignado!$B:$B,0)))/SQRT(E28^2+INDEX(valor_asignado!$H:$H,MATCH(B28,valor_asignado!$B:$B,0))^2))</f>
        <v>0.991908800119046</v>
      </c>
      <c r="K28" s="5" t="str">
        <f aca="false">IF(J28="","N/A",IF(ABS(J28)&lt;=2,"Satisfactorio",IF(ABS(J28)&lt;3,"Cuestionable","No satisfactorio")))</f>
        <v>Satisfactorio</v>
      </c>
      <c r="L28" s="4" t="n">
        <f aca="false">IF(OR(NOT(ISNUMBER(D28)),NOT(ISNUMBER(INDEX(valor_asignado!$C:$C,MATCH(B28,valor_asignado!$B:$B,0)))),NOT(ISNUMBER(SQRT((2*E28)^2+(2*INDEX(valor_asignado!$H:$H,MATCH(B28,valor_asignado!$B:$B,0)))^2))),SQRT((2*E28)^2+(2*INDEX(valor_asignado!$H:$H,MATCH(B28,valor_asignado!$B:$B,0)))^2)=0),"",(D28-INDEX(valor_asignado!$C:$C,MATCH(B28,valor_asignado!$B:$B,0)))/SQRT((2*E28)^2+(2*INDEX(valor_asignado!$H:$H,MATCH(B28,valor_asignado!$B:$B,0)))^2))</f>
        <v>0.495954400059523</v>
      </c>
      <c r="M28" s="5" t="str">
        <f aca="false">IF(L28="","N/A",IF(ABS(L28)&lt;=1,"Satisfactorio","No satisfactorio"))</f>
        <v>Satisfactorio</v>
      </c>
      <c r="N28" s="5" t="str">
        <f aca="false">IF(AND(SUM(IF(AND(D28="",validacion_snapshot!$U$75=""),0,IFERROR(ABS(D28-validacion_snapshot!$U$75),1E+099)),IF(AND(E28="",validacion_snapshot!$V$75=""),0,IFERROR(ABS(E28-validacion_snapshot!$V$75),1E+099)),IF(AND(F28="",validacion_snapshot!$W$75=""),0,IFERROR(ABS(F28-validacion_snapshot!$W$75),1E+099)),IF(AND(H28="",validacion_snapshot!$Y$75=""),0,IFERROR(ABS(H28-validacion_snapshot!$Y$75),1E+099)),IF(AND(J28="",validacion_snapshot!$AA$75=""),0,IFERROR(ABS(J28-validacion_snapshot!$AA$75),1E+099)),IF(AND(L28="",validacion_snapshot!$AC$75=""),0,IFERROR(ABS(L28-validacion_snapshot!$AC$75),1E+099)))&lt;=0.00000001,G28=validacion_snapshot!$X$75,I28=validacion_snapshot!$Z$75,K28=validacion_snapshot!$AB$75,M28=validacion_snapshot!$AD$75),"OK","FALLA")</f>
        <v>OK</v>
      </c>
    </row>
    <row r="29" customFormat="false" ht="15" hidden="false" customHeight="false" outlineLevel="0" collapsed="false">
      <c r="A29" s="3"/>
      <c r="B29" s="3" t="s">
        <v>193</v>
      </c>
      <c r="C29" s="3" t="s">
        <v>129</v>
      </c>
      <c r="D29" s="4" t="n">
        <f aca="false">INDEX(datos_participantes!$D:$D,MATCH(C29,datos_participantes!$A:$A,0))</f>
        <v>178.669666666667</v>
      </c>
      <c r="E29" s="4" t="n">
        <f aca="false">INDEX(datos_participantes!$F:$F,MATCH(C29,datos_participantes!$A:$A,0))</f>
        <v>0.343658946047462</v>
      </c>
      <c r="F29" s="4" t="n">
        <f aca="false">IF(OR(NOT(ISNUMBER(D29)),NOT(ISNUMBER(INDEX(valor_asignado!$C:$C,MATCH(B29,valor_asignado!$B:$B,0)))),NOT(ISNUMBER(INDEX(valor_asignado!$D:$D,MATCH(B29,valor_asignado!$B:$B,0)))),INDEX(valor_asignado!$D:$D,MATCH(B29,valor_asignado!$B:$B,0))=0),"",(D29-INDEX(valor_asignado!$C:$C,MATCH(B29,valor_asignado!$B:$B,0)))/INDEX(valor_asignado!$D:$D,MATCH(B29,valor_asignado!$B:$B,0)))</f>
        <v>0.945861217247052</v>
      </c>
      <c r="G29" s="5" t="str">
        <f aca="false">IF(F29="","N/A",IF(ABS(F29)&lt;=2,"Satisfactorio",IF(ABS(F29)&lt;3,"Cuestionable","No satisfactorio")))</f>
        <v>Satisfactorio</v>
      </c>
      <c r="H29" s="4" t="n">
        <f aca="false">IF(OR(NOT(ISNUMBER(D29)),NOT(ISNUMBER(INDEX(valor_asignado!$C:$C,MATCH(B29,valor_asignado!$B:$B,0)))),NOT(ISNUMBER(SQRT(INDEX(valor_asignado!$D:$D,MATCH(B29,valor_asignado!$B:$B,0))^2+INDEX(valor_asignado!$H:$H,MATCH(B29,valor_asignado!$B:$B,0))^2))),SQRT(INDEX(valor_asignado!$D:$D,MATCH(B29,valor_asignado!$B:$B,0))^2+INDEX(valor_asignado!$H:$H,MATCH(B29,valor_asignado!$B:$B,0))^2)=0),"",(D29-INDEX(valor_asignado!$C:$C,MATCH(B29,valor_asignado!$B:$B,0)))/SQRT(INDEX(valor_asignado!$D:$D,MATCH(B29,valor_asignado!$B:$B,0))^2+INDEX(valor_asignado!$H:$H,MATCH(B29,valor_asignado!$B:$B,0))^2))</f>
        <v>0.318792750147019</v>
      </c>
      <c r="I29" s="5" t="str">
        <f aca="false">IF(H29="","N/A",IF(ABS(H29)&lt;=2,"Satisfactorio",IF(ABS(H29)&lt;3,"Cuestionable","No satisfactorio")))</f>
        <v>Satisfactorio</v>
      </c>
      <c r="J29" s="4" t="n">
        <f aca="false">IF(OR(NOT(ISNUMBER(D29)),NOT(ISNUMBER(INDEX(valor_asignado!$C:$C,MATCH(B29,valor_asignado!$B:$B,0)))),NOT(ISNUMBER(SQRT(E29^2+INDEX(valor_asignado!$H:$H,MATCH(B29,valor_asignado!$B:$B,0))^2))),SQRT(E29^2+INDEX(valor_asignado!$H:$H,MATCH(B29,valor_asignado!$B:$B,0))^2)=0),"",(D29-INDEX(valor_asignado!$C:$C,MATCH(B29,valor_asignado!$B:$B,0)))/SQRT(E29^2+INDEX(valor_asignado!$H:$H,MATCH(B29,valor_asignado!$B:$B,0))^2))</f>
        <v>0.328292637634044</v>
      </c>
      <c r="K29" s="5" t="str">
        <f aca="false">IF(J29="","N/A",IF(ABS(J29)&lt;=2,"Satisfactorio",IF(ABS(J29)&lt;3,"Cuestionable","No satisfactorio")))</f>
        <v>Satisfactorio</v>
      </c>
      <c r="L29" s="4" t="n">
        <f aca="false">IF(OR(NOT(ISNUMBER(D29)),NOT(ISNUMBER(INDEX(valor_asignado!$C:$C,MATCH(B29,valor_asignado!$B:$B,0)))),NOT(ISNUMBER(SQRT((2*E29)^2+(2*INDEX(valor_asignado!$H:$H,MATCH(B29,valor_asignado!$B:$B,0)))^2))),SQRT((2*E29)^2+(2*INDEX(valor_asignado!$H:$H,MATCH(B29,valor_asignado!$B:$B,0)))^2)=0),"",(D29-INDEX(valor_asignado!$C:$C,MATCH(B29,valor_asignado!$B:$B,0)))/SQRT((2*E29)^2+(2*INDEX(valor_asignado!$H:$H,MATCH(B29,valor_asignado!$B:$B,0)))^2))</f>
        <v>0.164146318817022</v>
      </c>
      <c r="M29" s="5" t="str">
        <f aca="false">IF(L29="","N/A",IF(ABS(L29)&lt;=1,"Satisfactorio","No satisfactorio"))</f>
        <v>Satisfactorio</v>
      </c>
      <c r="N29" s="5" t="str">
        <f aca="false">IF(AND(SUM(IF(AND(D29="",validacion_snapshot!$U$76=""),0,IFERROR(ABS(D29-validacion_snapshot!$U$76),1E+099)),IF(AND(E29="",validacion_snapshot!$V$76=""),0,IFERROR(ABS(E29-validacion_snapshot!$V$76),1E+099)),IF(AND(F29="",validacion_snapshot!$W$76=""),0,IFERROR(ABS(F29-validacion_snapshot!$W$76),1E+099)),IF(AND(H29="",validacion_snapshot!$Y$76=""),0,IFERROR(ABS(H29-validacion_snapshot!$Y$76),1E+099)),IF(AND(J29="",validacion_snapshot!$AA$76=""),0,IFERROR(ABS(J29-validacion_snapshot!$AA$76),1E+099)),IF(AND(L29="",validacion_snapshot!$AC$76=""),0,IFERROR(ABS(L29-validacion_snapshot!$AC$76),1E+099)))&lt;=0.00000001,G29=validacion_snapshot!$X$76,I29=validacion_snapshot!$Z$76,K29=validacion_snapshot!$AB$76,M29=validacion_snapshot!$AD$76),"OK","FALLA")</f>
        <v>OK</v>
      </c>
    </row>
    <row r="30" customFormat="false" ht="15" hidden="false" customHeight="false" outlineLevel="0" collapsed="false">
      <c r="A30" s="3"/>
      <c r="B30" s="3" t="s">
        <v>193</v>
      </c>
      <c r="C30" s="3" t="s">
        <v>130</v>
      </c>
      <c r="D30" s="4" t="n">
        <f aca="false">INDEX(datos_participantes!$D:$D,MATCH(C30,datos_participantes!$A:$A,0))</f>
        <v>177.849</v>
      </c>
      <c r="E30" s="4" t="n">
        <f aca="false">INDEX(datos_participantes!$F:$F,MATCH(C30,datos_participantes!$A:$A,0))</f>
        <v>0.140176574676736</v>
      </c>
      <c r="F30" s="4" t="n">
        <f aca="false">IF(OR(NOT(ISNUMBER(D30)),NOT(ISNUMBER(INDEX(valor_asignado!$C:$C,MATCH(B30,valor_asignado!$B:$B,0)))),NOT(ISNUMBER(INDEX(valor_asignado!$D:$D,MATCH(B30,valor_asignado!$B:$B,0)))),INDEX(valor_asignado!$D:$D,MATCH(B30,valor_asignado!$B:$B,0))=0),"",(D30-INDEX(valor_asignado!$C:$C,MATCH(B30,valor_asignado!$B:$B,0)))/INDEX(valor_asignado!$D:$D,MATCH(B30,valor_asignado!$B:$B,0)))</f>
        <v>-0.739167955590517</v>
      </c>
      <c r="G30" s="5" t="str">
        <f aca="false">IF(F30="","N/A",IF(ABS(F30)&lt;=2,"Satisfactorio",IF(ABS(F30)&lt;3,"Cuestionable","No satisfactorio")))</f>
        <v>Satisfactorio</v>
      </c>
      <c r="H30" s="4" t="n">
        <f aca="false">IF(OR(NOT(ISNUMBER(D30)),NOT(ISNUMBER(INDEX(valor_asignado!$C:$C,MATCH(B30,valor_asignado!$B:$B,0)))),NOT(ISNUMBER(SQRT(INDEX(valor_asignado!$D:$D,MATCH(B30,valor_asignado!$B:$B,0))^2+INDEX(valor_asignado!$H:$H,MATCH(B30,valor_asignado!$B:$B,0))^2))),SQRT(INDEX(valor_asignado!$D:$D,MATCH(B30,valor_asignado!$B:$B,0))^2+INDEX(valor_asignado!$H:$H,MATCH(B30,valor_asignado!$B:$B,0))^2)=0),"",(D30-INDEX(valor_asignado!$C:$C,MATCH(B30,valor_asignado!$B:$B,0)))/SQRT(INDEX(valor_asignado!$D:$D,MATCH(B30,valor_asignado!$B:$B,0))^2+INDEX(valor_asignado!$H:$H,MATCH(B30,valor_asignado!$B:$B,0))^2))</f>
        <v>-0.249128921967104</v>
      </c>
      <c r="I30" s="5" t="str">
        <f aca="false">IF(H30="","N/A",IF(ABS(H30)&lt;=2,"Satisfactorio",IF(ABS(H30)&lt;3,"Cuestionable","No satisfactorio")))</f>
        <v>Satisfactorio</v>
      </c>
      <c r="J30" s="4" t="n">
        <f aca="false">IF(OR(NOT(ISNUMBER(D30)),NOT(ISNUMBER(INDEX(valor_asignado!$C:$C,MATCH(B30,valor_asignado!$B:$B,0)))),NOT(ISNUMBER(SQRT(E30^2+INDEX(valor_asignado!$H:$H,MATCH(B30,valor_asignado!$B:$B,0))^2))),SQRT(E30^2+INDEX(valor_asignado!$H:$H,MATCH(B30,valor_asignado!$B:$B,0))^2)=0),"",(D30-INDEX(valor_asignado!$C:$C,MATCH(B30,valor_asignado!$B:$B,0)))/SQRT(E30^2+INDEX(valor_asignado!$H:$H,MATCH(B30,valor_asignado!$B:$B,0))^2))</f>
        <v>-0.263217729398851</v>
      </c>
      <c r="K30" s="5" t="str">
        <f aca="false">IF(J30="","N/A",IF(ABS(J30)&lt;=2,"Satisfactorio",IF(ABS(J30)&lt;3,"Cuestionable","No satisfactorio")))</f>
        <v>Satisfactorio</v>
      </c>
      <c r="L30" s="4" t="n">
        <f aca="false">IF(OR(NOT(ISNUMBER(D30)),NOT(ISNUMBER(INDEX(valor_asignado!$C:$C,MATCH(B30,valor_asignado!$B:$B,0)))),NOT(ISNUMBER(SQRT((2*E30)^2+(2*INDEX(valor_asignado!$H:$H,MATCH(B30,valor_asignado!$B:$B,0)))^2))),SQRT((2*E30)^2+(2*INDEX(valor_asignado!$H:$H,MATCH(B30,valor_asignado!$B:$B,0)))^2)=0),"",(D30-INDEX(valor_asignado!$C:$C,MATCH(B30,valor_asignado!$B:$B,0)))/SQRT((2*E30)^2+(2*INDEX(valor_asignado!$H:$H,MATCH(B30,valor_asignado!$B:$B,0)))^2))</f>
        <v>-0.131608864699425</v>
      </c>
      <c r="M30" s="5" t="str">
        <f aca="false">IF(L30="","N/A",IF(ABS(L30)&lt;=1,"Satisfactorio","No satisfactorio"))</f>
        <v>Satisfactorio</v>
      </c>
      <c r="N30" s="5" t="str">
        <f aca="false">IF(AND(SUM(IF(AND(D30="",validacion_snapshot!$U$77=""),0,IFERROR(ABS(D30-validacion_snapshot!$U$77),1E+099)),IF(AND(E30="",validacion_snapshot!$V$77=""),0,IFERROR(ABS(E30-validacion_snapshot!$V$77),1E+099)),IF(AND(F30="",validacion_snapshot!$W$77=""),0,IFERROR(ABS(F30-validacion_snapshot!$W$77),1E+099)),IF(AND(H30="",validacion_snapshot!$Y$77=""),0,IFERROR(ABS(H30-validacion_snapshot!$Y$77),1E+099)),IF(AND(J30="",validacion_snapshot!$AA$77=""),0,IFERROR(ABS(J30-validacion_snapshot!$AA$77),1E+099)),IF(AND(L30="",validacion_snapshot!$AC$77=""),0,IFERROR(ABS(L30-validacion_snapshot!$AC$77),1E+099)))&lt;=0.00000001,G30=validacion_snapshot!$X$77,I30=validacion_snapshot!$Z$77,K30=validacion_snapshot!$AB$77,M30=validacion_snapshot!$AD$77),"OK","FALLA")</f>
        <v>OK</v>
      </c>
    </row>
    <row r="31" customFormat="false" ht="15" hidden="false" customHeight="false" outlineLevel="0" collapsed="false">
      <c r="A31" s="3"/>
      <c r="B31" s="3" t="s">
        <v>193</v>
      </c>
      <c r="C31" s="3" t="s">
        <v>131</v>
      </c>
      <c r="D31" s="4" t="n">
        <f aca="false">INDEX(datos_participantes!$D:$D,MATCH(C31,datos_participantes!$A:$A,0))</f>
        <v>178.039333333333</v>
      </c>
      <c r="E31" s="4" t="n">
        <f aca="false">INDEX(datos_participantes!$F:$F,MATCH(C31,datos_participantes!$A:$A,0))</f>
        <v>0.00796067860388924</v>
      </c>
      <c r="F31" s="4" t="n">
        <f aca="false">IF(OR(NOT(ISNUMBER(D31)),NOT(ISNUMBER(INDEX(valor_asignado!$C:$C,MATCH(B31,valor_asignado!$B:$B,0)))),NOT(ISNUMBER(INDEX(valor_asignado!$D:$D,MATCH(B31,valor_asignado!$B:$B,0)))),INDEX(valor_asignado!$D:$D,MATCH(B31,valor_asignado!$B:$B,0))=0),"",(D31-INDEX(valor_asignado!$C:$C,MATCH(B31,valor_asignado!$B:$B,0)))/INDEX(valor_asignado!$D:$D,MATCH(B31,valor_asignado!$B:$B,0)))</f>
        <v>-0.348367119811413</v>
      </c>
      <c r="G31" s="5" t="str">
        <f aca="false">IF(F31="","N/A",IF(ABS(F31)&lt;=2,"Satisfactorio",IF(ABS(F31)&lt;3,"Cuestionable","No satisfactorio")))</f>
        <v>Satisfactorio</v>
      </c>
      <c r="H31" s="4" t="n">
        <f aca="false">IF(OR(NOT(ISNUMBER(D31)),NOT(ISNUMBER(INDEX(valor_asignado!$C:$C,MATCH(B31,valor_asignado!$B:$B,0)))),NOT(ISNUMBER(SQRT(INDEX(valor_asignado!$D:$D,MATCH(B31,valor_asignado!$B:$B,0))^2+INDEX(valor_asignado!$H:$H,MATCH(B31,valor_asignado!$B:$B,0))^2))),SQRT(INDEX(valor_asignado!$D:$D,MATCH(B31,valor_asignado!$B:$B,0))^2+INDEX(valor_asignado!$H:$H,MATCH(B31,valor_asignado!$B:$B,0))^2)=0),"",(D31-INDEX(valor_asignado!$C:$C,MATCH(B31,valor_asignado!$B:$B,0)))/SQRT(INDEX(valor_asignado!$D:$D,MATCH(B31,valor_asignado!$B:$B,0))^2+INDEX(valor_asignado!$H:$H,MATCH(B31,valor_asignado!$B:$B,0))^2))</f>
        <v>-0.11741353822362</v>
      </c>
      <c r="I31" s="5" t="str">
        <f aca="false">IF(H31="","N/A",IF(ABS(H31)&lt;=2,"Satisfactorio",IF(ABS(H31)&lt;3,"Cuestionable","No satisfactorio")))</f>
        <v>Satisfactorio</v>
      </c>
      <c r="J31" s="4" t="n">
        <f aca="false">IF(OR(NOT(ISNUMBER(D31)),NOT(ISNUMBER(INDEX(valor_asignado!$C:$C,MATCH(B31,valor_asignado!$B:$B,0)))),NOT(ISNUMBER(SQRT(E31^2+INDEX(valor_asignado!$H:$H,MATCH(B31,valor_asignado!$B:$B,0))^2))),SQRT(E31^2+INDEX(valor_asignado!$H:$H,MATCH(B31,valor_asignado!$B:$B,0))^2)=0),"",(D31-INDEX(valor_asignado!$C:$C,MATCH(B31,valor_asignado!$B:$B,0)))/SQRT(E31^2+INDEX(valor_asignado!$H:$H,MATCH(B31,valor_asignado!$B:$B,0))^2))</f>
        <v>-0.124708146091411</v>
      </c>
      <c r="K31" s="5" t="str">
        <f aca="false">IF(J31="","N/A",IF(ABS(J31)&lt;=2,"Satisfactorio",IF(ABS(J31)&lt;3,"Cuestionable","No satisfactorio")))</f>
        <v>Satisfactorio</v>
      </c>
      <c r="L31" s="4" t="n">
        <f aca="false">IF(OR(NOT(ISNUMBER(D31)),NOT(ISNUMBER(INDEX(valor_asignado!$C:$C,MATCH(B31,valor_asignado!$B:$B,0)))),NOT(ISNUMBER(SQRT((2*E31)^2+(2*INDEX(valor_asignado!$H:$H,MATCH(B31,valor_asignado!$B:$B,0)))^2))),SQRT((2*E31)^2+(2*INDEX(valor_asignado!$H:$H,MATCH(B31,valor_asignado!$B:$B,0)))^2)=0),"",(D31-INDEX(valor_asignado!$C:$C,MATCH(B31,valor_asignado!$B:$B,0)))/SQRT((2*E31)^2+(2*INDEX(valor_asignado!$H:$H,MATCH(B31,valor_asignado!$B:$B,0)))^2))</f>
        <v>-0.0623540730457056</v>
      </c>
      <c r="M31" s="5" t="str">
        <f aca="false">IF(L31="","N/A",IF(ABS(L31)&lt;=1,"Satisfactorio","No satisfactorio"))</f>
        <v>Satisfactorio</v>
      </c>
      <c r="N31" s="5" t="str">
        <f aca="false">IF(AND(SUM(IF(AND(D31="",validacion_snapshot!$U$78=""),0,IFERROR(ABS(D31-validacion_snapshot!$U$78),1E+099)),IF(AND(E31="",validacion_snapshot!$V$78=""),0,IFERROR(ABS(E31-validacion_snapshot!$V$78),1E+099)),IF(AND(F31="",validacion_snapshot!$W$78=""),0,IFERROR(ABS(F31-validacion_snapshot!$W$78),1E+099)),IF(AND(H31="",validacion_snapshot!$Y$78=""),0,IFERROR(ABS(H31-validacion_snapshot!$Y$78),1E+099)),IF(AND(J31="",validacion_snapshot!$AA$78=""),0,IFERROR(ABS(J31-validacion_snapshot!$AA$78),1E+099)),IF(AND(L31="",validacion_snapshot!$AC$78=""),0,IFERROR(ABS(L31-validacion_snapshot!$AC$78),1E+099)))&lt;=0.00000001,G31=validacion_snapshot!$X$78,I31=validacion_snapshot!$Z$78,K31=validacion_snapshot!$AB$78,M31=validacion_snapshot!$AD$78),"OK","FALLA")</f>
        <v>OK</v>
      </c>
    </row>
    <row r="32" customFormat="false" ht="15" hidden="false" customHeight="false" outlineLevel="0" collapsed="false">
      <c r="A32" s="3"/>
      <c r="B32" s="3" t="s">
        <v>193</v>
      </c>
      <c r="C32" s="3" t="s">
        <v>132</v>
      </c>
      <c r="D32" s="4" t="n">
        <f aca="false">INDEX(datos_participantes!$D:$D,MATCH(C32,datos_participantes!$A:$A,0))</f>
        <v>179.197666666667</v>
      </c>
      <c r="E32" s="4" t="n">
        <f aca="false">INDEX(datos_participantes!$F:$F,MATCH(C32,datos_participantes!$A:$A,0))</f>
        <v>0.23561544179908</v>
      </c>
      <c r="F32" s="4" t="n">
        <f aca="false">IF(OR(NOT(ISNUMBER(D32)),NOT(ISNUMBER(INDEX(valor_asignado!$C:$C,MATCH(B32,valor_asignado!$B:$B,0)))),NOT(ISNUMBER(INDEX(valor_asignado!$D:$D,MATCH(B32,valor_asignado!$B:$B,0)))),INDEX(valor_asignado!$D:$D,MATCH(B32,valor_asignado!$B:$B,0))=0),"",(D32-INDEX(valor_asignado!$C:$C,MATCH(B32,valor_asignado!$B:$B,0)))/INDEX(valor_asignado!$D:$D,MATCH(B32,valor_asignado!$B:$B,0)))</f>
        <v>2.02997421877975</v>
      </c>
      <c r="G32" s="5" t="str">
        <f aca="false">IF(F32="","N/A",IF(ABS(F32)&lt;=2,"Satisfactorio",IF(ABS(F32)&lt;3,"Cuestionable","No satisfactorio")))</f>
        <v>Cuestionable</v>
      </c>
      <c r="H32" s="4" t="n">
        <f aca="false">IF(OR(NOT(ISNUMBER(D32)),NOT(ISNUMBER(INDEX(valor_asignado!$C:$C,MATCH(B32,valor_asignado!$B:$B,0)))),NOT(ISNUMBER(SQRT(INDEX(valor_asignado!$D:$D,MATCH(B32,valor_asignado!$B:$B,0))^2+INDEX(valor_asignado!$H:$H,MATCH(B32,valor_asignado!$B:$B,0))^2))),SQRT(INDEX(valor_asignado!$D:$D,MATCH(B32,valor_asignado!$B:$B,0))^2+INDEX(valor_asignado!$H:$H,MATCH(B32,valor_asignado!$B:$B,0))^2)=0),"",(D32-INDEX(valor_asignado!$C:$C,MATCH(B32,valor_asignado!$B:$B,0)))/SQRT(INDEX(valor_asignado!$D:$D,MATCH(B32,valor_asignado!$B:$B,0))^2+INDEX(valor_asignado!$H:$H,MATCH(B32,valor_asignado!$B:$B,0))^2))</f>
        <v>0.684181835698751</v>
      </c>
      <c r="I32" s="5" t="str">
        <f aca="false">IF(H32="","N/A",IF(ABS(H32)&lt;=2,"Satisfactorio",IF(ABS(H32)&lt;3,"Cuestionable","No satisfactorio")))</f>
        <v>Satisfactorio</v>
      </c>
      <c r="J32" s="4" t="n">
        <f aca="false">IF(OR(NOT(ISNUMBER(D32)),NOT(ISNUMBER(INDEX(valor_asignado!$C:$C,MATCH(B32,valor_asignado!$B:$B,0)))),NOT(ISNUMBER(SQRT(E32^2+INDEX(valor_asignado!$H:$H,MATCH(B32,valor_asignado!$B:$B,0))^2))),SQRT(E32^2+INDEX(valor_asignado!$H:$H,MATCH(B32,valor_asignado!$B:$B,0))^2)=0),"",(D32-INDEX(valor_asignado!$C:$C,MATCH(B32,valor_asignado!$B:$B,0)))/SQRT(E32^2+INDEX(valor_asignado!$H:$H,MATCH(B32,valor_asignado!$B:$B,0))^2))</f>
        <v>0.71604200379847</v>
      </c>
      <c r="K32" s="5" t="str">
        <f aca="false">IF(J32="","N/A",IF(ABS(J32)&lt;=2,"Satisfactorio",IF(ABS(J32)&lt;3,"Cuestionable","No satisfactorio")))</f>
        <v>Satisfactorio</v>
      </c>
      <c r="L32" s="4" t="n">
        <f aca="false">IF(OR(NOT(ISNUMBER(D32)),NOT(ISNUMBER(INDEX(valor_asignado!$C:$C,MATCH(B32,valor_asignado!$B:$B,0)))),NOT(ISNUMBER(SQRT((2*E32)^2+(2*INDEX(valor_asignado!$H:$H,MATCH(B32,valor_asignado!$B:$B,0)))^2))),SQRT((2*E32)^2+(2*INDEX(valor_asignado!$H:$H,MATCH(B32,valor_asignado!$B:$B,0)))^2)=0),"",(D32-INDEX(valor_asignado!$C:$C,MATCH(B32,valor_asignado!$B:$B,0)))/SQRT((2*E32)^2+(2*INDEX(valor_asignado!$H:$H,MATCH(B32,valor_asignado!$B:$B,0)))^2))</f>
        <v>0.358021001899235</v>
      </c>
      <c r="M32" s="5" t="str">
        <f aca="false">IF(L32="","N/A",IF(ABS(L32)&lt;=1,"Satisfactorio","No satisfactorio"))</f>
        <v>Satisfactorio</v>
      </c>
      <c r="N32" s="5" t="str">
        <f aca="false">IF(AND(SUM(IF(AND(D32="",validacion_snapshot!$U$79=""),0,IFERROR(ABS(D32-validacion_snapshot!$U$79),1E+099)),IF(AND(E32="",validacion_snapshot!$V$79=""),0,IFERROR(ABS(E32-validacion_snapshot!$V$79),1E+099)),IF(AND(F32="",validacion_snapshot!$W$79=""),0,IFERROR(ABS(F32-validacion_snapshot!$W$79),1E+099)),IF(AND(H32="",validacion_snapshot!$Y$79=""),0,IFERROR(ABS(H32-validacion_snapshot!$Y$79),1E+099)),IF(AND(J32="",validacion_snapshot!$AA$79=""),0,IFERROR(ABS(J32-validacion_snapshot!$AA$79),1E+099)),IF(AND(L32="",validacion_snapshot!$AC$79=""),0,IFERROR(ABS(L32-validacion_snapshot!$AC$79),1E+099)))&lt;=0.00000001,G32=validacion_snapshot!$X$79,I32=validacion_snapshot!$Z$79,K32=validacion_snapshot!$AB$79,M32=validacion_snapshot!$AD$79),"OK","FALLA")</f>
        <v>OK</v>
      </c>
    </row>
    <row r="33" customFormat="false" ht="15" hidden="false" customHeight="false" outlineLevel="0" collapsed="false">
      <c r="A33" s="3"/>
      <c r="B33" s="3" t="s">
        <v>193</v>
      </c>
      <c r="C33" s="3" t="s">
        <v>133</v>
      </c>
      <c r="D33" s="4" t="n">
        <f aca="false">INDEX(datos_participantes!$D:$D,MATCH(C33,datos_participantes!$A:$A,0))</f>
        <v>178.035</v>
      </c>
      <c r="E33" s="4" t="n">
        <f aca="false">INDEX(datos_participantes!$F:$F,MATCH(C33,datos_participantes!$A:$A,0))</f>
        <v>0.0202713981208594</v>
      </c>
      <c r="F33" s="4" t="n">
        <f aca="false">IF(OR(NOT(ISNUMBER(D33)),NOT(ISNUMBER(INDEX(valor_asignado!$C:$C,MATCH(B33,valor_asignado!$B:$B,0)))),NOT(ISNUMBER(INDEX(valor_asignado!$D:$D,MATCH(B33,valor_asignado!$B:$B,0)))),INDEX(valor_asignado!$D:$D,MATCH(B33,valor_asignado!$B:$B,0))=0),"",(D33-INDEX(valor_asignado!$C:$C,MATCH(B33,valor_asignado!$B:$B,0)))/INDEX(valor_asignado!$D:$D,MATCH(B33,valor_asignado!$B:$B,0)))</f>
        <v>-0.35726451186875</v>
      </c>
      <c r="G33" s="5" t="str">
        <f aca="false">IF(F33="","N/A",IF(ABS(F33)&lt;=2,"Satisfactorio",IF(ABS(F33)&lt;3,"Cuestionable","No satisfactorio")))</f>
        <v>Satisfactorio</v>
      </c>
      <c r="H33" s="4" t="n">
        <f aca="false">IF(OR(NOT(ISNUMBER(D33)),NOT(ISNUMBER(INDEX(valor_asignado!$C:$C,MATCH(B33,valor_asignado!$B:$B,0)))),NOT(ISNUMBER(SQRT(INDEX(valor_asignado!$D:$D,MATCH(B33,valor_asignado!$B:$B,0))^2+INDEX(valor_asignado!$H:$H,MATCH(B33,valor_asignado!$B:$B,0))^2))),SQRT(INDEX(valor_asignado!$D:$D,MATCH(B33,valor_asignado!$B:$B,0))^2+INDEX(valor_asignado!$H:$H,MATCH(B33,valor_asignado!$B:$B,0))^2)=0),"",(D33-INDEX(valor_asignado!$C:$C,MATCH(B33,valor_asignado!$B:$B,0)))/SQRT(INDEX(valor_asignado!$D:$D,MATCH(B33,valor_asignado!$B:$B,0))^2+INDEX(valor_asignado!$H:$H,MATCH(B33,valor_asignado!$B:$B,0))^2))</f>
        <v>-0.1204123122841</v>
      </c>
      <c r="I33" s="5" t="str">
        <f aca="false">IF(H33="","N/A",IF(ABS(H33)&lt;=2,"Satisfactorio",IF(ABS(H33)&lt;3,"Cuestionable","No satisfactorio")))</f>
        <v>Satisfactorio</v>
      </c>
      <c r="J33" s="4" t="n">
        <f aca="false">IF(OR(NOT(ISNUMBER(D33)),NOT(ISNUMBER(INDEX(valor_asignado!$C:$C,MATCH(B33,valor_asignado!$B:$B,0)))),NOT(ISNUMBER(SQRT(E33^2+INDEX(valor_asignado!$H:$H,MATCH(B33,valor_asignado!$B:$B,0))^2))),SQRT(E33^2+INDEX(valor_asignado!$H:$H,MATCH(B33,valor_asignado!$B:$B,0))^2)=0),"",(D33-INDEX(valor_asignado!$C:$C,MATCH(B33,valor_asignado!$B:$B,0)))/SQRT(E33^2+INDEX(valor_asignado!$H:$H,MATCH(B33,valor_asignado!$B:$B,0))^2))</f>
        <v>-0.127881220970999</v>
      </c>
      <c r="K33" s="5" t="str">
        <f aca="false">IF(J33="","N/A",IF(ABS(J33)&lt;=2,"Satisfactorio",IF(ABS(J33)&lt;3,"Cuestionable","No satisfactorio")))</f>
        <v>Satisfactorio</v>
      </c>
      <c r="L33" s="4" t="n">
        <f aca="false">IF(OR(NOT(ISNUMBER(D33)),NOT(ISNUMBER(INDEX(valor_asignado!$C:$C,MATCH(B33,valor_asignado!$B:$B,0)))),NOT(ISNUMBER(SQRT((2*E33)^2+(2*INDEX(valor_asignado!$H:$H,MATCH(B33,valor_asignado!$B:$B,0)))^2))),SQRT((2*E33)^2+(2*INDEX(valor_asignado!$H:$H,MATCH(B33,valor_asignado!$B:$B,0)))^2)=0),"",(D33-INDEX(valor_asignado!$C:$C,MATCH(B33,valor_asignado!$B:$B,0)))/SQRT((2*E33)^2+(2*INDEX(valor_asignado!$H:$H,MATCH(B33,valor_asignado!$B:$B,0)))^2))</f>
        <v>-0.0639406104854994</v>
      </c>
      <c r="M33" s="5" t="str">
        <f aca="false">IF(L33="","N/A",IF(ABS(L33)&lt;=1,"Satisfactorio","No satisfactorio"))</f>
        <v>Satisfactorio</v>
      </c>
      <c r="N33" s="5" t="str">
        <f aca="false">IF(AND(SUM(IF(AND(D33="",validacion_snapshot!$U$80=""),0,IFERROR(ABS(D33-validacion_snapshot!$U$80),1E+099)),IF(AND(E33="",validacion_snapshot!$V$80=""),0,IFERROR(ABS(E33-validacion_snapshot!$V$80),1E+099)),IF(AND(F33="",validacion_snapshot!$W$80=""),0,IFERROR(ABS(F33-validacion_snapshot!$W$80),1E+099)),IF(AND(H33="",validacion_snapshot!$Y$80=""),0,IFERROR(ABS(H33-validacion_snapshot!$Y$80),1E+099)),IF(AND(J33="",validacion_snapshot!$AA$80=""),0,IFERROR(ABS(J33-validacion_snapshot!$AA$80),1E+099)),IF(AND(L33="",validacion_snapshot!$AC$80=""),0,IFERROR(ABS(L33-validacion_snapshot!$AC$80),1E+099)))&lt;=0.00000001,G33=validacion_snapshot!$X$80,I33=validacion_snapshot!$Z$80,K33=validacion_snapshot!$AB$80,M33=validacion_snapshot!$AD$80),"OK","FALLA")</f>
        <v>OK</v>
      </c>
    </row>
    <row r="34" customFormat="false" ht="15" hidden="false" customHeight="false" outlineLevel="0" collapsed="false">
      <c r="A34" s="3"/>
      <c r="B34" s="3" t="s">
        <v>193</v>
      </c>
      <c r="C34" s="3" t="s">
        <v>134</v>
      </c>
      <c r="D34" s="4" t="n">
        <f aca="false">INDEX(datos_participantes!$D:$D,MATCH(C34,datos_participantes!$A:$A,0))</f>
        <v>178.152666666667</v>
      </c>
      <c r="E34" s="4" t="n">
        <f aca="false">INDEX(datos_participantes!$F:$F,MATCH(C34,datos_participantes!$A:$A,0))</f>
        <v>0.498874552692086</v>
      </c>
      <c r="F34" s="4" t="n">
        <f aca="false">IF(OR(NOT(ISNUMBER(D34)),NOT(ISNUMBER(INDEX(valor_asignado!$C:$C,MATCH(B34,valor_asignado!$B:$B,0)))),NOT(ISNUMBER(INDEX(valor_asignado!$D:$D,MATCH(B34,valor_asignado!$B:$B,0)))),INDEX(valor_asignado!$D:$D,MATCH(B34,valor_asignado!$B:$B,0))=0),"",(D34-INDEX(valor_asignado!$C:$C,MATCH(B34,valor_asignado!$B:$B,0)))/INDEX(valor_asignado!$D:$D,MATCH(B34,valor_asignado!$B:$B,0)))</f>
        <v>-0.115666096753784</v>
      </c>
      <c r="G34" s="5" t="str">
        <f aca="false">IF(F34="","N/A",IF(ABS(F34)&lt;=2,"Satisfactorio",IF(ABS(F34)&lt;3,"Cuestionable","No satisfactorio")))</f>
        <v>Satisfactorio</v>
      </c>
      <c r="H34" s="4" t="n">
        <f aca="false">IF(OR(NOT(ISNUMBER(D34)),NOT(ISNUMBER(INDEX(valor_asignado!$C:$C,MATCH(B34,valor_asignado!$B:$B,0)))),NOT(ISNUMBER(SQRT(INDEX(valor_asignado!$D:$D,MATCH(B34,valor_asignado!$B:$B,0))^2+INDEX(valor_asignado!$H:$H,MATCH(B34,valor_asignado!$B:$B,0))^2))),SQRT(INDEX(valor_asignado!$D:$D,MATCH(B34,valor_asignado!$B:$B,0))^2+INDEX(valor_asignado!$H:$H,MATCH(B34,valor_asignado!$B:$B,0))^2)=0),"",(D34-INDEX(valor_asignado!$C:$C,MATCH(B34,valor_asignado!$B:$B,0)))/SQRT(INDEX(valor_asignado!$D:$D,MATCH(B34,valor_asignado!$B:$B,0))^2+INDEX(valor_asignado!$H:$H,MATCH(B34,valor_asignado!$B:$B,0))^2))</f>
        <v>-0.038984062789075</v>
      </c>
      <c r="I34" s="5" t="str">
        <f aca="false">IF(H34="","N/A",IF(ABS(H34)&lt;=2,"Satisfactorio",IF(ABS(H34)&lt;3,"Cuestionable","No satisfactorio")))</f>
        <v>Satisfactorio</v>
      </c>
      <c r="J34" s="4" t="n">
        <f aca="false">IF(OR(NOT(ISNUMBER(D34)),NOT(ISNUMBER(INDEX(valor_asignado!$C:$C,MATCH(B34,valor_asignado!$B:$B,0)))),NOT(ISNUMBER(SQRT(E34^2+INDEX(valor_asignado!$H:$H,MATCH(B34,valor_asignado!$B:$B,0))^2))),SQRT(E34^2+INDEX(valor_asignado!$H:$H,MATCH(B34,valor_asignado!$B:$B,0))^2)=0),"",(D34-INDEX(valor_asignado!$C:$C,MATCH(B34,valor_asignado!$B:$B,0)))/SQRT(E34^2+INDEX(valor_asignado!$H:$H,MATCH(B34,valor_asignado!$B:$B,0))^2))</f>
        <v>-0.0388755479576856</v>
      </c>
      <c r="K34" s="5" t="str">
        <f aca="false">IF(J34="","N/A",IF(ABS(J34)&lt;=2,"Satisfactorio",IF(ABS(J34)&lt;3,"Cuestionable","No satisfactorio")))</f>
        <v>Satisfactorio</v>
      </c>
      <c r="L34" s="4" t="n">
        <f aca="false">IF(OR(NOT(ISNUMBER(D34)),NOT(ISNUMBER(INDEX(valor_asignado!$C:$C,MATCH(B34,valor_asignado!$B:$B,0)))),NOT(ISNUMBER(SQRT((2*E34)^2+(2*INDEX(valor_asignado!$H:$H,MATCH(B34,valor_asignado!$B:$B,0)))^2))),SQRT((2*E34)^2+(2*INDEX(valor_asignado!$H:$H,MATCH(B34,valor_asignado!$B:$B,0)))^2)=0),"",(D34-INDEX(valor_asignado!$C:$C,MATCH(B34,valor_asignado!$B:$B,0)))/SQRT((2*E34)^2+(2*INDEX(valor_asignado!$H:$H,MATCH(B34,valor_asignado!$B:$B,0)))^2))</f>
        <v>-0.0194377739788428</v>
      </c>
      <c r="M34" s="5" t="str">
        <f aca="false">IF(L34="","N/A",IF(ABS(L34)&lt;=1,"Satisfactorio","No satisfactorio"))</f>
        <v>Satisfactorio</v>
      </c>
      <c r="N34" s="5" t="str">
        <f aca="false">IF(AND(SUM(IF(AND(D34="",validacion_snapshot!$U$81=""),0,IFERROR(ABS(D34-validacion_snapshot!$U$81),1E+099)),IF(AND(E34="",validacion_snapshot!$V$81=""),0,IFERROR(ABS(E34-validacion_snapshot!$V$81),1E+099)),IF(AND(F34="",validacion_snapshot!$W$81=""),0,IFERROR(ABS(F34-validacion_snapshot!$W$81),1E+099)),IF(AND(H34="",validacion_snapshot!$Y$81=""),0,IFERROR(ABS(H34-validacion_snapshot!$Y$81),1E+099)),IF(AND(J34="",validacion_snapshot!$AA$81=""),0,IFERROR(ABS(J34-validacion_snapshot!$AA$81),1E+099)),IF(AND(L34="",validacion_snapshot!$AC$81=""),0,IFERROR(ABS(L34-validacion_snapshot!$AC$81),1E+099)))&lt;=0.00000001,G34=validacion_snapshot!$X$81,I34=validacion_snapshot!$Z$81,K34=validacion_snapshot!$AB$81,M34=validacion_snapshot!$AD$81),"OK","FALLA")</f>
        <v>OK</v>
      </c>
    </row>
    <row r="35" customFormat="false" ht="15" hidden="false" customHeight="false" outlineLevel="0" collapsed="false">
      <c r="A35" s="3"/>
      <c r="B35" s="3" t="s">
        <v>193</v>
      </c>
      <c r="C35" s="3" t="s">
        <v>135</v>
      </c>
      <c r="D35" s="4" t="n">
        <f aca="false">INDEX(datos_participantes!$D:$D,MATCH(C35,datos_participantes!$A:$A,0))</f>
        <v>178.290666666667</v>
      </c>
      <c r="E35" s="4" t="n">
        <f aca="false">INDEX(datos_participantes!$F:$F,MATCH(C35,datos_participantes!$A:$A,0))</f>
        <v>0.355089886356072</v>
      </c>
      <c r="F35" s="4" t="n">
        <f aca="false">IF(OR(NOT(ISNUMBER(D35)),NOT(ISNUMBER(INDEX(valor_asignado!$C:$C,MATCH(B35,valor_asignado!$B:$B,0)))),NOT(ISNUMBER(INDEX(valor_asignado!$D:$D,MATCH(B35,valor_asignado!$B:$B,0)))),INDEX(valor_asignado!$D:$D,MATCH(B35,valor_asignado!$B:$B,0))=0),"",(D35-INDEX(valor_asignado!$C:$C,MATCH(B35,valor_asignado!$B:$B,0)))/INDEX(valor_asignado!$D:$D,MATCH(B35,valor_asignado!$B:$B,0)))</f>
        <v>0.167681619555914</v>
      </c>
      <c r="G35" s="5" t="str">
        <f aca="false">IF(F35="","N/A",IF(ABS(F35)&lt;=2,"Satisfactorio",IF(ABS(F35)&lt;3,"Cuestionable","No satisfactorio")))</f>
        <v>Satisfactorio</v>
      </c>
      <c r="H35" s="4" t="n">
        <f aca="false">IF(OR(NOT(ISNUMBER(D35)),NOT(ISNUMBER(INDEX(valor_asignado!$C:$C,MATCH(B35,valor_asignado!$B:$B,0)))),NOT(ISNUMBER(SQRT(INDEX(valor_asignado!$D:$D,MATCH(B35,valor_asignado!$B:$B,0))^2+INDEX(valor_asignado!$H:$H,MATCH(B35,valor_asignado!$B:$B,0))^2))),SQRT(INDEX(valor_asignado!$D:$D,MATCH(B35,valor_asignado!$B:$B,0))^2+INDEX(valor_asignado!$H:$H,MATCH(B35,valor_asignado!$B:$B,0))^2)=0),"",(D35-INDEX(valor_asignado!$C:$C,MATCH(B35,valor_asignado!$B:$B,0)))/SQRT(INDEX(valor_asignado!$D:$D,MATCH(B35,valor_asignado!$B:$B,0))^2+INDEX(valor_asignado!$H:$H,MATCH(B35,valor_asignado!$B:$B,0))^2))</f>
        <v>0.0565153572983148</v>
      </c>
      <c r="I35" s="5" t="str">
        <f aca="false">IF(H35="","N/A",IF(ABS(H35)&lt;=2,"Satisfactorio",IF(ABS(H35)&lt;3,"Cuestionable","No satisfactorio")))</f>
        <v>Satisfactorio</v>
      </c>
      <c r="J35" s="4" t="n">
        <f aca="false">IF(OR(NOT(ISNUMBER(D35)),NOT(ISNUMBER(INDEX(valor_asignado!$C:$C,MATCH(B35,valor_asignado!$B:$B,0)))),NOT(ISNUMBER(SQRT(E35^2+INDEX(valor_asignado!$H:$H,MATCH(B35,valor_asignado!$B:$B,0))^2))),SQRT(E35^2+INDEX(valor_asignado!$H:$H,MATCH(B35,valor_asignado!$B:$B,0))^2)=0),"",(D35-INDEX(valor_asignado!$C:$C,MATCH(B35,valor_asignado!$B:$B,0)))/SQRT(E35^2+INDEX(valor_asignado!$H:$H,MATCH(B35,valor_asignado!$B:$B,0))^2))</f>
        <v>0.058081805481463</v>
      </c>
      <c r="K35" s="5" t="str">
        <f aca="false">IF(J35="","N/A",IF(ABS(J35)&lt;=2,"Satisfactorio",IF(ABS(J35)&lt;3,"Cuestionable","No satisfactorio")))</f>
        <v>Satisfactorio</v>
      </c>
      <c r="L35" s="4" t="n">
        <f aca="false">IF(OR(NOT(ISNUMBER(D35)),NOT(ISNUMBER(INDEX(valor_asignado!$C:$C,MATCH(B35,valor_asignado!$B:$B,0)))),NOT(ISNUMBER(SQRT((2*E35)^2+(2*INDEX(valor_asignado!$H:$H,MATCH(B35,valor_asignado!$B:$B,0)))^2))),SQRT((2*E35)^2+(2*INDEX(valor_asignado!$H:$H,MATCH(B35,valor_asignado!$B:$B,0)))^2)=0),"",(D35-INDEX(valor_asignado!$C:$C,MATCH(B35,valor_asignado!$B:$B,0)))/SQRT((2*E35)^2+(2*INDEX(valor_asignado!$H:$H,MATCH(B35,valor_asignado!$B:$B,0)))^2))</f>
        <v>0.0290409027407315</v>
      </c>
      <c r="M35" s="5" t="str">
        <f aca="false">IF(L35="","N/A",IF(ABS(L35)&lt;=1,"Satisfactorio","No satisfactorio"))</f>
        <v>Satisfactorio</v>
      </c>
      <c r="N35" s="5" t="str">
        <f aca="false">IF(AND(SUM(IF(AND(D35="",validacion_snapshot!$U$82=""),0,IFERROR(ABS(D35-validacion_snapshot!$U$82),1E+099)),IF(AND(E35="",validacion_snapshot!$V$82=""),0,IFERROR(ABS(E35-validacion_snapshot!$V$82),1E+099)),IF(AND(F35="",validacion_snapshot!$W$82=""),0,IFERROR(ABS(F35-validacion_snapshot!$W$82),1E+099)),IF(AND(H35="",validacion_snapshot!$Y$82=""),0,IFERROR(ABS(H35-validacion_snapshot!$Y$82),1E+099)),IF(AND(J35="",validacion_snapshot!$AA$82=""),0,IFERROR(ABS(J35-validacion_snapshot!$AA$82),1E+099)),IF(AND(L35="",validacion_snapshot!$AC$82=""),0,IFERROR(ABS(L35-validacion_snapshot!$AC$82),1E+099)))&lt;=0.00000001,G35=validacion_snapshot!$X$82,I35=validacion_snapshot!$Z$82,K35=validacion_snapshot!$AB$82,M35=validacion_snapshot!$AD$82),"OK","FALLA")</f>
        <v>OK</v>
      </c>
    </row>
    <row r="36" customFormat="false" ht="15" hidden="false" customHeight="false" outlineLevel="0" collapsed="false">
      <c r="A36" s="3"/>
      <c r="B36" s="3" t="s">
        <v>193</v>
      </c>
      <c r="C36" s="3" t="s">
        <v>136</v>
      </c>
      <c r="D36" s="4" t="n">
        <f aca="false">INDEX(datos_participantes!$D:$D,MATCH(C36,datos_participantes!$A:$A,0))</f>
        <v>177.998333333333</v>
      </c>
      <c r="E36" s="4" t="n">
        <f aca="false">INDEX(datos_participantes!$F:$F,MATCH(C36,datos_participantes!$A:$A,0))</f>
        <v>0.46269516615466</v>
      </c>
      <c r="F36" s="4" t="n">
        <f aca="false">IF(OR(NOT(ISNUMBER(D36)),NOT(ISNUMBER(INDEX(valor_asignado!$C:$C,MATCH(B36,valor_asignado!$B:$B,0)))),NOT(ISNUMBER(INDEX(valor_asignado!$D:$D,MATCH(B36,valor_asignado!$B:$B,0)))),INDEX(valor_asignado!$D:$D,MATCH(B36,valor_asignado!$B:$B,0))=0),"",(D36-INDEX(valor_asignado!$C:$C,MATCH(B36,valor_asignado!$B:$B,0)))/INDEX(valor_asignado!$D:$D,MATCH(B36,valor_asignado!$B:$B,0)))</f>
        <v>-0.432550136975879</v>
      </c>
      <c r="G36" s="5" t="str">
        <f aca="false">IF(F36="","N/A",IF(ABS(F36)&lt;=2,"Satisfactorio",IF(ABS(F36)&lt;3,"Cuestionable","No satisfactorio")))</f>
        <v>Satisfactorio</v>
      </c>
      <c r="H36" s="4" t="n">
        <f aca="false">IF(OR(NOT(ISNUMBER(D36)),NOT(ISNUMBER(INDEX(valor_asignado!$C:$C,MATCH(B36,valor_asignado!$B:$B,0)))),NOT(ISNUMBER(SQRT(INDEX(valor_asignado!$D:$D,MATCH(B36,valor_asignado!$B:$B,0))^2+INDEX(valor_asignado!$H:$H,MATCH(B36,valor_asignado!$B:$B,0))^2))),SQRT(INDEX(valor_asignado!$D:$D,MATCH(B36,valor_asignado!$B:$B,0))^2+INDEX(valor_asignado!$H:$H,MATCH(B36,valor_asignado!$B:$B,0))^2)=0),"",(D36-INDEX(valor_asignado!$C:$C,MATCH(B36,valor_asignado!$B:$B,0)))/SQRT(INDEX(valor_asignado!$D:$D,MATCH(B36,valor_asignado!$B:$B,0))^2+INDEX(valor_asignado!$H:$H,MATCH(B36,valor_asignado!$B:$B,0))^2))</f>
        <v>-0.145786554336537</v>
      </c>
      <c r="I36" s="5" t="str">
        <f aca="false">IF(H36="","N/A",IF(ABS(H36)&lt;=2,"Satisfactorio",IF(ABS(H36)&lt;3,"Cuestionable","No satisfactorio")))</f>
        <v>Satisfactorio</v>
      </c>
      <c r="J36" s="4" t="n">
        <f aca="false">IF(OR(NOT(ISNUMBER(D36)),NOT(ISNUMBER(INDEX(valor_asignado!$C:$C,MATCH(B36,valor_asignado!$B:$B,0)))),NOT(ISNUMBER(SQRT(E36^2+INDEX(valor_asignado!$H:$H,MATCH(B36,valor_asignado!$B:$B,0))^2))),SQRT(E36^2+INDEX(valor_asignado!$H:$H,MATCH(B36,valor_asignado!$B:$B,0))^2)=0),"",(D36-INDEX(valor_asignado!$C:$C,MATCH(B36,valor_asignado!$B:$B,0)))/SQRT(E36^2+INDEX(valor_asignado!$H:$H,MATCH(B36,valor_asignado!$B:$B,0))^2))</f>
        <v>-0.146600239266924</v>
      </c>
      <c r="K36" s="5" t="str">
        <f aca="false">IF(J36="","N/A",IF(ABS(J36)&lt;=2,"Satisfactorio",IF(ABS(J36)&lt;3,"Cuestionable","No satisfactorio")))</f>
        <v>Satisfactorio</v>
      </c>
      <c r="L36" s="4" t="n">
        <f aca="false">IF(OR(NOT(ISNUMBER(D36)),NOT(ISNUMBER(INDEX(valor_asignado!$C:$C,MATCH(B36,valor_asignado!$B:$B,0)))),NOT(ISNUMBER(SQRT((2*E36)^2+(2*INDEX(valor_asignado!$H:$H,MATCH(B36,valor_asignado!$B:$B,0)))^2))),SQRT((2*E36)^2+(2*INDEX(valor_asignado!$H:$H,MATCH(B36,valor_asignado!$B:$B,0)))^2)=0),"",(D36-INDEX(valor_asignado!$C:$C,MATCH(B36,valor_asignado!$B:$B,0)))/SQRT((2*E36)^2+(2*INDEX(valor_asignado!$H:$H,MATCH(B36,valor_asignado!$B:$B,0)))^2))</f>
        <v>-0.0733001196334619</v>
      </c>
      <c r="M36" s="5" t="str">
        <f aca="false">IF(L36="","N/A",IF(ABS(L36)&lt;=1,"Satisfactorio","No satisfactorio"))</f>
        <v>Satisfactorio</v>
      </c>
      <c r="N36" s="5" t="str">
        <f aca="false">IF(AND(SUM(IF(AND(D36="",validacion_snapshot!$U$83=""),0,IFERROR(ABS(D36-validacion_snapshot!$U$83),1E+099)),IF(AND(E36="",validacion_snapshot!$V$83=""),0,IFERROR(ABS(E36-validacion_snapshot!$V$83),1E+099)),IF(AND(F36="",validacion_snapshot!$W$83=""),0,IFERROR(ABS(F36-validacion_snapshot!$W$83),1E+099)),IF(AND(H36="",validacion_snapshot!$Y$83=""),0,IFERROR(ABS(H36-validacion_snapshot!$Y$83),1E+099)),IF(AND(J36="",validacion_snapshot!$AA$83=""),0,IFERROR(ABS(J36-validacion_snapshot!$AA$83),1E+099)),IF(AND(L36="",validacion_snapshot!$AC$83=""),0,IFERROR(ABS(L36-validacion_snapshot!$AC$83),1E+099)))&lt;=0.00000001,G36=validacion_snapshot!$X$83,I36=validacion_snapshot!$Z$83,K36=validacion_snapshot!$AB$83,M36=validacion_snapshot!$AD$83),"OK","FALLA")</f>
        <v>OK</v>
      </c>
    </row>
    <row r="37" customFormat="false" ht="15" hidden="false" customHeight="false" outlineLevel="0" collapsed="false">
      <c r="A37" s="3"/>
      <c r="B37" s="3" t="s">
        <v>193</v>
      </c>
      <c r="C37" s="3" t="s">
        <v>137</v>
      </c>
      <c r="D37" s="4" t="n">
        <f aca="false">INDEX(datos_participantes!$D:$D,MATCH(C37,datos_participantes!$A:$A,0))</f>
        <v>178.265333333333</v>
      </c>
      <c r="E37" s="4" t="n">
        <f aca="false">INDEX(datos_participantes!$F:$F,MATCH(C37,datos_participantes!$A:$A,0))</f>
        <v>0.236972481628575</v>
      </c>
      <c r="F37" s="4" t="n">
        <f aca="false">IF(OR(NOT(ISNUMBER(D37)),NOT(ISNUMBER(INDEX(valor_asignado!$C:$C,MATCH(B37,valor_asignado!$B:$B,0)))),NOT(ISNUMBER(INDEX(valor_asignado!$D:$D,MATCH(B37,valor_asignado!$B:$B,0)))),INDEX(valor_asignado!$D:$D,MATCH(B37,valor_asignado!$B:$B,0))=0),"",(D37-INDEX(valor_asignado!$C:$C,MATCH(B37,valor_asignado!$B:$B,0)))/INDEX(valor_asignado!$D:$D,MATCH(B37,valor_asignado!$B:$B,0)))</f>
        <v>0.115666096753726</v>
      </c>
      <c r="G37" s="5" t="str">
        <f aca="false">IF(F37="","N/A",IF(ABS(F37)&lt;=2,"Satisfactorio",IF(ABS(F37)&lt;3,"Cuestionable","No satisfactorio")))</f>
        <v>Satisfactorio</v>
      </c>
      <c r="H37" s="4" t="n">
        <f aca="false">IF(OR(NOT(ISNUMBER(D37)),NOT(ISNUMBER(INDEX(valor_asignado!$C:$C,MATCH(B37,valor_asignado!$B:$B,0)))),NOT(ISNUMBER(SQRT(INDEX(valor_asignado!$D:$D,MATCH(B37,valor_asignado!$B:$B,0))^2+INDEX(valor_asignado!$H:$H,MATCH(B37,valor_asignado!$B:$B,0))^2))),SQRT(INDEX(valor_asignado!$D:$D,MATCH(B37,valor_asignado!$B:$B,0))^2+INDEX(valor_asignado!$H:$H,MATCH(B37,valor_asignado!$B:$B,0))^2)=0),"",(D37-INDEX(valor_asignado!$C:$C,MATCH(B37,valor_asignado!$B:$B,0)))/SQRT(INDEX(valor_asignado!$D:$D,MATCH(B37,valor_asignado!$B:$B,0))^2+INDEX(valor_asignado!$H:$H,MATCH(B37,valor_asignado!$B:$B,0))^2))</f>
        <v>0.0389840627890553</v>
      </c>
      <c r="I37" s="5" t="str">
        <f aca="false">IF(H37="","N/A",IF(ABS(H37)&lt;=2,"Satisfactorio",IF(ABS(H37)&lt;3,"Cuestionable","No satisfactorio")))</f>
        <v>Satisfactorio</v>
      </c>
      <c r="J37" s="4" t="n">
        <f aca="false">IF(OR(NOT(ISNUMBER(D37)),NOT(ISNUMBER(INDEX(valor_asignado!$C:$C,MATCH(B37,valor_asignado!$B:$B,0)))),NOT(ISNUMBER(SQRT(E37^2+INDEX(valor_asignado!$H:$H,MATCH(B37,valor_asignado!$B:$B,0))^2))),SQRT(E37^2+INDEX(valor_asignado!$H:$H,MATCH(B37,valor_asignado!$B:$B,0))^2)=0),"",(D37-INDEX(valor_asignado!$C:$C,MATCH(B37,valor_asignado!$B:$B,0)))/SQRT(E37^2+INDEX(valor_asignado!$H:$H,MATCH(B37,valor_asignado!$B:$B,0))^2))</f>
        <v>0.0407925657029517</v>
      </c>
      <c r="K37" s="5" t="str">
        <f aca="false">IF(J37="","N/A",IF(ABS(J37)&lt;=2,"Satisfactorio",IF(ABS(J37)&lt;3,"Cuestionable","No satisfactorio")))</f>
        <v>Satisfactorio</v>
      </c>
      <c r="L37" s="4" t="n">
        <f aca="false">IF(OR(NOT(ISNUMBER(D37)),NOT(ISNUMBER(INDEX(valor_asignado!$C:$C,MATCH(B37,valor_asignado!$B:$B,0)))),NOT(ISNUMBER(SQRT((2*E37)^2+(2*INDEX(valor_asignado!$H:$H,MATCH(B37,valor_asignado!$B:$B,0)))^2))),SQRT((2*E37)^2+(2*INDEX(valor_asignado!$H:$H,MATCH(B37,valor_asignado!$B:$B,0)))^2)=0),"",(D37-INDEX(valor_asignado!$C:$C,MATCH(B37,valor_asignado!$B:$B,0)))/SQRT((2*E37)^2+(2*INDEX(valor_asignado!$H:$H,MATCH(B37,valor_asignado!$B:$B,0)))^2))</f>
        <v>0.0203962828514759</v>
      </c>
      <c r="M37" s="5" t="str">
        <f aca="false">IF(L37="","N/A",IF(ABS(L37)&lt;=1,"Satisfactorio","No satisfactorio"))</f>
        <v>Satisfactorio</v>
      </c>
      <c r="N37" s="5" t="str">
        <f aca="false">IF(AND(SUM(IF(AND(D37="",validacion_snapshot!$U$84=""),0,IFERROR(ABS(D37-validacion_snapshot!$U$84),1E+099)),IF(AND(E37="",validacion_snapshot!$V$84=""),0,IFERROR(ABS(E37-validacion_snapshot!$V$84),1E+099)),IF(AND(F37="",validacion_snapshot!$W$84=""),0,IFERROR(ABS(F37-validacion_snapshot!$W$84),1E+099)),IF(AND(H37="",validacion_snapshot!$Y$84=""),0,IFERROR(ABS(H37-validacion_snapshot!$Y$84),1E+099)),IF(AND(J37="",validacion_snapshot!$AA$84=""),0,IFERROR(ABS(J37-validacion_snapshot!$AA$84),1E+099)),IF(AND(L37="",validacion_snapshot!$AC$84=""),0,IFERROR(ABS(L37-validacion_snapshot!$AC$84),1E+099)))&lt;=0.00000001,G37=validacion_snapshot!$X$84,I37=validacion_snapshot!$Z$84,K37=validacion_snapshot!$AB$84,M37=validacion_snapshot!$AD$84),"OK","FALLA")</f>
        <v>OK</v>
      </c>
    </row>
    <row r="38" customFormat="false" ht="15" hidden="false" customHeight="false" outlineLevel="0" collapsed="false">
      <c r="A38" s="3"/>
      <c r="B38" s="3" t="s">
        <v>195</v>
      </c>
      <c r="C38" s="3" t="s">
        <v>126</v>
      </c>
      <c r="D38" s="4" t="n">
        <f aca="false">INDEX(datos_participantes!$D:$D,MATCH(C38,datos_participantes!$A:$A,0))</f>
        <v>178.722333333333</v>
      </c>
      <c r="E38" s="4" t="n">
        <f aca="false">INDEX(datos_participantes!$F:$F,MATCH(C38,datos_participantes!$A:$A,0))</f>
        <v>0.334578968165167</v>
      </c>
      <c r="F38" s="4" t="n">
        <f aca="false">IF(OR(NOT(ISNUMBER(D38)),NOT(ISNUMBER(INDEX(valor_asignado!$C:$C,MATCH(B38,valor_asignado!$B:$B,0)))),NOT(ISNUMBER(INDEX(valor_asignado!$D:$D,MATCH(B38,valor_asignado!$B:$B,0)))),INDEX(valor_asignado!$D:$D,MATCH(B38,valor_asignado!$B:$B,0))=0),"",(D38-INDEX(valor_asignado!$C:$C,MATCH(B38,valor_asignado!$B:$B,0)))/INDEX(valor_asignado!$D:$D,MATCH(B38,valor_asignado!$B:$B,0)))</f>
        <v>0.756850694291301</v>
      </c>
      <c r="G38" s="5" t="str">
        <f aca="false">IF(F38="","N/A",IF(ABS(F38)&lt;=2,"Satisfactorio",IF(ABS(F38)&lt;3,"Cuestionable","No satisfactorio")))</f>
        <v>Satisfactorio</v>
      </c>
      <c r="H38" s="4" t="n">
        <f aca="false">IF(OR(NOT(ISNUMBER(D38)),NOT(ISNUMBER(INDEX(valor_asignado!$C:$C,MATCH(B38,valor_asignado!$B:$B,0)))),NOT(ISNUMBER(SQRT(INDEX(valor_asignado!$D:$D,MATCH(B38,valor_asignado!$B:$B,0))^2+INDEX(valor_asignado!$H:$H,MATCH(B38,valor_asignado!$B:$B,0))^2))),SQRT(INDEX(valor_asignado!$D:$D,MATCH(B38,valor_asignado!$B:$B,0))^2+INDEX(valor_asignado!$H:$H,MATCH(B38,valor_asignado!$B:$B,0))^2)=0),"",(D38-INDEX(valor_asignado!$C:$C,MATCH(B38,valor_asignado!$B:$B,0)))/SQRT(INDEX(valor_asignado!$D:$D,MATCH(B38,valor_asignado!$B:$B,0))^2+INDEX(valor_asignado!$H:$H,MATCH(B38,valor_asignado!$B:$B,0))^2))</f>
        <v>0.25826756629995</v>
      </c>
      <c r="I38" s="5" t="str">
        <f aca="false">IF(H38="","N/A",IF(ABS(H38)&lt;=2,"Satisfactorio",IF(ABS(H38)&lt;3,"Cuestionable","No satisfactorio")))</f>
        <v>Satisfactorio</v>
      </c>
      <c r="J38" s="4" t="n">
        <f aca="false">IF(OR(NOT(ISNUMBER(D38)),NOT(ISNUMBER(INDEX(valor_asignado!$C:$C,MATCH(B38,valor_asignado!$B:$B,0)))),NOT(ISNUMBER(SQRT(E38^2+INDEX(valor_asignado!$H:$H,MATCH(B38,valor_asignado!$B:$B,0))^2))),SQRT(E38^2+INDEX(valor_asignado!$H:$H,MATCH(B38,valor_asignado!$B:$B,0))^2)=0),"",(D38-INDEX(valor_asignado!$C:$C,MATCH(B38,valor_asignado!$B:$B,0)))/SQRT(E38^2+INDEX(valor_asignado!$H:$H,MATCH(B38,valor_asignado!$B:$B,0))^2))</f>
        <v>0.266813491185681</v>
      </c>
      <c r="K38" s="5" t="str">
        <f aca="false">IF(J38="","N/A",IF(ABS(J38)&lt;=2,"Satisfactorio",IF(ABS(J38)&lt;3,"Cuestionable","No satisfactorio")))</f>
        <v>Satisfactorio</v>
      </c>
      <c r="L38" s="4" t="n">
        <f aca="false">IF(OR(NOT(ISNUMBER(D38)),NOT(ISNUMBER(INDEX(valor_asignado!$C:$C,MATCH(B38,valor_asignado!$B:$B,0)))),NOT(ISNUMBER(SQRT((2*E38)^2+(2*INDEX(valor_asignado!$H:$H,MATCH(B38,valor_asignado!$B:$B,0)))^2))),SQRT((2*E38)^2+(2*INDEX(valor_asignado!$H:$H,MATCH(B38,valor_asignado!$B:$B,0)))^2)=0),"",(D38-INDEX(valor_asignado!$C:$C,MATCH(B38,valor_asignado!$B:$B,0)))/SQRT((2*E38)^2+(2*INDEX(valor_asignado!$H:$H,MATCH(B38,valor_asignado!$B:$B,0)))^2))</f>
        <v>0.133406745592841</v>
      </c>
      <c r="M38" s="5" t="str">
        <f aca="false">IF(L38="","N/A",IF(ABS(L38)&lt;=1,"Satisfactorio","No satisfactorio"))</f>
        <v>Satisfactorio</v>
      </c>
      <c r="N38" s="5" t="str">
        <f aca="false">IF(AND(SUM(IF(AND(D38="",validacion_snapshot!$U$85=""),0,IFERROR(ABS(D38-validacion_snapshot!$U$85),1E+099)),IF(AND(E38="",validacion_snapshot!$V$85=""),0,IFERROR(ABS(E38-validacion_snapshot!$V$85),1E+099)),IF(AND(F38="",validacion_snapshot!$W$85=""),0,IFERROR(ABS(F38-validacion_snapshot!$W$85),1E+099)),IF(AND(H38="",validacion_snapshot!$Y$85=""),0,IFERROR(ABS(H38-validacion_snapshot!$Y$85),1E+099)),IF(AND(J38="",validacion_snapshot!$AA$85=""),0,IFERROR(ABS(J38-validacion_snapshot!$AA$85),1E+099)),IF(AND(L38="",validacion_snapshot!$AC$85=""),0,IFERROR(ABS(L38-validacion_snapshot!$AC$85),1E+099)))&lt;=0.00000001,G38=validacion_snapshot!$X$85,I38=validacion_snapshot!$Z$85,K38=validacion_snapshot!$AB$85,M38=validacion_snapshot!$AD$85),"OK","FALLA")</f>
        <v>OK</v>
      </c>
    </row>
    <row r="39" customFormat="false" ht="15" hidden="false" customHeight="false" outlineLevel="0" collapsed="false">
      <c r="A39" s="3"/>
      <c r="B39" s="3" t="s">
        <v>195</v>
      </c>
      <c r="C39" s="3" t="s">
        <v>127</v>
      </c>
      <c r="D39" s="4" t="n">
        <f aca="false">INDEX(datos_participantes!$D:$D,MATCH(C39,datos_participantes!$A:$A,0))</f>
        <v>177.981666666667</v>
      </c>
      <c r="E39" s="4" t="n">
        <f aca="false">INDEX(datos_participantes!$F:$F,MATCH(C39,datos_participantes!$A:$A,0))</f>
        <v>0.414358062941227</v>
      </c>
      <c r="F39" s="4" t="n">
        <f aca="false">IF(OR(NOT(ISNUMBER(D39)),NOT(ISNUMBER(INDEX(valor_asignado!$C:$C,MATCH(B39,valor_asignado!$B:$B,0)))),NOT(ISNUMBER(INDEX(valor_asignado!$D:$D,MATCH(B39,valor_asignado!$B:$B,0)))),INDEX(valor_asignado!$D:$D,MATCH(B39,valor_asignado!$B:$B,0))=0),"",(D39-INDEX(valor_asignado!$C:$C,MATCH(B39,valor_asignado!$B:$B,0)))/INDEX(valor_asignado!$D:$D,MATCH(B39,valor_asignado!$B:$B,0)))</f>
        <v>-0.742423790352039</v>
      </c>
      <c r="G39" s="5" t="str">
        <f aca="false">IF(F39="","N/A",IF(ABS(F39)&lt;=2,"Satisfactorio",IF(ABS(F39)&lt;3,"Cuestionable","No satisfactorio")))</f>
        <v>Satisfactorio</v>
      </c>
      <c r="H39" s="4" t="n">
        <f aca="false">IF(OR(NOT(ISNUMBER(D39)),NOT(ISNUMBER(INDEX(valor_asignado!$C:$C,MATCH(B39,valor_asignado!$B:$B,0)))),NOT(ISNUMBER(SQRT(INDEX(valor_asignado!$D:$D,MATCH(B39,valor_asignado!$B:$B,0))^2+INDEX(valor_asignado!$H:$H,MATCH(B39,valor_asignado!$B:$B,0))^2))),SQRT(INDEX(valor_asignado!$D:$D,MATCH(B39,valor_asignado!$B:$B,0))^2+INDEX(valor_asignado!$H:$H,MATCH(B39,valor_asignado!$B:$B,0))^2)=0),"",(D39-INDEX(valor_asignado!$C:$C,MATCH(B39,valor_asignado!$B:$B,0)))/SQRT(INDEX(valor_asignado!$D:$D,MATCH(B39,valor_asignado!$B:$B,0))^2+INDEX(valor_asignado!$H:$H,MATCH(B39,valor_asignado!$B:$B,0))^2))</f>
        <v>-0.253344532737663</v>
      </c>
      <c r="I39" s="5" t="str">
        <f aca="false">IF(H39="","N/A",IF(ABS(H39)&lt;=2,"Satisfactorio",IF(ABS(H39)&lt;3,"Cuestionable","No satisfactorio")))</f>
        <v>Satisfactorio</v>
      </c>
      <c r="J39" s="4" t="n">
        <f aca="false">IF(OR(NOT(ISNUMBER(D39)),NOT(ISNUMBER(INDEX(valor_asignado!$C:$C,MATCH(B39,valor_asignado!$B:$B,0)))),NOT(ISNUMBER(SQRT(E39^2+INDEX(valor_asignado!$H:$H,MATCH(B39,valor_asignado!$B:$B,0))^2))),SQRT(E39^2+INDEX(valor_asignado!$H:$H,MATCH(B39,valor_asignado!$B:$B,0))^2)=0),"",(D39-INDEX(valor_asignado!$C:$C,MATCH(B39,valor_asignado!$B:$B,0)))/SQRT(E39^2+INDEX(valor_asignado!$H:$H,MATCH(B39,valor_asignado!$B:$B,0))^2))</f>
        <v>-0.257834499226145</v>
      </c>
      <c r="K39" s="5" t="str">
        <f aca="false">IF(J39="","N/A",IF(ABS(J39)&lt;=2,"Satisfactorio",IF(ABS(J39)&lt;3,"Cuestionable","No satisfactorio")))</f>
        <v>Satisfactorio</v>
      </c>
      <c r="L39" s="4" t="n">
        <f aca="false">IF(OR(NOT(ISNUMBER(D39)),NOT(ISNUMBER(INDEX(valor_asignado!$C:$C,MATCH(B39,valor_asignado!$B:$B,0)))),NOT(ISNUMBER(SQRT((2*E39)^2+(2*INDEX(valor_asignado!$H:$H,MATCH(B39,valor_asignado!$B:$B,0)))^2))),SQRT((2*E39)^2+(2*INDEX(valor_asignado!$H:$H,MATCH(B39,valor_asignado!$B:$B,0)))^2)=0),"",(D39-INDEX(valor_asignado!$C:$C,MATCH(B39,valor_asignado!$B:$B,0)))/SQRT((2*E39)^2+(2*INDEX(valor_asignado!$H:$H,MATCH(B39,valor_asignado!$B:$B,0)))^2))</f>
        <v>-0.128917249613072</v>
      </c>
      <c r="M39" s="5" t="str">
        <f aca="false">IF(L39="","N/A",IF(ABS(L39)&lt;=1,"Satisfactorio","No satisfactorio"))</f>
        <v>Satisfactorio</v>
      </c>
      <c r="N39" s="5" t="str">
        <f aca="false">IF(AND(SUM(IF(AND(D39="",validacion_snapshot!$U$86=""),0,IFERROR(ABS(D39-validacion_snapshot!$U$86),1E+099)),IF(AND(E39="",validacion_snapshot!$V$86=""),0,IFERROR(ABS(E39-validacion_snapshot!$V$86),1E+099)),IF(AND(F39="",validacion_snapshot!$W$86=""),0,IFERROR(ABS(F39-validacion_snapshot!$W$86),1E+099)),IF(AND(H39="",validacion_snapshot!$Y$86=""),0,IFERROR(ABS(H39-validacion_snapshot!$Y$86),1E+099)),IF(AND(J39="",validacion_snapshot!$AA$86=""),0,IFERROR(ABS(J39-validacion_snapshot!$AA$86),1E+099)),IF(AND(L39="",validacion_snapshot!$AC$86=""),0,IFERROR(ABS(L39-validacion_snapshot!$AC$86),1E+099)))&lt;=0.00000001,G39=validacion_snapshot!$X$86,I39=validacion_snapshot!$Z$86,K39=validacion_snapshot!$AB$86,M39=validacion_snapshot!$AD$86),"OK","FALLA")</f>
        <v>OK</v>
      </c>
    </row>
    <row r="40" customFormat="false" ht="15" hidden="false" customHeight="false" outlineLevel="0" collapsed="false">
      <c r="A40" s="3"/>
      <c r="B40" s="3" t="s">
        <v>195</v>
      </c>
      <c r="C40" s="3" t="s">
        <v>128</v>
      </c>
      <c r="D40" s="4" t="n">
        <f aca="false">INDEX(datos_participantes!$D:$D,MATCH(C40,datos_participantes!$A:$A,0))</f>
        <v>179.610333333333</v>
      </c>
      <c r="E40" s="4" t="n">
        <f aca="false">INDEX(datos_participantes!$F:$F,MATCH(C40,datos_participantes!$A:$A,0))</f>
        <v>0.380761268150885</v>
      </c>
      <c r="F40" s="4" t="n">
        <f aca="false">IF(OR(NOT(ISNUMBER(D40)),NOT(ISNUMBER(INDEX(valor_asignado!$C:$C,MATCH(B40,valor_asignado!$B:$B,0)))),NOT(ISNUMBER(INDEX(valor_asignado!$D:$D,MATCH(B40,valor_asignado!$B:$B,0)))),INDEX(valor_asignado!$D:$D,MATCH(B40,valor_asignado!$B:$B,0))=0),"",(D40-INDEX(valor_asignado!$C:$C,MATCH(B40,valor_asignado!$B:$B,0)))/INDEX(valor_asignado!$D:$D,MATCH(B40,valor_asignado!$B:$B,0)))</f>
        <v>2.55436069748359</v>
      </c>
      <c r="G40" s="5" t="str">
        <f aca="false">IF(F40="","N/A",IF(ABS(F40)&lt;=2,"Satisfactorio",IF(ABS(F40)&lt;3,"Cuestionable","No satisfactorio")))</f>
        <v>Cuestionable</v>
      </c>
      <c r="H40" s="4" t="n">
        <f aca="false">IF(OR(NOT(ISNUMBER(D40)),NOT(ISNUMBER(INDEX(valor_asignado!$C:$C,MATCH(B40,valor_asignado!$B:$B,0)))),NOT(ISNUMBER(SQRT(INDEX(valor_asignado!$D:$D,MATCH(B40,valor_asignado!$B:$B,0))^2+INDEX(valor_asignado!$H:$H,MATCH(B40,valor_asignado!$B:$B,0))^2))),SQRT(INDEX(valor_asignado!$D:$D,MATCH(B40,valor_asignado!$B:$B,0))^2+INDEX(valor_asignado!$H:$H,MATCH(B40,valor_asignado!$B:$B,0))^2)=0),"",(D40-INDEX(valor_asignado!$C:$C,MATCH(B40,valor_asignado!$B:$B,0)))/SQRT(INDEX(valor_asignado!$D:$D,MATCH(B40,valor_asignado!$B:$B,0))^2+INDEX(valor_asignado!$H:$H,MATCH(B40,valor_asignado!$B:$B,0))^2))</f>
        <v>0.871649488819014</v>
      </c>
      <c r="I40" s="5" t="str">
        <f aca="false">IF(H40="","N/A",IF(ABS(H40)&lt;=2,"Satisfactorio",IF(ABS(H40)&lt;3,"Cuestionable","No satisfactorio")))</f>
        <v>Satisfactorio</v>
      </c>
      <c r="J40" s="4" t="n">
        <f aca="false">IF(OR(NOT(ISNUMBER(D40)),NOT(ISNUMBER(INDEX(valor_asignado!$C:$C,MATCH(B40,valor_asignado!$B:$B,0)))),NOT(ISNUMBER(SQRT(E40^2+INDEX(valor_asignado!$H:$H,MATCH(B40,valor_asignado!$B:$B,0))^2))),SQRT(E40^2+INDEX(valor_asignado!$H:$H,MATCH(B40,valor_asignado!$B:$B,0))^2)=0),"",(D40-INDEX(valor_asignado!$C:$C,MATCH(B40,valor_asignado!$B:$B,0)))/SQRT(E40^2+INDEX(valor_asignado!$H:$H,MATCH(B40,valor_asignado!$B:$B,0))^2))</f>
        <v>0.893011687054268</v>
      </c>
      <c r="K40" s="5" t="str">
        <f aca="false">IF(J40="","N/A",IF(ABS(J40)&lt;=2,"Satisfactorio",IF(ABS(J40)&lt;3,"Cuestionable","No satisfactorio")))</f>
        <v>Satisfactorio</v>
      </c>
      <c r="L40" s="4" t="n">
        <f aca="false">IF(OR(NOT(ISNUMBER(D40)),NOT(ISNUMBER(INDEX(valor_asignado!$C:$C,MATCH(B40,valor_asignado!$B:$B,0)))),NOT(ISNUMBER(SQRT((2*E40)^2+(2*INDEX(valor_asignado!$H:$H,MATCH(B40,valor_asignado!$B:$B,0)))^2))),SQRT((2*E40)^2+(2*INDEX(valor_asignado!$H:$H,MATCH(B40,valor_asignado!$B:$B,0)))^2)=0),"",(D40-INDEX(valor_asignado!$C:$C,MATCH(B40,valor_asignado!$B:$B,0)))/SQRT((2*E40)^2+(2*INDEX(valor_asignado!$H:$H,MATCH(B40,valor_asignado!$B:$B,0)))^2))</f>
        <v>0.446505843527134</v>
      </c>
      <c r="M40" s="5" t="str">
        <f aca="false">IF(L40="","N/A",IF(ABS(L40)&lt;=1,"Satisfactorio","No satisfactorio"))</f>
        <v>Satisfactorio</v>
      </c>
      <c r="N40" s="5" t="str">
        <f aca="false">IF(AND(SUM(IF(AND(D40="",validacion_snapshot!$U$87=""),0,IFERROR(ABS(D40-validacion_snapshot!$U$87),1E+099)),IF(AND(E40="",validacion_snapshot!$V$87=""),0,IFERROR(ABS(E40-validacion_snapshot!$V$87),1E+099)),IF(AND(F40="",validacion_snapshot!$W$87=""),0,IFERROR(ABS(F40-validacion_snapshot!$W$87),1E+099)),IF(AND(H40="",validacion_snapshot!$Y$87=""),0,IFERROR(ABS(H40-validacion_snapshot!$Y$87),1E+099)),IF(AND(J40="",validacion_snapshot!$AA$87=""),0,IFERROR(ABS(J40-validacion_snapshot!$AA$87),1E+099)),IF(AND(L40="",validacion_snapshot!$AC$87=""),0,IFERROR(ABS(L40-validacion_snapshot!$AC$87),1E+099)))&lt;=0.00000001,G40=validacion_snapshot!$X$87,I40=validacion_snapshot!$Z$87,K40=validacion_snapshot!$AB$87,M40=validacion_snapshot!$AD$87),"OK","FALLA")</f>
        <v>OK</v>
      </c>
    </row>
    <row r="41" customFormat="false" ht="15" hidden="false" customHeight="false" outlineLevel="0" collapsed="false">
      <c r="A41" s="3"/>
      <c r="B41" s="3" t="s">
        <v>195</v>
      </c>
      <c r="C41" s="3" t="s">
        <v>129</v>
      </c>
      <c r="D41" s="4" t="n">
        <f aca="false">INDEX(datos_participantes!$D:$D,MATCH(C41,datos_participantes!$A:$A,0))</f>
        <v>178.669666666667</v>
      </c>
      <c r="E41" s="4" t="n">
        <f aca="false">INDEX(datos_participantes!$F:$F,MATCH(C41,datos_participantes!$A:$A,0))</f>
        <v>0.343658946047462</v>
      </c>
      <c r="F41" s="4" t="n">
        <f aca="false">IF(OR(NOT(ISNUMBER(D41)),NOT(ISNUMBER(INDEX(valor_asignado!$C:$C,MATCH(B41,valor_asignado!$B:$B,0)))),NOT(ISNUMBER(INDEX(valor_asignado!$D:$D,MATCH(B41,valor_asignado!$B:$B,0)))),INDEX(valor_asignado!$D:$D,MATCH(B41,valor_asignado!$B:$B,0))=0),"",(D41-INDEX(valor_asignado!$C:$C,MATCH(B41,valor_asignado!$B:$B,0)))/INDEX(valor_asignado!$D:$D,MATCH(B41,valor_asignado!$B:$B,0)))</f>
        <v>0.65024161752674</v>
      </c>
      <c r="G41" s="5" t="str">
        <f aca="false">IF(F41="","N/A",IF(ABS(F41)&lt;=2,"Satisfactorio",IF(ABS(F41)&lt;3,"Cuestionable","No satisfactorio")))</f>
        <v>Satisfactorio</v>
      </c>
      <c r="H41" s="4" t="n">
        <f aca="false">IF(OR(NOT(ISNUMBER(D41)),NOT(ISNUMBER(INDEX(valor_asignado!$C:$C,MATCH(B41,valor_asignado!$B:$B,0)))),NOT(ISNUMBER(SQRT(INDEX(valor_asignado!$D:$D,MATCH(B41,valor_asignado!$B:$B,0))^2+INDEX(valor_asignado!$H:$H,MATCH(B41,valor_asignado!$B:$B,0))^2))),SQRT(INDEX(valor_asignado!$D:$D,MATCH(B41,valor_asignado!$B:$B,0))^2+INDEX(valor_asignado!$H:$H,MATCH(B41,valor_asignado!$B:$B,0))^2)=0),"",(D41-INDEX(valor_asignado!$C:$C,MATCH(B41,valor_asignado!$B:$B,0)))/SQRT(INDEX(valor_asignado!$D:$D,MATCH(B41,valor_asignado!$B:$B,0))^2+INDEX(valor_asignado!$H:$H,MATCH(B41,valor_asignado!$B:$B,0))^2))</f>
        <v>0.221888308132988</v>
      </c>
      <c r="I41" s="5" t="str">
        <f aca="false">IF(H41="","N/A",IF(ABS(H41)&lt;=2,"Satisfactorio",IF(ABS(H41)&lt;3,"Cuestionable","No satisfactorio")))</f>
        <v>Satisfactorio</v>
      </c>
      <c r="J41" s="4" t="n">
        <f aca="false">IF(OR(NOT(ISNUMBER(D41)),NOT(ISNUMBER(INDEX(valor_asignado!$C:$C,MATCH(B41,valor_asignado!$B:$B,0)))),NOT(ISNUMBER(SQRT(E41^2+INDEX(valor_asignado!$H:$H,MATCH(B41,valor_asignado!$B:$B,0))^2))),SQRT(E41^2+INDEX(valor_asignado!$H:$H,MATCH(B41,valor_asignado!$B:$B,0))^2)=0),"",(D41-INDEX(valor_asignado!$C:$C,MATCH(B41,valor_asignado!$B:$B,0)))/SQRT(E41^2+INDEX(valor_asignado!$H:$H,MATCH(B41,valor_asignado!$B:$B,0))^2))</f>
        <v>0.228871871975236</v>
      </c>
      <c r="K41" s="5" t="str">
        <f aca="false">IF(J41="","N/A",IF(ABS(J41)&lt;=2,"Satisfactorio",IF(ABS(J41)&lt;3,"Cuestionable","No satisfactorio")))</f>
        <v>Satisfactorio</v>
      </c>
      <c r="L41" s="4" t="n">
        <f aca="false">IF(OR(NOT(ISNUMBER(D41)),NOT(ISNUMBER(INDEX(valor_asignado!$C:$C,MATCH(B41,valor_asignado!$B:$B,0)))),NOT(ISNUMBER(SQRT((2*E41)^2+(2*INDEX(valor_asignado!$H:$H,MATCH(B41,valor_asignado!$B:$B,0)))^2))),SQRT((2*E41)^2+(2*INDEX(valor_asignado!$H:$H,MATCH(B41,valor_asignado!$B:$B,0)))^2)=0),"",(D41-INDEX(valor_asignado!$C:$C,MATCH(B41,valor_asignado!$B:$B,0)))/SQRT((2*E41)^2+(2*INDEX(valor_asignado!$H:$H,MATCH(B41,valor_asignado!$B:$B,0)))^2))</f>
        <v>0.114435935987618</v>
      </c>
      <c r="M41" s="5" t="str">
        <f aca="false">IF(L41="","N/A",IF(ABS(L41)&lt;=1,"Satisfactorio","No satisfactorio"))</f>
        <v>Satisfactorio</v>
      </c>
      <c r="N41" s="5" t="str">
        <f aca="false">IF(AND(SUM(IF(AND(D41="",validacion_snapshot!$U$88=""),0,IFERROR(ABS(D41-validacion_snapshot!$U$88),1E+099)),IF(AND(E41="",validacion_snapshot!$V$88=""),0,IFERROR(ABS(E41-validacion_snapshot!$V$88),1E+099)),IF(AND(F41="",validacion_snapshot!$W$88=""),0,IFERROR(ABS(F41-validacion_snapshot!$W$88),1E+099)),IF(AND(H41="",validacion_snapshot!$Y$88=""),0,IFERROR(ABS(H41-validacion_snapshot!$Y$88),1E+099)),IF(AND(J41="",validacion_snapshot!$AA$88=""),0,IFERROR(ABS(J41-validacion_snapshot!$AA$88),1E+099)),IF(AND(L41="",validacion_snapshot!$AC$88=""),0,IFERROR(ABS(L41-validacion_snapshot!$AC$88),1E+099)))&lt;=0.00000001,G41=validacion_snapshot!$X$88,I41=validacion_snapshot!$Z$88,K41=validacion_snapshot!$AB$88,M41=validacion_snapshot!$AD$88),"OK","FALLA")</f>
        <v>OK</v>
      </c>
    </row>
    <row r="42" customFormat="false" ht="15" hidden="false" customHeight="false" outlineLevel="0" collapsed="false">
      <c r="A42" s="3"/>
      <c r="B42" s="3" t="s">
        <v>195</v>
      </c>
      <c r="C42" s="3" t="s">
        <v>130</v>
      </c>
      <c r="D42" s="4" t="n">
        <f aca="false">INDEX(datos_participantes!$D:$D,MATCH(C42,datos_participantes!$A:$A,0))</f>
        <v>177.849</v>
      </c>
      <c r="E42" s="4" t="n">
        <f aca="false">INDEX(datos_participantes!$F:$F,MATCH(C42,datos_participantes!$A:$A,0))</f>
        <v>0.140176574676736</v>
      </c>
      <c r="F42" s="4" t="n">
        <f aca="false">IF(OR(NOT(ISNUMBER(D42)),NOT(ISNUMBER(INDEX(valor_asignado!$C:$C,MATCH(B42,valor_asignado!$B:$B,0)))),NOT(ISNUMBER(INDEX(valor_asignado!$D:$D,MATCH(B42,valor_asignado!$B:$B,0)))),INDEX(valor_asignado!$D:$D,MATCH(B42,valor_asignado!$B:$B,0))=0),"",(D42-INDEX(valor_asignado!$C:$C,MATCH(B42,valor_asignado!$B:$B,0)))/INDEX(valor_asignado!$D:$D,MATCH(B42,valor_asignado!$B:$B,0)))</f>
        <v>-1.01097070524407</v>
      </c>
      <c r="G42" s="5" t="str">
        <f aca="false">IF(F42="","N/A",IF(ABS(F42)&lt;=2,"Satisfactorio",IF(ABS(F42)&lt;3,"Cuestionable","No satisfactorio")))</f>
        <v>Satisfactorio</v>
      </c>
      <c r="H42" s="4" t="n">
        <f aca="false">IF(OR(NOT(ISNUMBER(D42)),NOT(ISNUMBER(INDEX(valor_asignado!$C:$C,MATCH(B42,valor_asignado!$B:$B,0)))),NOT(ISNUMBER(SQRT(INDEX(valor_asignado!$D:$D,MATCH(B42,valor_asignado!$B:$B,0))^2+INDEX(valor_asignado!$H:$H,MATCH(B42,valor_asignado!$B:$B,0))^2))),SQRT(INDEX(valor_asignado!$D:$D,MATCH(B42,valor_asignado!$B:$B,0))^2+INDEX(valor_asignado!$H:$H,MATCH(B42,valor_asignado!$B:$B,0))^2)=0),"",(D42-INDEX(valor_asignado!$C:$C,MATCH(B42,valor_asignado!$B:$B,0)))/SQRT(INDEX(valor_asignado!$D:$D,MATCH(B42,valor_asignado!$B:$B,0))^2+INDEX(valor_asignado!$H:$H,MATCH(B42,valor_asignado!$B:$B,0))^2))</f>
        <v>-0.344983423564697</v>
      </c>
      <c r="I42" s="5" t="str">
        <f aca="false">IF(H42="","N/A",IF(ABS(H42)&lt;=2,"Satisfactorio",IF(ABS(H42)&lt;3,"Cuestionable","No satisfactorio")))</f>
        <v>Satisfactorio</v>
      </c>
      <c r="J42" s="4" t="n">
        <f aca="false">IF(OR(NOT(ISNUMBER(D42)),NOT(ISNUMBER(INDEX(valor_asignado!$C:$C,MATCH(B42,valor_asignado!$B:$B,0)))),NOT(ISNUMBER(SQRT(E42^2+INDEX(valor_asignado!$H:$H,MATCH(B42,valor_asignado!$B:$B,0))^2))),SQRT(E42^2+INDEX(valor_asignado!$H:$H,MATCH(B42,valor_asignado!$B:$B,0))^2)=0),"",(D42-INDEX(valor_asignado!$C:$C,MATCH(B42,valor_asignado!$B:$B,0)))/SQRT(E42^2+INDEX(valor_asignado!$H:$H,MATCH(B42,valor_asignado!$B:$B,0))^2))</f>
        <v>-0.365081090129675</v>
      </c>
      <c r="K42" s="5" t="str">
        <f aca="false">IF(J42="","N/A",IF(ABS(J42)&lt;=2,"Satisfactorio",IF(ABS(J42)&lt;3,"Cuestionable","No satisfactorio")))</f>
        <v>Satisfactorio</v>
      </c>
      <c r="L42" s="4" t="n">
        <f aca="false">IF(OR(NOT(ISNUMBER(D42)),NOT(ISNUMBER(INDEX(valor_asignado!$C:$C,MATCH(B42,valor_asignado!$B:$B,0)))),NOT(ISNUMBER(SQRT((2*E42)^2+(2*INDEX(valor_asignado!$H:$H,MATCH(B42,valor_asignado!$B:$B,0)))^2))),SQRT((2*E42)^2+(2*INDEX(valor_asignado!$H:$H,MATCH(B42,valor_asignado!$B:$B,0)))^2)=0),"",(D42-INDEX(valor_asignado!$C:$C,MATCH(B42,valor_asignado!$B:$B,0)))/SQRT((2*E42)^2+(2*INDEX(valor_asignado!$H:$H,MATCH(B42,valor_asignado!$B:$B,0)))^2))</f>
        <v>-0.182540545064837</v>
      </c>
      <c r="M42" s="5" t="str">
        <f aca="false">IF(L42="","N/A",IF(ABS(L42)&lt;=1,"Satisfactorio","No satisfactorio"))</f>
        <v>Satisfactorio</v>
      </c>
      <c r="N42" s="5" t="str">
        <f aca="false">IF(AND(SUM(IF(AND(D42="",validacion_snapshot!$U$89=""),0,IFERROR(ABS(D42-validacion_snapshot!$U$89),1E+099)),IF(AND(E42="",validacion_snapshot!$V$89=""),0,IFERROR(ABS(E42-validacion_snapshot!$V$89),1E+099)),IF(AND(F42="",validacion_snapshot!$W$89=""),0,IFERROR(ABS(F42-validacion_snapshot!$W$89),1E+099)),IF(AND(H42="",validacion_snapshot!$Y$89=""),0,IFERROR(ABS(H42-validacion_snapshot!$Y$89),1E+099)),IF(AND(J42="",validacion_snapshot!$AA$89=""),0,IFERROR(ABS(J42-validacion_snapshot!$AA$89),1E+099)),IF(AND(L42="",validacion_snapshot!$AC$89=""),0,IFERROR(ABS(L42-validacion_snapshot!$AC$89),1E+099)))&lt;=0.00000001,G42=validacion_snapshot!$X$89,I42=validacion_snapshot!$Z$89,K42=validacion_snapshot!$AB$89,M42=validacion_snapshot!$AD$89),"OK","FALLA")</f>
        <v>OK</v>
      </c>
    </row>
    <row r="43" customFormat="false" ht="15" hidden="false" customHeight="false" outlineLevel="0" collapsed="false">
      <c r="A43" s="3"/>
      <c r="B43" s="3" t="s">
        <v>195</v>
      </c>
      <c r="C43" s="3" t="s">
        <v>131</v>
      </c>
      <c r="D43" s="4" t="n">
        <f aca="false">INDEX(datos_participantes!$D:$D,MATCH(C43,datos_participantes!$A:$A,0))</f>
        <v>178.039333333333</v>
      </c>
      <c r="E43" s="4" t="n">
        <f aca="false">INDEX(datos_participantes!$F:$F,MATCH(C43,datos_participantes!$A:$A,0))</f>
        <v>0.00796067860388924</v>
      </c>
      <c r="F43" s="4" t="n">
        <f aca="false">IF(OR(NOT(ISNUMBER(D43)),NOT(ISNUMBER(INDEX(valor_asignado!$C:$C,MATCH(B43,valor_asignado!$B:$B,0)))),NOT(ISNUMBER(INDEX(valor_asignado!$D:$D,MATCH(B43,valor_asignado!$B:$B,0)))),INDEX(valor_asignado!$D:$D,MATCH(B43,valor_asignado!$B:$B,0))=0),"",(D43-INDEX(valor_asignado!$C:$C,MATCH(B43,valor_asignado!$B:$B,0)))/INDEX(valor_asignado!$D:$D,MATCH(B43,valor_asignado!$B:$B,0)))</f>
        <v>-0.625693598704648</v>
      </c>
      <c r="G43" s="5" t="str">
        <f aca="false">IF(F43="","N/A",IF(ABS(F43)&lt;=2,"Satisfactorio",IF(ABS(F43)&lt;3,"Cuestionable","No satisfactorio")))</f>
        <v>Satisfactorio</v>
      </c>
      <c r="H43" s="4" t="n">
        <f aca="false">IF(OR(NOT(ISNUMBER(D43)),NOT(ISNUMBER(INDEX(valor_asignado!$C:$C,MATCH(B43,valor_asignado!$B:$B,0)))),NOT(ISNUMBER(SQRT(INDEX(valor_asignado!$D:$D,MATCH(B43,valor_asignado!$B:$B,0))^2+INDEX(valor_asignado!$H:$H,MATCH(B43,valor_asignado!$B:$B,0))^2))),SQRT(INDEX(valor_asignado!$D:$D,MATCH(B43,valor_asignado!$B:$B,0))^2+INDEX(valor_asignado!$H:$H,MATCH(B43,valor_asignado!$B:$B,0))^2)=0),"",(D43-INDEX(valor_asignado!$C:$C,MATCH(B43,valor_asignado!$B:$B,0)))/SQRT(INDEX(valor_asignado!$D:$D,MATCH(B43,valor_asignado!$B:$B,0))^2+INDEX(valor_asignado!$H:$H,MATCH(B43,valor_asignado!$B:$B,0))^2))</f>
        <v>-0.213511547529493</v>
      </c>
      <c r="I43" s="5" t="str">
        <f aca="false">IF(H43="","N/A",IF(ABS(H43)&lt;=2,"Satisfactorio",IF(ABS(H43)&lt;3,"Cuestionable","No satisfactorio")))</f>
        <v>Satisfactorio</v>
      </c>
      <c r="J43" s="4" t="n">
        <f aca="false">IF(OR(NOT(ISNUMBER(D43)),NOT(ISNUMBER(INDEX(valor_asignado!$C:$C,MATCH(B43,valor_asignado!$B:$B,0)))),NOT(ISNUMBER(SQRT(E43^2+INDEX(valor_asignado!$H:$H,MATCH(B43,valor_asignado!$B:$B,0))^2))),SQRT(E43^2+INDEX(valor_asignado!$H:$H,MATCH(B43,valor_asignado!$B:$B,0))^2)=0),"",(D43-INDEX(valor_asignado!$C:$C,MATCH(B43,valor_asignado!$B:$B,0)))/SQRT(E43^2+INDEX(valor_asignado!$H:$H,MATCH(B43,valor_asignado!$B:$B,0))^2))</f>
        <v>-0.227141788921872</v>
      </c>
      <c r="K43" s="5" t="str">
        <f aca="false">IF(J43="","N/A",IF(ABS(J43)&lt;=2,"Satisfactorio",IF(ABS(J43)&lt;3,"Cuestionable","No satisfactorio")))</f>
        <v>Satisfactorio</v>
      </c>
      <c r="L43" s="4" t="n">
        <f aca="false">IF(OR(NOT(ISNUMBER(D43)),NOT(ISNUMBER(INDEX(valor_asignado!$C:$C,MATCH(B43,valor_asignado!$B:$B,0)))),NOT(ISNUMBER(SQRT((2*E43)^2+(2*INDEX(valor_asignado!$H:$H,MATCH(B43,valor_asignado!$B:$B,0)))^2))),SQRT((2*E43)^2+(2*INDEX(valor_asignado!$H:$H,MATCH(B43,valor_asignado!$B:$B,0)))^2)=0),"",(D43-INDEX(valor_asignado!$C:$C,MATCH(B43,valor_asignado!$B:$B,0)))/SQRT((2*E43)^2+(2*INDEX(valor_asignado!$H:$H,MATCH(B43,valor_asignado!$B:$B,0)))^2))</f>
        <v>-0.113570894460936</v>
      </c>
      <c r="M43" s="5" t="str">
        <f aca="false">IF(L43="","N/A",IF(ABS(L43)&lt;=1,"Satisfactorio","No satisfactorio"))</f>
        <v>Satisfactorio</v>
      </c>
      <c r="N43" s="5" t="str">
        <f aca="false">IF(AND(SUM(IF(AND(D43="",validacion_snapshot!$U$90=""),0,IFERROR(ABS(D43-validacion_snapshot!$U$90),1E+099)),IF(AND(E43="",validacion_snapshot!$V$90=""),0,IFERROR(ABS(E43-validacion_snapshot!$V$90),1E+099)),IF(AND(F43="",validacion_snapshot!$W$90=""),0,IFERROR(ABS(F43-validacion_snapshot!$W$90),1E+099)),IF(AND(H43="",validacion_snapshot!$Y$90=""),0,IFERROR(ABS(H43-validacion_snapshot!$Y$90),1E+099)),IF(AND(J43="",validacion_snapshot!$AA$90=""),0,IFERROR(ABS(J43-validacion_snapshot!$AA$90),1E+099)),IF(AND(L43="",validacion_snapshot!$AC$90=""),0,IFERROR(ABS(L43-validacion_snapshot!$AC$90),1E+099)))&lt;=0.00000001,G43=validacion_snapshot!$X$90,I43=validacion_snapshot!$Z$90,K43=validacion_snapshot!$AB$90,M43=validacion_snapshot!$AD$90),"OK","FALLA")</f>
        <v>OK</v>
      </c>
    </row>
    <row r="44" customFormat="false" ht="15" hidden="false" customHeight="false" outlineLevel="0" collapsed="false">
      <c r="A44" s="3"/>
      <c r="B44" s="3" t="s">
        <v>195</v>
      </c>
      <c r="C44" s="3" t="s">
        <v>132</v>
      </c>
      <c r="D44" s="4" t="n">
        <f aca="false">INDEX(datos_participantes!$D:$D,MATCH(C44,datos_participantes!$A:$A,0))</f>
        <v>179.197666666667</v>
      </c>
      <c r="E44" s="4" t="n">
        <f aca="false">INDEX(datos_participantes!$F:$F,MATCH(C44,datos_participantes!$A:$A,0))</f>
        <v>0.23561544179908</v>
      </c>
      <c r="F44" s="4" t="n">
        <f aca="false">IF(OR(NOT(ISNUMBER(D44)),NOT(ISNUMBER(INDEX(valor_asignado!$C:$C,MATCH(B44,valor_asignado!$B:$B,0)))),NOT(ISNUMBER(INDEX(valor_asignado!$D:$D,MATCH(B44,valor_asignado!$B:$B,0)))),INDEX(valor_asignado!$D:$D,MATCH(B44,valor_asignado!$B:$B,0))=0),"",(D44-INDEX(valor_asignado!$C:$C,MATCH(B44,valor_asignado!$B:$B,0)))/INDEX(valor_asignado!$D:$D,MATCH(B44,valor_asignado!$B:$B,0)))</f>
        <v>1.7190313491546</v>
      </c>
      <c r="G44" s="5" t="str">
        <f aca="false">IF(F44="","N/A",IF(ABS(F44)&lt;=2,"Satisfactorio",IF(ABS(F44)&lt;3,"Cuestionable","No satisfactorio")))</f>
        <v>Satisfactorio</v>
      </c>
      <c r="H44" s="4" t="n">
        <f aca="false">IF(OR(NOT(ISNUMBER(D44)),NOT(ISNUMBER(INDEX(valor_asignado!$C:$C,MATCH(B44,valor_asignado!$B:$B,0)))),NOT(ISNUMBER(SQRT(INDEX(valor_asignado!$D:$D,MATCH(B44,valor_asignado!$B:$B,0))^2+INDEX(valor_asignado!$H:$H,MATCH(B44,valor_asignado!$B:$B,0))^2))),SQRT(INDEX(valor_asignado!$D:$D,MATCH(B44,valor_asignado!$B:$B,0))^2+INDEX(valor_asignado!$H:$H,MATCH(B44,valor_asignado!$B:$B,0))^2)=0),"",(D44-INDEX(valor_asignado!$C:$C,MATCH(B44,valor_asignado!$B:$B,0)))/SQRT(INDEX(valor_asignado!$D:$D,MATCH(B44,valor_asignado!$B:$B,0))^2+INDEX(valor_asignado!$H:$H,MATCH(B44,valor_asignado!$B:$B,0))^2))</f>
        <v>0.586601883684868</v>
      </c>
      <c r="I44" s="5" t="str">
        <f aca="false">IF(H44="","N/A",IF(ABS(H44)&lt;=2,"Satisfactorio",IF(ABS(H44)&lt;3,"Cuestionable","No satisfactorio")))</f>
        <v>Satisfactorio</v>
      </c>
      <c r="J44" s="4" t="n">
        <f aca="false">IF(OR(NOT(ISNUMBER(D44)),NOT(ISNUMBER(INDEX(valor_asignado!$C:$C,MATCH(B44,valor_asignado!$B:$B,0)))),NOT(ISNUMBER(SQRT(E44^2+INDEX(valor_asignado!$H:$H,MATCH(B44,valor_asignado!$B:$B,0))^2))),SQRT(E44^2+INDEX(valor_asignado!$H:$H,MATCH(B44,valor_asignado!$B:$B,0))^2)=0),"",(D44-INDEX(valor_asignado!$C:$C,MATCH(B44,valor_asignado!$B:$B,0)))/SQRT(E44^2+INDEX(valor_asignado!$H:$H,MATCH(B44,valor_asignado!$B:$B,0))^2))</f>
        <v>0.614911309621813</v>
      </c>
      <c r="K44" s="5" t="str">
        <f aca="false">IF(J44="","N/A",IF(ABS(J44)&lt;=2,"Satisfactorio",IF(ABS(J44)&lt;3,"Cuestionable","No satisfactorio")))</f>
        <v>Satisfactorio</v>
      </c>
      <c r="L44" s="4" t="n">
        <f aca="false">IF(OR(NOT(ISNUMBER(D44)),NOT(ISNUMBER(INDEX(valor_asignado!$C:$C,MATCH(B44,valor_asignado!$B:$B,0)))),NOT(ISNUMBER(SQRT((2*E44)^2+(2*INDEX(valor_asignado!$H:$H,MATCH(B44,valor_asignado!$B:$B,0)))^2))),SQRT((2*E44)^2+(2*INDEX(valor_asignado!$H:$H,MATCH(B44,valor_asignado!$B:$B,0)))^2)=0),"",(D44-INDEX(valor_asignado!$C:$C,MATCH(B44,valor_asignado!$B:$B,0)))/SQRT((2*E44)^2+(2*INDEX(valor_asignado!$H:$H,MATCH(B44,valor_asignado!$B:$B,0)))^2))</f>
        <v>0.307455654810907</v>
      </c>
      <c r="M44" s="5" t="str">
        <f aca="false">IF(L44="","N/A",IF(ABS(L44)&lt;=1,"Satisfactorio","No satisfactorio"))</f>
        <v>Satisfactorio</v>
      </c>
      <c r="N44" s="5" t="str">
        <f aca="false">IF(AND(SUM(IF(AND(D44="",validacion_snapshot!$U$91=""),0,IFERROR(ABS(D44-validacion_snapshot!$U$91),1E+099)),IF(AND(E44="",validacion_snapshot!$V$91=""),0,IFERROR(ABS(E44-validacion_snapshot!$V$91),1E+099)),IF(AND(F44="",validacion_snapshot!$W$91=""),0,IFERROR(ABS(F44-validacion_snapshot!$W$91),1E+099)),IF(AND(H44="",validacion_snapshot!$Y$91=""),0,IFERROR(ABS(H44-validacion_snapshot!$Y$91),1E+099)),IF(AND(J44="",validacion_snapshot!$AA$91=""),0,IFERROR(ABS(J44-validacion_snapshot!$AA$91),1E+099)),IF(AND(L44="",validacion_snapshot!$AC$91=""),0,IFERROR(ABS(L44-validacion_snapshot!$AC$91),1E+099)))&lt;=0.00000001,G44=validacion_snapshot!$X$91,I44=validacion_snapshot!$Z$91,K44=validacion_snapshot!$AB$91,M44=validacion_snapshot!$AD$91),"OK","FALLA")</f>
        <v>OK</v>
      </c>
    </row>
    <row r="45" customFormat="false" ht="15" hidden="false" customHeight="false" outlineLevel="0" collapsed="false">
      <c r="A45" s="3"/>
      <c r="B45" s="3" t="s">
        <v>195</v>
      </c>
      <c r="C45" s="3" t="s">
        <v>133</v>
      </c>
      <c r="D45" s="4" t="n">
        <f aca="false">INDEX(datos_participantes!$D:$D,MATCH(C45,datos_participantes!$A:$A,0))</f>
        <v>178.035</v>
      </c>
      <c r="E45" s="4" t="n">
        <f aca="false">INDEX(datos_participantes!$F:$F,MATCH(C45,datos_participantes!$A:$A,0))</f>
        <v>0.0202713981208594</v>
      </c>
      <c r="F45" s="4" t="n">
        <f aca="false">IF(OR(NOT(ISNUMBER(D45)),NOT(ISNUMBER(INDEX(valor_asignado!$C:$C,MATCH(B45,valor_asignado!$B:$B,0)))),NOT(ISNUMBER(INDEX(valor_asignado!$D:$D,MATCH(B45,valor_asignado!$B:$B,0)))),INDEX(valor_asignado!$D:$D,MATCH(B45,valor_asignado!$B:$B,0))=0),"",(D45-INDEX(valor_asignado!$C:$C,MATCH(B45,valor_asignado!$B:$B,0)))/INDEX(valor_asignado!$D:$D,MATCH(B45,valor_asignado!$B:$B,0)))</f>
        <v>-0.634465231602423</v>
      </c>
      <c r="G45" s="5" t="str">
        <f aca="false">IF(F45="","N/A",IF(ABS(F45)&lt;=2,"Satisfactorio",IF(ABS(F45)&lt;3,"Cuestionable","No satisfactorio")))</f>
        <v>Satisfactorio</v>
      </c>
      <c r="H45" s="4" t="n">
        <f aca="false">IF(OR(NOT(ISNUMBER(D45)),NOT(ISNUMBER(INDEX(valor_asignado!$C:$C,MATCH(B45,valor_asignado!$B:$B,0)))),NOT(ISNUMBER(SQRT(INDEX(valor_asignado!$D:$D,MATCH(B45,valor_asignado!$B:$B,0))^2+INDEX(valor_asignado!$H:$H,MATCH(B45,valor_asignado!$B:$B,0))^2))),SQRT(INDEX(valor_asignado!$D:$D,MATCH(B45,valor_asignado!$B:$B,0))^2+INDEX(valor_asignado!$H:$H,MATCH(B45,valor_asignado!$B:$B,0))^2)=0),"",(D45-INDEX(valor_asignado!$C:$C,MATCH(B45,valor_asignado!$B:$B,0)))/SQRT(INDEX(valor_asignado!$D:$D,MATCH(B45,valor_asignado!$B:$B,0))^2+INDEX(valor_asignado!$H:$H,MATCH(B45,valor_asignado!$B:$B,0))^2))</f>
        <v>-0.216504777631641</v>
      </c>
      <c r="I45" s="5" t="str">
        <f aca="false">IF(H45="","N/A",IF(ABS(H45)&lt;=2,"Satisfactorio",IF(ABS(H45)&lt;3,"Cuestionable","No satisfactorio")))</f>
        <v>Satisfactorio</v>
      </c>
      <c r="J45" s="4" t="n">
        <f aca="false">IF(OR(NOT(ISNUMBER(D45)),NOT(ISNUMBER(INDEX(valor_asignado!$C:$C,MATCH(B45,valor_asignado!$B:$B,0)))),NOT(ISNUMBER(SQRT(E45^2+INDEX(valor_asignado!$H:$H,MATCH(B45,valor_asignado!$B:$B,0))^2))),SQRT(E45^2+INDEX(valor_asignado!$H:$H,MATCH(B45,valor_asignado!$B:$B,0))^2)=0),"",(D45-INDEX(valor_asignado!$C:$C,MATCH(B45,valor_asignado!$B:$B,0)))/SQRT(E45^2+INDEX(valor_asignado!$H:$H,MATCH(B45,valor_asignado!$B:$B,0))^2))</f>
        <v>-0.230304491584109</v>
      </c>
      <c r="K45" s="5" t="str">
        <f aca="false">IF(J45="","N/A",IF(ABS(J45)&lt;=2,"Satisfactorio",IF(ABS(J45)&lt;3,"Cuestionable","No satisfactorio")))</f>
        <v>Satisfactorio</v>
      </c>
      <c r="L45" s="4" t="n">
        <f aca="false">IF(OR(NOT(ISNUMBER(D45)),NOT(ISNUMBER(INDEX(valor_asignado!$C:$C,MATCH(B45,valor_asignado!$B:$B,0)))),NOT(ISNUMBER(SQRT((2*E45)^2+(2*INDEX(valor_asignado!$H:$H,MATCH(B45,valor_asignado!$B:$B,0)))^2))),SQRT((2*E45)^2+(2*INDEX(valor_asignado!$H:$H,MATCH(B45,valor_asignado!$B:$B,0)))^2)=0),"",(D45-INDEX(valor_asignado!$C:$C,MATCH(B45,valor_asignado!$B:$B,0)))/SQRT((2*E45)^2+(2*INDEX(valor_asignado!$H:$H,MATCH(B45,valor_asignado!$B:$B,0)))^2))</f>
        <v>-0.115152245792054</v>
      </c>
      <c r="M45" s="5" t="str">
        <f aca="false">IF(L45="","N/A",IF(ABS(L45)&lt;=1,"Satisfactorio","No satisfactorio"))</f>
        <v>Satisfactorio</v>
      </c>
      <c r="N45" s="5" t="str">
        <f aca="false">IF(AND(SUM(IF(AND(D45="",validacion_snapshot!$U$92=""),0,IFERROR(ABS(D45-validacion_snapshot!$U$92),1E+099)),IF(AND(E45="",validacion_snapshot!$V$92=""),0,IFERROR(ABS(E45-validacion_snapshot!$V$92),1E+099)),IF(AND(F45="",validacion_snapshot!$W$92=""),0,IFERROR(ABS(F45-validacion_snapshot!$W$92),1E+099)),IF(AND(H45="",validacion_snapshot!$Y$92=""),0,IFERROR(ABS(H45-validacion_snapshot!$Y$92),1E+099)),IF(AND(J45="",validacion_snapshot!$AA$92=""),0,IFERROR(ABS(J45-validacion_snapshot!$AA$92),1E+099)),IF(AND(L45="",validacion_snapshot!$AC$92=""),0,IFERROR(ABS(L45-validacion_snapshot!$AC$92),1E+099)))&lt;=0.00000001,G45=validacion_snapshot!$X$92,I45=validacion_snapshot!$Z$92,K45=validacion_snapshot!$AB$92,M45=validacion_snapshot!$AD$92),"OK","FALLA")</f>
        <v>OK</v>
      </c>
    </row>
    <row r="46" customFormat="false" ht="15" hidden="false" customHeight="false" outlineLevel="0" collapsed="false">
      <c r="A46" s="3"/>
      <c r="B46" s="3" t="s">
        <v>195</v>
      </c>
      <c r="C46" s="3" t="s">
        <v>134</v>
      </c>
      <c r="D46" s="4" t="n">
        <f aca="false">INDEX(datos_participantes!$D:$D,MATCH(C46,datos_participantes!$A:$A,0))</f>
        <v>178.152666666667</v>
      </c>
      <c r="E46" s="4" t="n">
        <f aca="false">INDEX(datos_participantes!$F:$F,MATCH(C46,datos_participantes!$A:$A,0))</f>
        <v>0.498874552692086</v>
      </c>
      <c r="F46" s="4" t="n">
        <f aca="false">IF(OR(NOT(ISNUMBER(D46)),NOT(ISNUMBER(INDEX(valor_asignado!$C:$C,MATCH(B46,valor_asignado!$B:$B,0)))),NOT(ISNUMBER(INDEX(valor_asignado!$D:$D,MATCH(B46,valor_asignado!$B:$B,0)))),INDEX(valor_asignado!$D:$D,MATCH(B46,valor_asignado!$B:$B,0))=0),"",(D46-INDEX(valor_asignado!$C:$C,MATCH(B46,valor_asignado!$B:$B,0)))/INDEX(valor_asignado!$D:$D,MATCH(B46,valor_asignado!$B:$B,0)))</f>
        <v>-0.396281661358937</v>
      </c>
      <c r="G46" s="5" t="str">
        <f aca="false">IF(F46="","N/A",IF(ABS(F46)&lt;=2,"Satisfactorio",IF(ABS(F46)&lt;3,"Cuestionable","No satisfactorio")))</f>
        <v>Satisfactorio</v>
      </c>
      <c r="H46" s="4" t="n">
        <f aca="false">IF(OR(NOT(ISNUMBER(D46)),NOT(ISNUMBER(INDEX(valor_asignado!$C:$C,MATCH(B46,valor_asignado!$B:$B,0)))),NOT(ISNUMBER(SQRT(INDEX(valor_asignado!$D:$D,MATCH(B46,valor_asignado!$B:$B,0))^2+INDEX(valor_asignado!$H:$H,MATCH(B46,valor_asignado!$B:$B,0))^2))),SQRT(INDEX(valor_asignado!$D:$D,MATCH(B46,valor_asignado!$B:$B,0))^2+INDEX(valor_asignado!$H:$H,MATCH(B46,valor_asignado!$B:$B,0))^2)=0),"",(D46-INDEX(valor_asignado!$C:$C,MATCH(B46,valor_asignado!$B:$B,0)))/SQRT(INDEX(valor_asignado!$D:$D,MATCH(B46,valor_asignado!$B:$B,0))^2+INDEX(valor_asignado!$H:$H,MATCH(B46,valor_asignado!$B:$B,0))^2))</f>
        <v>-0.13522706792825</v>
      </c>
      <c r="I46" s="5" t="str">
        <f aca="false">IF(H46="","N/A",IF(ABS(H46)&lt;=2,"Satisfactorio",IF(ABS(H46)&lt;3,"Cuestionable","No satisfactorio")))</f>
        <v>Satisfactorio</v>
      </c>
      <c r="J46" s="4" t="n">
        <f aca="false">IF(OR(NOT(ISNUMBER(D46)),NOT(ISNUMBER(INDEX(valor_asignado!$C:$C,MATCH(B46,valor_asignado!$B:$B,0)))),NOT(ISNUMBER(SQRT(E46^2+INDEX(valor_asignado!$H:$H,MATCH(B46,valor_asignado!$B:$B,0))^2))),SQRT(E46^2+INDEX(valor_asignado!$H:$H,MATCH(B46,valor_asignado!$B:$B,0))^2)=0),"",(D46-INDEX(valor_asignado!$C:$C,MATCH(B46,valor_asignado!$B:$B,0)))/SQRT(E46^2+INDEX(valor_asignado!$H:$H,MATCH(B46,valor_asignado!$B:$B,0))^2))</f>
        <v>-0.135071734512911</v>
      </c>
      <c r="K46" s="5" t="str">
        <f aca="false">IF(J46="","N/A",IF(ABS(J46)&lt;=2,"Satisfactorio",IF(ABS(J46)&lt;3,"Cuestionable","No satisfactorio")))</f>
        <v>Satisfactorio</v>
      </c>
      <c r="L46" s="4" t="n">
        <f aca="false">IF(OR(NOT(ISNUMBER(D46)),NOT(ISNUMBER(INDEX(valor_asignado!$C:$C,MATCH(B46,valor_asignado!$B:$B,0)))),NOT(ISNUMBER(SQRT((2*E46)^2+(2*INDEX(valor_asignado!$H:$H,MATCH(B46,valor_asignado!$B:$B,0)))^2))),SQRT((2*E46)^2+(2*INDEX(valor_asignado!$H:$H,MATCH(B46,valor_asignado!$B:$B,0)))^2)=0),"",(D46-INDEX(valor_asignado!$C:$C,MATCH(B46,valor_asignado!$B:$B,0)))/SQRT((2*E46)^2+(2*INDEX(valor_asignado!$H:$H,MATCH(B46,valor_asignado!$B:$B,0)))^2))</f>
        <v>-0.0675358672564557</v>
      </c>
      <c r="M46" s="5" t="str">
        <f aca="false">IF(L46="","N/A",IF(ABS(L46)&lt;=1,"Satisfactorio","No satisfactorio"))</f>
        <v>Satisfactorio</v>
      </c>
      <c r="N46" s="5" t="str">
        <f aca="false">IF(AND(SUM(IF(AND(D46="",validacion_snapshot!$U$93=""),0,IFERROR(ABS(D46-validacion_snapshot!$U$93),1E+099)),IF(AND(E46="",validacion_snapshot!$V$93=""),0,IFERROR(ABS(E46-validacion_snapshot!$V$93),1E+099)),IF(AND(F46="",validacion_snapshot!$W$93=""),0,IFERROR(ABS(F46-validacion_snapshot!$W$93),1E+099)),IF(AND(H46="",validacion_snapshot!$Y$93=""),0,IFERROR(ABS(H46-validacion_snapshot!$Y$93),1E+099)),IF(AND(J46="",validacion_snapshot!$AA$93=""),0,IFERROR(ABS(J46-validacion_snapshot!$AA$93),1E+099)),IF(AND(L46="",validacion_snapshot!$AC$93=""),0,IFERROR(ABS(L46-validacion_snapshot!$AC$93),1E+099)))&lt;=0.00000001,G46=validacion_snapshot!$X$93,I46=validacion_snapshot!$Z$93,K46=validacion_snapshot!$AB$93,M46=validacion_snapshot!$AD$93),"OK","FALLA")</f>
        <v>OK</v>
      </c>
    </row>
    <row r="47" customFormat="false" ht="15" hidden="false" customHeight="false" outlineLevel="0" collapsed="false">
      <c r="A47" s="3"/>
      <c r="B47" s="3" t="s">
        <v>195</v>
      </c>
      <c r="C47" s="3" t="s">
        <v>135</v>
      </c>
      <c r="D47" s="4" t="n">
        <f aca="false">INDEX(datos_participantes!$D:$D,MATCH(C47,datos_participantes!$A:$A,0))</f>
        <v>178.290666666667</v>
      </c>
      <c r="E47" s="4" t="n">
        <f aca="false">INDEX(datos_participantes!$F:$F,MATCH(C47,datos_participantes!$A:$A,0))</f>
        <v>0.355089886356072</v>
      </c>
      <c r="F47" s="4" t="n">
        <f aca="false">IF(OR(NOT(ISNUMBER(D47)),NOT(ISNUMBER(INDEX(valor_asignado!$C:$C,MATCH(B47,valor_asignado!$B:$B,0)))),NOT(ISNUMBER(INDEX(valor_asignado!$D:$D,MATCH(B47,valor_asignado!$B:$B,0)))),INDEX(valor_asignado!$D:$D,MATCH(B47,valor_asignado!$B:$B,0))=0),"",(D47-INDEX(valor_asignado!$C:$C,MATCH(B47,valor_asignado!$B:$B,0)))/INDEX(valor_asignado!$D:$D,MATCH(B47,valor_asignado!$B:$B,0)))</f>
        <v>-0.116938890592549</v>
      </c>
      <c r="G47" s="5" t="str">
        <f aca="false">IF(F47="","N/A",IF(ABS(F47)&lt;=2,"Satisfactorio",IF(ABS(F47)&lt;3,"Cuestionable","No satisfactorio")))</f>
        <v>Satisfactorio</v>
      </c>
      <c r="H47" s="4" t="n">
        <f aca="false">IF(OR(NOT(ISNUMBER(D47)),NOT(ISNUMBER(INDEX(valor_asignado!$C:$C,MATCH(B47,valor_asignado!$B:$B,0)))),NOT(ISNUMBER(SQRT(INDEX(valor_asignado!$D:$D,MATCH(B47,valor_asignado!$B:$B,0))^2+INDEX(valor_asignado!$H:$H,MATCH(B47,valor_asignado!$B:$B,0))^2))),SQRT(INDEX(valor_asignado!$D:$D,MATCH(B47,valor_asignado!$B:$B,0))^2+INDEX(valor_asignado!$H:$H,MATCH(B47,valor_asignado!$B:$B,0))^2)=0),"",(D47-INDEX(valor_asignado!$C:$C,MATCH(B47,valor_asignado!$B:$B,0)))/SQRT(INDEX(valor_asignado!$D:$D,MATCH(B47,valor_asignado!$B:$B,0))^2+INDEX(valor_asignado!$H:$H,MATCH(B47,valor_asignado!$B:$B,0))^2))</f>
        <v>-0.0399042015908222</v>
      </c>
      <c r="I47" s="5" t="str">
        <f aca="false">IF(H47="","N/A",IF(ABS(H47)&lt;=2,"Satisfactorio",IF(ABS(H47)&lt;3,"Cuestionable","No satisfactorio")))</f>
        <v>Satisfactorio</v>
      </c>
      <c r="J47" s="4" t="n">
        <f aca="false">IF(OR(NOT(ISNUMBER(D47)),NOT(ISNUMBER(INDEX(valor_asignado!$C:$C,MATCH(B47,valor_asignado!$B:$B,0)))),NOT(ISNUMBER(SQRT(E47^2+INDEX(valor_asignado!$H:$H,MATCH(B47,valor_asignado!$B:$B,0))^2))),SQRT(E47^2+INDEX(valor_asignado!$H:$H,MATCH(B47,valor_asignado!$B:$B,0))^2)=0),"",(D47-INDEX(valor_asignado!$C:$C,MATCH(B47,valor_asignado!$B:$B,0)))/SQRT(E47^2+INDEX(valor_asignado!$H:$H,MATCH(B47,valor_asignado!$B:$B,0))^2))</f>
        <v>-0.041076927313786</v>
      </c>
      <c r="K47" s="5" t="str">
        <f aca="false">IF(J47="","N/A",IF(ABS(J47)&lt;=2,"Satisfactorio",IF(ABS(J47)&lt;3,"Cuestionable","No satisfactorio")))</f>
        <v>Satisfactorio</v>
      </c>
      <c r="L47" s="4" t="n">
        <f aca="false">IF(OR(NOT(ISNUMBER(D47)),NOT(ISNUMBER(INDEX(valor_asignado!$C:$C,MATCH(B47,valor_asignado!$B:$B,0)))),NOT(ISNUMBER(SQRT((2*E47)^2+(2*INDEX(valor_asignado!$H:$H,MATCH(B47,valor_asignado!$B:$B,0)))^2))),SQRT((2*E47)^2+(2*INDEX(valor_asignado!$H:$H,MATCH(B47,valor_asignado!$B:$B,0)))^2)=0),"",(D47-INDEX(valor_asignado!$C:$C,MATCH(B47,valor_asignado!$B:$B,0)))/SQRT((2*E47)^2+(2*INDEX(valor_asignado!$H:$H,MATCH(B47,valor_asignado!$B:$B,0)))^2))</f>
        <v>-0.020538463656893</v>
      </c>
      <c r="M47" s="5" t="str">
        <f aca="false">IF(L47="","N/A",IF(ABS(L47)&lt;=1,"Satisfactorio","No satisfactorio"))</f>
        <v>Satisfactorio</v>
      </c>
      <c r="N47" s="5" t="str">
        <f aca="false">IF(AND(SUM(IF(AND(D47="",validacion_snapshot!$U$94=""),0,IFERROR(ABS(D47-validacion_snapshot!$U$94),1E+099)),IF(AND(E47="",validacion_snapshot!$V$94=""),0,IFERROR(ABS(E47-validacion_snapshot!$V$94),1E+099)),IF(AND(F47="",validacion_snapshot!$W$94=""),0,IFERROR(ABS(F47-validacion_snapshot!$W$94),1E+099)),IF(AND(H47="",validacion_snapshot!$Y$94=""),0,IFERROR(ABS(H47-validacion_snapshot!$Y$94),1E+099)),IF(AND(J47="",validacion_snapshot!$AA$94=""),0,IFERROR(ABS(J47-validacion_snapshot!$AA$94),1E+099)),IF(AND(L47="",validacion_snapshot!$AC$94=""),0,IFERROR(ABS(L47-validacion_snapshot!$AC$94),1E+099)))&lt;=0.00000001,G47=validacion_snapshot!$X$94,I47=validacion_snapshot!$Z$94,K47=validacion_snapshot!$AB$94,M47=validacion_snapshot!$AD$94),"OK","FALLA")</f>
        <v>OK</v>
      </c>
    </row>
    <row r="48" customFormat="false" ht="15" hidden="false" customHeight="false" outlineLevel="0" collapsed="false">
      <c r="A48" s="3"/>
      <c r="B48" s="3" t="s">
        <v>195</v>
      </c>
      <c r="C48" s="3" t="s">
        <v>136</v>
      </c>
      <c r="D48" s="4" t="n">
        <f aca="false">INDEX(datos_participantes!$D:$D,MATCH(C48,datos_participantes!$A:$A,0))</f>
        <v>177.998333333333</v>
      </c>
      <c r="E48" s="4" t="n">
        <f aca="false">INDEX(datos_participantes!$F:$F,MATCH(C48,datos_participantes!$A:$A,0))</f>
        <v>0.46269516615466</v>
      </c>
      <c r="F48" s="4" t="n">
        <f aca="false">IF(OR(NOT(ISNUMBER(D48)),NOT(ISNUMBER(INDEX(valor_asignado!$C:$C,MATCH(B48,valor_asignado!$B:$B,0)))),NOT(ISNUMBER(INDEX(valor_asignado!$D:$D,MATCH(B48,valor_asignado!$B:$B,0)))),INDEX(valor_asignado!$D:$D,MATCH(B48,valor_asignado!$B:$B,0))=0),"",(D48-INDEX(valor_asignado!$C:$C,MATCH(B48,valor_asignado!$B:$B,0)))/INDEX(valor_asignado!$D:$D,MATCH(B48,valor_asignado!$B:$B,0)))</f>
        <v>-0.708686740743928</v>
      </c>
      <c r="G48" s="5" t="str">
        <f aca="false">IF(F48="","N/A",IF(ABS(F48)&lt;=2,"Satisfactorio",IF(ABS(F48)&lt;3,"Cuestionable","No satisfactorio")))</f>
        <v>Satisfactorio</v>
      </c>
      <c r="H48" s="4" t="n">
        <f aca="false">IF(OR(NOT(ISNUMBER(D48)),NOT(ISNUMBER(INDEX(valor_asignado!$C:$C,MATCH(B48,valor_asignado!$B:$B,0)))),NOT(ISNUMBER(SQRT(INDEX(valor_asignado!$D:$D,MATCH(B48,valor_asignado!$B:$B,0))^2+INDEX(valor_asignado!$H:$H,MATCH(B48,valor_asignado!$B:$B,0))^2))),SQRT(INDEX(valor_asignado!$D:$D,MATCH(B48,valor_asignado!$B:$B,0))^2+INDEX(valor_asignado!$H:$H,MATCH(B48,valor_asignado!$B:$B,0))^2)=0),"",(D48-INDEX(valor_asignado!$C:$C,MATCH(B48,valor_asignado!$B:$B,0)))/SQRT(INDEX(valor_asignado!$D:$D,MATCH(B48,valor_asignado!$B:$B,0))^2+INDEX(valor_asignado!$H:$H,MATCH(B48,valor_asignado!$B:$B,0))^2))</f>
        <v>-0.241832109267421</v>
      </c>
      <c r="I48" s="5" t="str">
        <f aca="false">IF(H48="","N/A",IF(ABS(H48)&lt;=2,"Satisfactorio",IF(ABS(H48)&lt;3,"Cuestionable","No satisfactorio")))</f>
        <v>Satisfactorio</v>
      </c>
      <c r="J48" s="4" t="n">
        <f aca="false">IF(OR(NOT(ISNUMBER(D48)),NOT(ISNUMBER(INDEX(valor_asignado!$C:$C,MATCH(B48,valor_asignado!$B:$B,0)))),NOT(ISNUMBER(SQRT(E48^2+INDEX(valor_asignado!$H:$H,MATCH(B48,valor_asignado!$B:$B,0))^2))),SQRT(E48^2+INDEX(valor_asignado!$H:$H,MATCH(B48,valor_asignado!$B:$B,0))^2)=0),"",(D48-INDEX(valor_asignado!$C:$C,MATCH(B48,valor_asignado!$B:$B,0)))/SQRT(E48^2+INDEX(valor_asignado!$H:$H,MATCH(B48,valor_asignado!$B:$B,0))^2))</f>
        <v>-0.243579670004726</v>
      </c>
      <c r="K48" s="5" t="str">
        <f aca="false">IF(J48="","N/A",IF(ABS(J48)&lt;=2,"Satisfactorio",IF(ABS(J48)&lt;3,"Cuestionable","No satisfactorio")))</f>
        <v>Satisfactorio</v>
      </c>
      <c r="L48" s="4" t="n">
        <f aca="false">IF(OR(NOT(ISNUMBER(D48)),NOT(ISNUMBER(INDEX(valor_asignado!$C:$C,MATCH(B48,valor_asignado!$B:$B,0)))),NOT(ISNUMBER(SQRT((2*E48)^2+(2*INDEX(valor_asignado!$H:$H,MATCH(B48,valor_asignado!$B:$B,0)))^2))),SQRT((2*E48)^2+(2*INDEX(valor_asignado!$H:$H,MATCH(B48,valor_asignado!$B:$B,0)))^2)=0),"",(D48-INDEX(valor_asignado!$C:$C,MATCH(B48,valor_asignado!$B:$B,0)))/SQRT((2*E48)^2+(2*INDEX(valor_asignado!$H:$H,MATCH(B48,valor_asignado!$B:$B,0)))^2))</f>
        <v>-0.121789835002363</v>
      </c>
      <c r="M48" s="5" t="str">
        <f aca="false">IF(L48="","N/A",IF(ABS(L48)&lt;=1,"Satisfactorio","No satisfactorio"))</f>
        <v>Satisfactorio</v>
      </c>
      <c r="N48" s="5" t="str">
        <f aca="false">IF(AND(SUM(IF(AND(D48="",validacion_snapshot!$U$95=""),0,IFERROR(ABS(D48-validacion_snapshot!$U$95),1E+099)),IF(AND(E48="",validacion_snapshot!$V$95=""),0,IFERROR(ABS(E48-validacion_snapshot!$V$95),1E+099)),IF(AND(F48="",validacion_snapshot!$W$95=""),0,IFERROR(ABS(F48-validacion_snapshot!$W$95),1E+099)),IF(AND(H48="",validacion_snapshot!$Y$95=""),0,IFERROR(ABS(H48-validacion_snapshot!$Y$95),1E+099)),IF(AND(J48="",validacion_snapshot!$AA$95=""),0,IFERROR(ABS(J48-validacion_snapshot!$AA$95),1E+099)),IF(AND(L48="",validacion_snapshot!$AC$95=""),0,IFERROR(ABS(L48-validacion_snapshot!$AC$95),1E+099)))&lt;=0.00000001,G48=validacion_snapshot!$X$95,I48=validacion_snapshot!$Z$95,K48=validacion_snapshot!$AB$95,M48=validacion_snapshot!$AD$95),"OK","FALLA")</f>
        <v>OK</v>
      </c>
    </row>
    <row r="49" customFormat="false" ht="15" hidden="false" customHeight="false" outlineLevel="0" collapsed="false">
      <c r="A49" s="3"/>
      <c r="B49" s="3" t="s">
        <v>195</v>
      </c>
      <c r="C49" s="3" t="s">
        <v>137</v>
      </c>
      <c r="D49" s="4" t="n">
        <f aca="false">INDEX(datos_participantes!$D:$D,MATCH(C49,datos_participantes!$A:$A,0))</f>
        <v>178.265333333333</v>
      </c>
      <c r="E49" s="4" t="n">
        <f aca="false">INDEX(datos_participantes!$F:$F,MATCH(C49,datos_participantes!$A:$A,0))</f>
        <v>0.236972481628575</v>
      </c>
      <c r="F49" s="4" t="n">
        <f aca="false">IF(OR(NOT(ISNUMBER(D49)),NOT(ISNUMBER(INDEX(valor_asignado!$C:$C,MATCH(B49,valor_asignado!$B:$B,0)))),NOT(ISNUMBER(INDEX(valor_asignado!$D:$D,MATCH(B49,valor_asignado!$B:$B,0)))),INDEX(valor_asignado!$D:$D,MATCH(B49,valor_asignado!$B:$B,0))=0),"",(D49-INDEX(valor_asignado!$C:$C,MATCH(B49,valor_asignado!$B:$B,0)))/INDEX(valor_asignado!$D:$D,MATCH(B49,valor_asignado!$B:$B,0)))</f>
        <v>-0.168219206000295</v>
      </c>
      <c r="G49" s="5" t="str">
        <f aca="false">IF(F49="","N/A",IF(ABS(F49)&lt;=2,"Satisfactorio",IF(ABS(F49)&lt;3,"Cuestionable","No satisfactorio")))</f>
        <v>Satisfactorio</v>
      </c>
      <c r="H49" s="4" t="n">
        <f aca="false">IF(OR(NOT(ISNUMBER(D49)),NOT(ISNUMBER(INDEX(valor_asignado!$C:$C,MATCH(B49,valor_asignado!$B:$B,0)))),NOT(ISNUMBER(SQRT(INDEX(valor_asignado!$D:$D,MATCH(B49,valor_asignado!$B:$B,0))^2+INDEX(valor_asignado!$H:$H,MATCH(B49,valor_asignado!$B:$B,0))^2))),SQRT(INDEX(valor_asignado!$D:$D,MATCH(B49,valor_asignado!$B:$B,0))^2+INDEX(valor_asignado!$H:$H,MATCH(B49,valor_asignado!$B:$B,0))^2)=0),"",(D49-INDEX(valor_asignado!$C:$C,MATCH(B49,valor_asignado!$B:$B,0)))/SQRT(INDEX(valor_asignado!$D:$D,MATCH(B49,valor_asignado!$B:$B,0))^2+INDEX(valor_asignado!$H:$H,MATCH(B49,valor_asignado!$B:$B,0))^2))</f>
        <v>-0.0574030852667546</v>
      </c>
      <c r="I49" s="5" t="str">
        <f aca="false">IF(H49="","N/A",IF(ABS(H49)&lt;=2,"Satisfactorio",IF(ABS(H49)&lt;3,"Cuestionable","No satisfactorio")))</f>
        <v>Satisfactorio</v>
      </c>
      <c r="J49" s="4" t="n">
        <f aca="false">IF(OR(NOT(ISNUMBER(D49)),NOT(ISNUMBER(INDEX(valor_asignado!$C:$C,MATCH(B49,valor_asignado!$B:$B,0)))),NOT(ISNUMBER(SQRT(E49^2+INDEX(valor_asignado!$H:$H,MATCH(B49,valor_asignado!$B:$B,0))^2))),SQRT(E49^2+INDEX(valor_asignado!$H:$H,MATCH(B49,valor_asignado!$B:$B,0))^2)=0),"",(D49-INDEX(valor_asignado!$C:$C,MATCH(B49,valor_asignado!$B:$B,0)))/SQRT(E49^2+INDEX(valor_asignado!$H:$H,MATCH(B49,valor_asignado!$B:$B,0))^2))</f>
        <v>-0.0601632462313216</v>
      </c>
      <c r="K49" s="5" t="str">
        <f aca="false">IF(J49="","N/A",IF(ABS(J49)&lt;=2,"Satisfactorio",IF(ABS(J49)&lt;3,"Cuestionable","No satisfactorio")))</f>
        <v>Satisfactorio</v>
      </c>
      <c r="L49" s="4" t="n">
        <f aca="false">IF(OR(NOT(ISNUMBER(D49)),NOT(ISNUMBER(INDEX(valor_asignado!$C:$C,MATCH(B49,valor_asignado!$B:$B,0)))),NOT(ISNUMBER(SQRT((2*E49)^2+(2*INDEX(valor_asignado!$H:$H,MATCH(B49,valor_asignado!$B:$B,0)))^2))),SQRT((2*E49)^2+(2*INDEX(valor_asignado!$H:$H,MATCH(B49,valor_asignado!$B:$B,0)))^2)=0),"",(D49-INDEX(valor_asignado!$C:$C,MATCH(B49,valor_asignado!$B:$B,0)))/SQRT((2*E49)^2+(2*INDEX(valor_asignado!$H:$H,MATCH(B49,valor_asignado!$B:$B,0)))^2))</f>
        <v>-0.0300816231156608</v>
      </c>
      <c r="M49" s="5" t="str">
        <f aca="false">IF(L49="","N/A",IF(ABS(L49)&lt;=1,"Satisfactorio","No satisfactorio"))</f>
        <v>Satisfactorio</v>
      </c>
      <c r="N49" s="5" t="str">
        <f aca="false">IF(AND(SUM(IF(AND(D49="",validacion_snapshot!$U$96=""),0,IFERROR(ABS(D49-validacion_snapshot!$U$96),1E+099)),IF(AND(E49="",validacion_snapshot!$V$96=""),0,IFERROR(ABS(E49-validacion_snapshot!$V$96),1E+099)),IF(AND(F49="",validacion_snapshot!$W$96=""),0,IFERROR(ABS(F49-validacion_snapshot!$W$96),1E+099)),IF(AND(H49="",validacion_snapshot!$Y$96=""),0,IFERROR(ABS(H49-validacion_snapshot!$Y$96),1E+099)),IF(AND(J49="",validacion_snapshot!$AA$96=""),0,IFERROR(ABS(J49-validacion_snapshot!$AA$96),1E+099)),IF(AND(L49="",validacion_snapshot!$AC$96=""),0,IFERROR(ABS(L49-validacion_snapshot!$AC$96),1E+099)))&lt;=0.00000001,G49=validacion_snapshot!$X$96,I49=validacion_snapshot!$Z$96,K49=validacion_snapshot!$AB$96,M49=validacion_snapshot!$AD$96),"OK","FALLA")</f>
        <v>OK</v>
      </c>
    </row>
    <row r="50" customFormat="false" ht="15" hidden="false" customHeight="false" outlineLevel="0" collapsed="false">
      <c r="A50" s="3"/>
      <c r="B50" s="3" t="s">
        <v>197</v>
      </c>
      <c r="C50" s="3" t="s">
        <v>126</v>
      </c>
      <c r="D50" s="4" t="n">
        <f aca="false">INDEX(datos_participantes!$D:$D,MATCH(C50,datos_participantes!$A:$A,0))</f>
        <v>178.722333333333</v>
      </c>
      <c r="E50" s="4" t="n">
        <f aca="false">INDEX(datos_participantes!$F:$F,MATCH(C50,datos_participantes!$A:$A,0))</f>
        <v>0.334578968165167</v>
      </c>
      <c r="F50" s="4" t="n">
        <f aca="false">IF(OR(NOT(ISNUMBER(D50)),NOT(ISNUMBER(INDEX(valor_asignado!$C:$C,MATCH(B50,valor_asignado!$B:$B,0)))),NOT(ISNUMBER(INDEX(valor_asignado!$D:$D,MATCH(B50,valor_asignado!$B:$B,0)))),INDEX(valor_asignado!$D:$D,MATCH(B50,valor_asignado!$B:$B,0))=0),"",(D50-INDEX(valor_asignado!$C:$C,MATCH(B50,valor_asignado!$B:$B,0)))/INDEX(valor_asignado!$D:$D,MATCH(B50,valor_asignado!$B:$B,0)))</f>
        <v>0.243467742171617</v>
      </c>
      <c r="G50" s="5" t="str">
        <f aca="false">IF(F50="","N/A",IF(ABS(F50)&lt;=2,"Satisfactorio",IF(ABS(F50)&lt;3,"Cuestionable","No satisfactorio")))</f>
        <v>Satisfactorio</v>
      </c>
      <c r="H50" s="4" t="n">
        <f aca="false">IF(OR(NOT(ISNUMBER(D50)),NOT(ISNUMBER(INDEX(valor_asignado!$C:$C,MATCH(B50,valor_asignado!$B:$B,0)))),NOT(ISNUMBER(SQRT(INDEX(valor_asignado!$D:$D,MATCH(B50,valor_asignado!$B:$B,0))^2+INDEX(valor_asignado!$H:$H,MATCH(B50,valor_asignado!$B:$B,0))^2))),SQRT(INDEX(valor_asignado!$D:$D,MATCH(B50,valor_asignado!$B:$B,0))^2+INDEX(valor_asignado!$H:$H,MATCH(B50,valor_asignado!$B:$B,0))^2)=0),"",(D50-INDEX(valor_asignado!$C:$C,MATCH(B50,valor_asignado!$B:$B,0)))/SQRT(INDEX(valor_asignado!$D:$D,MATCH(B50,valor_asignado!$B:$B,0))^2+INDEX(valor_asignado!$H:$H,MATCH(B50,valor_asignado!$B:$B,0))^2))</f>
        <v>0.218562173125698</v>
      </c>
      <c r="I50" s="5" t="str">
        <f aca="false">IF(H50="","N/A",IF(ABS(H50)&lt;=2,"Satisfactorio",IF(ABS(H50)&lt;3,"Cuestionable","No satisfactorio")))</f>
        <v>Satisfactorio</v>
      </c>
      <c r="J50" s="4" t="n">
        <f aca="false">IF(OR(NOT(ISNUMBER(D50)),NOT(ISNUMBER(INDEX(valor_asignado!$C:$C,MATCH(B50,valor_asignado!$B:$B,0)))),NOT(ISNUMBER(SQRT(E50^2+INDEX(valor_asignado!$H:$H,MATCH(B50,valor_asignado!$B:$B,0))^2))),SQRT(E50^2+INDEX(valor_asignado!$H:$H,MATCH(B50,valor_asignado!$B:$B,0))^2)=0),"",(D50-INDEX(valor_asignado!$C:$C,MATCH(B50,valor_asignado!$B:$B,0)))/SQRT(E50^2+INDEX(valor_asignado!$H:$H,MATCH(B50,valor_asignado!$B:$B,0))^2))</f>
        <v>0.490588678884994</v>
      </c>
      <c r="K50" s="5" t="str">
        <f aca="false">IF(J50="","N/A",IF(ABS(J50)&lt;=2,"Satisfactorio",IF(ABS(J50)&lt;3,"Cuestionable","No satisfactorio")))</f>
        <v>Satisfactorio</v>
      </c>
      <c r="L50" s="4" t="n">
        <f aca="false">IF(OR(NOT(ISNUMBER(D50)),NOT(ISNUMBER(INDEX(valor_asignado!$C:$C,MATCH(B50,valor_asignado!$B:$B,0)))),NOT(ISNUMBER(SQRT((2*E50)^2+(2*INDEX(valor_asignado!$H:$H,MATCH(B50,valor_asignado!$B:$B,0)))^2))),SQRT((2*E50)^2+(2*INDEX(valor_asignado!$H:$H,MATCH(B50,valor_asignado!$B:$B,0)))^2)=0),"",(D50-INDEX(valor_asignado!$C:$C,MATCH(B50,valor_asignado!$B:$B,0)))/SQRT((2*E50)^2+(2*INDEX(valor_asignado!$H:$H,MATCH(B50,valor_asignado!$B:$B,0)))^2))</f>
        <v>0.245294339442497</v>
      </c>
      <c r="M50" s="5" t="str">
        <f aca="false">IF(L50="","N/A",IF(ABS(L50)&lt;=1,"Satisfactorio","No satisfactorio"))</f>
        <v>Satisfactorio</v>
      </c>
      <c r="N50" s="5" t="str">
        <f aca="false">IF(AND(SUM(IF(AND(D50="",validacion_snapshot!$U$97=""),0,IFERROR(ABS(D50-validacion_snapshot!$U$97),1E+099)),IF(AND(E50="",validacion_snapshot!$V$97=""),0,IFERROR(ABS(E50-validacion_snapshot!$V$97),1E+099)),IF(AND(F50="",validacion_snapshot!$W$97=""),0,IFERROR(ABS(F50-validacion_snapshot!$W$97),1E+099)),IF(AND(H50="",validacion_snapshot!$Y$97=""),0,IFERROR(ABS(H50-validacion_snapshot!$Y$97),1E+099)),IF(AND(J50="",validacion_snapshot!$AA$97=""),0,IFERROR(ABS(J50-validacion_snapshot!$AA$97),1E+099)),IF(AND(L50="",validacion_snapshot!$AC$97=""),0,IFERROR(ABS(L50-validacion_snapshot!$AC$97),1E+099)))&lt;=0.00000001,G50=validacion_snapshot!$X$97,I50=validacion_snapshot!$Z$97,K50=validacion_snapshot!$AB$97,M50=validacion_snapshot!$AD$97),"OK","FALLA")</f>
        <v>OK</v>
      </c>
    </row>
    <row r="51" customFormat="false" ht="15" hidden="false" customHeight="false" outlineLevel="0" collapsed="false">
      <c r="A51" s="3"/>
      <c r="B51" s="3" t="s">
        <v>197</v>
      </c>
      <c r="C51" s="3" t="s">
        <v>127</v>
      </c>
      <c r="D51" s="4" t="n">
        <f aca="false">INDEX(datos_participantes!$D:$D,MATCH(C51,datos_participantes!$A:$A,0))</f>
        <v>177.981666666667</v>
      </c>
      <c r="E51" s="4" t="n">
        <f aca="false">INDEX(datos_participantes!$F:$F,MATCH(C51,datos_participantes!$A:$A,0))</f>
        <v>0.414358062941227</v>
      </c>
      <c r="F51" s="4" t="n">
        <f aca="false">IF(OR(NOT(ISNUMBER(D51)),NOT(ISNUMBER(INDEX(valor_asignado!$C:$C,MATCH(B51,valor_asignado!$B:$B,0)))),NOT(ISNUMBER(INDEX(valor_asignado!$D:$D,MATCH(B51,valor_asignado!$B:$B,0)))),INDEX(valor_asignado!$D:$D,MATCH(B51,valor_asignado!$B:$B,0))=0),"",(D51-INDEX(valor_asignado!$C:$C,MATCH(B51,valor_asignado!$B:$B,0)))/INDEX(valor_asignado!$D:$D,MATCH(B51,valor_asignado!$B:$B,0)))</f>
        <v>0.0807653893580781</v>
      </c>
      <c r="G51" s="5" t="str">
        <f aca="false">IF(F51="","N/A",IF(ABS(F51)&lt;=2,"Satisfactorio",IF(ABS(F51)&lt;3,"Cuestionable","No satisfactorio")))</f>
        <v>Satisfactorio</v>
      </c>
      <c r="H51" s="4" t="n">
        <f aca="false">IF(OR(NOT(ISNUMBER(D51)),NOT(ISNUMBER(INDEX(valor_asignado!$C:$C,MATCH(B51,valor_asignado!$B:$B,0)))),NOT(ISNUMBER(SQRT(INDEX(valor_asignado!$D:$D,MATCH(B51,valor_asignado!$B:$B,0))^2+INDEX(valor_asignado!$H:$H,MATCH(B51,valor_asignado!$B:$B,0))^2))),SQRT(INDEX(valor_asignado!$D:$D,MATCH(B51,valor_asignado!$B:$B,0))^2+INDEX(valor_asignado!$H:$H,MATCH(B51,valor_asignado!$B:$B,0))^2)=0),"",(D51-INDEX(valor_asignado!$C:$C,MATCH(B51,valor_asignado!$B:$B,0)))/SQRT(INDEX(valor_asignado!$D:$D,MATCH(B51,valor_asignado!$B:$B,0))^2+INDEX(valor_asignado!$H:$H,MATCH(B51,valor_asignado!$B:$B,0))^2))</f>
        <v>0.0725034817918583</v>
      </c>
      <c r="I51" s="5" t="str">
        <f aca="false">IF(H51="","N/A",IF(ABS(H51)&lt;=2,"Satisfactorio",IF(ABS(H51)&lt;3,"Cuestionable","No satisfactorio")))</f>
        <v>Satisfactorio</v>
      </c>
      <c r="J51" s="4" t="n">
        <f aca="false">IF(OR(NOT(ISNUMBER(D51)),NOT(ISNUMBER(INDEX(valor_asignado!$C:$C,MATCH(B51,valor_asignado!$B:$B,0)))),NOT(ISNUMBER(SQRT(E51^2+INDEX(valor_asignado!$H:$H,MATCH(B51,valor_asignado!$B:$B,0))^2))),SQRT(E51^2+INDEX(valor_asignado!$H:$H,MATCH(B51,valor_asignado!$B:$B,0))^2)=0),"",(D51-INDEX(valor_asignado!$C:$C,MATCH(B51,valor_asignado!$B:$B,0)))/SQRT(E51^2+INDEX(valor_asignado!$H:$H,MATCH(B51,valor_asignado!$B:$B,0))^2))</f>
        <v>0.161798356329087</v>
      </c>
      <c r="K51" s="5" t="str">
        <f aca="false">IF(J51="","N/A",IF(ABS(J51)&lt;=2,"Satisfactorio",IF(ABS(J51)&lt;3,"Cuestionable","No satisfactorio")))</f>
        <v>Satisfactorio</v>
      </c>
      <c r="L51" s="4" t="n">
        <f aca="false">IF(OR(NOT(ISNUMBER(D51)),NOT(ISNUMBER(INDEX(valor_asignado!$C:$C,MATCH(B51,valor_asignado!$B:$B,0)))),NOT(ISNUMBER(SQRT((2*E51)^2+(2*INDEX(valor_asignado!$H:$H,MATCH(B51,valor_asignado!$B:$B,0)))^2))),SQRT((2*E51)^2+(2*INDEX(valor_asignado!$H:$H,MATCH(B51,valor_asignado!$B:$B,0)))^2)=0),"",(D51-INDEX(valor_asignado!$C:$C,MATCH(B51,valor_asignado!$B:$B,0)))/SQRT((2*E51)^2+(2*INDEX(valor_asignado!$H:$H,MATCH(B51,valor_asignado!$B:$B,0)))^2))</f>
        <v>0.0808991781645435</v>
      </c>
      <c r="M51" s="5" t="str">
        <f aca="false">IF(L51="","N/A",IF(ABS(L51)&lt;=1,"Satisfactorio","No satisfactorio"))</f>
        <v>Satisfactorio</v>
      </c>
      <c r="N51" s="5" t="str">
        <f aca="false">IF(AND(SUM(IF(AND(D51="",validacion_snapshot!$U$98=""),0,IFERROR(ABS(D51-validacion_snapshot!$U$98),1E+099)),IF(AND(E51="",validacion_snapshot!$V$98=""),0,IFERROR(ABS(E51-validacion_snapshot!$V$98),1E+099)),IF(AND(F51="",validacion_snapshot!$W$98=""),0,IFERROR(ABS(F51-validacion_snapshot!$W$98),1E+099)),IF(AND(H51="",validacion_snapshot!$Y$98=""),0,IFERROR(ABS(H51-validacion_snapshot!$Y$98),1E+099)),IF(AND(J51="",validacion_snapshot!$AA$98=""),0,IFERROR(ABS(J51-validacion_snapshot!$AA$98),1E+099)),IF(AND(L51="",validacion_snapshot!$AC$98=""),0,IFERROR(ABS(L51-validacion_snapshot!$AC$98),1E+099)))&lt;=0.00000001,G51=validacion_snapshot!$X$98,I51=validacion_snapshot!$Z$98,K51=validacion_snapshot!$AB$98,M51=validacion_snapshot!$AD$98),"OK","FALLA")</f>
        <v>OK</v>
      </c>
    </row>
    <row r="52" customFormat="false" ht="15" hidden="false" customHeight="false" outlineLevel="0" collapsed="false">
      <c r="A52" s="3"/>
      <c r="B52" s="3" t="s">
        <v>197</v>
      </c>
      <c r="C52" s="3" t="s">
        <v>128</v>
      </c>
      <c r="D52" s="4" t="n">
        <f aca="false">INDEX(datos_participantes!$D:$D,MATCH(C52,datos_participantes!$A:$A,0))</f>
        <v>179.610333333333</v>
      </c>
      <c r="E52" s="4" t="n">
        <f aca="false">INDEX(datos_participantes!$F:$F,MATCH(C52,datos_participantes!$A:$A,0))</f>
        <v>0.380761268150885</v>
      </c>
      <c r="F52" s="4" t="n">
        <f aca="false">IF(OR(NOT(ISNUMBER(D52)),NOT(ISNUMBER(INDEX(valor_asignado!$C:$C,MATCH(B52,valor_asignado!$B:$B,0)))),NOT(ISNUMBER(INDEX(valor_asignado!$D:$D,MATCH(B52,valor_asignado!$B:$B,0)))),INDEX(valor_asignado!$D:$D,MATCH(B52,valor_asignado!$B:$B,0))=0),"",(D52-INDEX(valor_asignado!$C:$C,MATCH(B52,valor_asignado!$B:$B,0)))/INDEX(valor_asignado!$D:$D,MATCH(B52,valor_asignado!$B:$B,0)))</f>
        <v>0.438534829433379</v>
      </c>
      <c r="G52" s="5" t="str">
        <f aca="false">IF(F52="","N/A",IF(ABS(F52)&lt;=2,"Satisfactorio",IF(ABS(F52)&lt;3,"Cuestionable","No satisfactorio")))</f>
        <v>Satisfactorio</v>
      </c>
      <c r="H52" s="4" t="n">
        <f aca="false">IF(OR(NOT(ISNUMBER(D52)),NOT(ISNUMBER(INDEX(valor_asignado!$C:$C,MATCH(B52,valor_asignado!$B:$B,0)))),NOT(ISNUMBER(SQRT(INDEX(valor_asignado!$D:$D,MATCH(B52,valor_asignado!$B:$B,0))^2+INDEX(valor_asignado!$H:$H,MATCH(B52,valor_asignado!$B:$B,0))^2))),SQRT(INDEX(valor_asignado!$D:$D,MATCH(B52,valor_asignado!$B:$B,0))^2+INDEX(valor_asignado!$H:$H,MATCH(B52,valor_asignado!$B:$B,0))^2)=0),"",(D52-INDEX(valor_asignado!$C:$C,MATCH(B52,valor_asignado!$B:$B,0)))/SQRT(INDEX(valor_asignado!$D:$D,MATCH(B52,valor_asignado!$B:$B,0))^2+INDEX(valor_asignado!$H:$H,MATCH(B52,valor_asignado!$B:$B,0))^2))</f>
        <v>0.393674843563898</v>
      </c>
      <c r="I52" s="5" t="str">
        <f aca="false">IF(H52="","N/A",IF(ABS(H52)&lt;=2,"Satisfactorio",IF(ABS(H52)&lt;3,"Cuestionable","No satisfactorio")))</f>
        <v>Satisfactorio</v>
      </c>
      <c r="J52" s="4" t="n">
        <f aca="false">IF(OR(NOT(ISNUMBER(D52)),NOT(ISNUMBER(INDEX(valor_asignado!$C:$C,MATCH(B52,valor_asignado!$B:$B,0)))),NOT(ISNUMBER(SQRT(E52^2+INDEX(valor_asignado!$H:$H,MATCH(B52,valor_asignado!$B:$B,0))^2))),SQRT(E52^2+INDEX(valor_asignado!$H:$H,MATCH(B52,valor_asignado!$B:$B,0))^2)=0),"",(D52-INDEX(valor_asignado!$C:$C,MATCH(B52,valor_asignado!$B:$B,0)))/SQRT(E52^2+INDEX(valor_asignado!$H:$H,MATCH(B52,valor_asignado!$B:$B,0))^2))</f>
        <v>0.880803831975787</v>
      </c>
      <c r="K52" s="5" t="str">
        <f aca="false">IF(J52="","N/A",IF(ABS(J52)&lt;=2,"Satisfactorio",IF(ABS(J52)&lt;3,"Cuestionable","No satisfactorio")))</f>
        <v>Satisfactorio</v>
      </c>
      <c r="L52" s="4" t="n">
        <f aca="false">IF(OR(NOT(ISNUMBER(D52)),NOT(ISNUMBER(INDEX(valor_asignado!$C:$C,MATCH(B52,valor_asignado!$B:$B,0)))),NOT(ISNUMBER(SQRT((2*E52)^2+(2*INDEX(valor_asignado!$H:$H,MATCH(B52,valor_asignado!$B:$B,0)))^2))),SQRT((2*E52)^2+(2*INDEX(valor_asignado!$H:$H,MATCH(B52,valor_asignado!$B:$B,0)))^2)=0),"",(D52-INDEX(valor_asignado!$C:$C,MATCH(B52,valor_asignado!$B:$B,0)))/SQRT((2*E52)^2+(2*INDEX(valor_asignado!$H:$H,MATCH(B52,valor_asignado!$B:$B,0)))^2))</f>
        <v>0.440401915987893</v>
      </c>
      <c r="M52" s="5" t="str">
        <f aca="false">IF(L52="","N/A",IF(ABS(L52)&lt;=1,"Satisfactorio","No satisfactorio"))</f>
        <v>Satisfactorio</v>
      </c>
      <c r="N52" s="5" t="str">
        <f aca="false">IF(AND(SUM(IF(AND(D52="",validacion_snapshot!$U$99=""),0,IFERROR(ABS(D52-validacion_snapshot!$U$99),1E+099)),IF(AND(E52="",validacion_snapshot!$V$99=""),0,IFERROR(ABS(E52-validacion_snapshot!$V$99),1E+099)),IF(AND(F52="",validacion_snapshot!$W$99=""),0,IFERROR(ABS(F52-validacion_snapshot!$W$99),1E+099)),IF(AND(H52="",validacion_snapshot!$Y$99=""),0,IFERROR(ABS(H52-validacion_snapshot!$Y$99),1E+099)),IF(AND(J52="",validacion_snapshot!$AA$99=""),0,IFERROR(ABS(J52-validacion_snapshot!$AA$99),1E+099)),IF(AND(L52="",validacion_snapshot!$AC$99=""),0,IFERROR(ABS(L52-validacion_snapshot!$AC$99),1E+099)))&lt;=0.00000001,G52=validacion_snapshot!$X$99,I52=validacion_snapshot!$Z$99,K52=validacion_snapshot!$AB$99,M52=validacion_snapshot!$AD$99),"OK","FALLA")</f>
        <v>OK</v>
      </c>
    </row>
    <row r="53" customFormat="false" ht="15" hidden="false" customHeight="false" outlineLevel="0" collapsed="false">
      <c r="A53" s="3"/>
      <c r="B53" s="3" t="s">
        <v>197</v>
      </c>
      <c r="C53" s="3" t="s">
        <v>129</v>
      </c>
      <c r="D53" s="4" t="n">
        <f aca="false">INDEX(datos_participantes!$D:$D,MATCH(C53,datos_participantes!$A:$A,0))</f>
        <v>178.669666666667</v>
      </c>
      <c r="E53" s="4" t="n">
        <f aca="false">INDEX(datos_participantes!$F:$F,MATCH(C53,datos_participantes!$A:$A,0))</f>
        <v>0.343658946047462</v>
      </c>
      <c r="F53" s="4" t="n">
        <f aca="false">IF(OR(NOT(ISNUMBER(D53)),NOT(ISNUMBER(INDEX(valor_asignado!$C:$C,MATCH(B53,valor_asignado!$B:$B,0)))),NOT(ISNUMBER(INDEX(valor_asignado!$D:$D,MATCH(B53,valor_asignado!$B:$B,0)))),INDEX(valor_asignado!$D:$D,MATCH(B53,valor_asignado!$B:$B,0))=0),"",(D53-INDEX(valor_asignado!$C:$C,MATCH(B53,valor_asignado!$B:$B,0)))/INDEX(valor_asignado!$D:$D,MATCH(B53,valor_asignado!$B:$B,0)))</f>
        <v>0.231898447957289</v>
      </c>
      <c r="G53" s="5" t="str">
        <f aca="false">IF(F53="","N/A",IF(ABS(F53)&lt;=2,"Satisfactorio",IF(ABS(F53)&lt;3,"Cuestionable","No satisfactorio")))</f>
        <v>Satisfactorio</v>
      </c>
      <c r="H53" s="4" t="n">
        <f aca="false">IF(OR(NOT(ISNUMBER(D53)),NOT(ISNUMBER(INDEX(valor_asignado!$C:$C,MATCH(B53,valor_asignado!$B:$B,0)))),NOT(ISNUMBER(SQRT(INDEX(valor_asignado!$D:$D,MATCH(B53,valor_asignado!$B:$B,0))^2+INDEX(valor_asignado!$H:$H,MATCH(B53,valor_asignado!$B:$B,0))^2))),SQRT(INDEX(valor_asignado!$D:$D,MATCH(B53,valor_asignado!$B:$B,0))^2+INDEX(valor_asignado!$H:$H,MATCH(B53,valor_asignado!$B:$B,0))^2)=0),"",(D53-INDEX(valor_asignado!$C:$C,MATCH(B53,valor_asignado!$B:$B,0)))/SQRT(INDEX(valor_asignado!$D:$D,MATCH(B53,valor_asignado!$B:$B,0))^2+INDEX(valor_asignado!$H:$H,MATCH(B53,valor_asignado!$B:$B,0))^2))</f>
        <v>0.208176361590831</v>
      </c>
      <c r="I53" s="5" t="str">
        <f aca="false">IF(H53="","N/A",IF(ABS(H53)&lt;=2,"Satisfactorio",IF(ABS(H53)&lt;3,"Cuestionable","No satisfactorio")))</f>
        <v>Satisfactorio</v>
      </c>
      <c r="J53" s="4" t="n">
        <f aca="false">IF(OR(NOT(ISNUMBER(D53)),NOT(ISNUMBER(INDEX(valor_asignado!$C:$C,MATCH(B53,valor_asignado!$B:$B,0)))),NOT(ISNUMBER(SQRT(E53^2+INDEX(valor_asignado!$H:$H,MATCH(B53,valor_asignado!$B:$B,0))^2))),SQRT(E53^2+INDEX(valor_asignado!$H:$H,MATCH(B53,valor_asignado!$B:$B,0))^2)=0),"",(D53-INDEX(valor_asignado!$C:$C,MATCH(B53,valor_asignado!$B:$B,0)))/SQRT(E53^2+INDEX(valor_asignado!$H:$H,MATCH(B53,valor_asignado!$B:$B,0))^2))</f>
        <v>0.466994843427061</v>
      </c>
      <c r="K53" s="5" t="str">
        <f aca="false">IF(J53="","N/A",IF(ABS(J53)&lt;=2,"Satisfactorio",IF(ABS(J53)&lt;3,"Cuestionable","No satisfactorio")))</f>
        <v>Satisfactorio</v>
      </c>
      <c r="L53" s="4" t="n">
        <f aca="false">IF(OR(NOT(ISNUMBER(D53)),NOT(ISNUMBER(INDEX(valor_asignado!$C:$C,MATCH(B53,valor_asignado!$B:$B,0)))),NOT(ISNUMBER(SQRT((2*E53)^2+(2*INDEX(valor_asignado!$H:$H,MATCH(B53,valor_asignado!$B:$B,0)))^2))),SQRT((2*E53)^2+(2*INDEX(valor_asignado!$H:$H,MATCH(B53,valor_asignado!$B:$B,0)))^2)=0),"",(D53-INDEX(valor_asignado!$C:$C,MATCH(B53,valor_asignado!$B:$B,0)))/SQRT((2*E53)^2+(2*INDEX(valor_asignado!$H:$H,MATCH(B53,valor_asignado!$B:$B,0)))^2))</f>
        <v>0.23349742171353</v>
      </c>
      <c r="M53" s="5" t="str">
        <f aca="false">IF(L53="","N/A",IF(ABS(L53)&lt;=1,"Satisfactorio","No satisfactorio"))</f>
        <v>Satisfactorio</v>
      </c>
      <c r="N53" s="5" t="str">
        <f aca="false">IF(AND(SUM(IF(AND(D53="",validacion_snapshot!$U$100=""),0,IFERROR(ABS(D53-validacion_snapshot!$U$100),1E+099)),IF(AND(E53="",validacion_snapshot!$V$100=""),0,IFERROR(ABS(E53-validacion_snapshot!$V$100),1E+099)),IF(AND(F53="",validacion_snapshot!$W$100=""),0,IFERROR(ABS(F53-validacion_snapshot!$W$100),1E+099)),IF(AND(H53="",validacion_snapshot!$Y$100=""),0,IFERROR(ABS(H53-validacion_snapshot!$Y$100),1E+099)),IF(AND(J53="",validacion_snapshot!$AA$100=""),0,IFERROR(ABS(J53-validacion_snapshot!$AA$100),1E+099)),IF(AND(L53="",validacion_snapshot!$AC$100=""),0,IFERROR(ABS(L53-validacion_snapshot!$AC$100),1E+099)))&lt;=0.00000001,G53=validacion_snapshot!$X$100,I53=validacion_snapshot!$Z$100,K53=validacion_snapshot!$AB$100,M53=validacion_snapshot!$AD$100),"OK","FALLA")</f>
        <v>OK</v>
      </c>
    </row>
    <row r="54" customFormat="false" ht="15" hidden="false" customHeight="false" outlineLevel="0" collapsed="false">
      <c r="A54" s="3"/>
      <c r="B54" s="3" t="s">
        <v>197</v>
      </c>
      <c r="C54" s="3" t="s">
        <v>130</v>
      </c>
      <c r="D54" s="4" t="n">
        <f aca="false">INDEX(datos_participantes!$D:$D,MATCH(C54,datos_participantes!$A:$A,0))</f>
        <v>177.849</v>
      </c>
      <c r="E54" s="4" t="n">
        <f aca="false">INDEX(datos_participantes!$F:$F,MATCH(C54,datos_participantes!$A:$A,0))</f>
        <v>0.140176574676736</v>
      </c>
      <c r="F54" s="4" t="n">
        <f aca="false">IF(OR(NOT(ISNUMBER(D54)),NOT(ISNUMBER(INDEX(valor_asignado!$C:$C,MATCH(B54,valor_asignado!$B:$B,0)))),NOT(ISNUMBER(INDEX(valor_asignado!$D:$D,MATCH(B54,valor_asignado!$B:$B,0)))),INDEX(valor_asignado!$D:$D,MATCH(B54,valor_asignado!$B:$B,0))=0),"",(D54-INDEX(valor_asignado!$C:$C,MATCH(B54,valor_asignado!$B:$B,0)))/INDEX(valor_asignado!$D:$D,MATCH(B54,valor_asignado!$B:$B,0)))</f>
        <v>0.0516224836785051</v>
      </c>
      <c r="G54" s="5" t="str">
        <f aca="false">IF(F54="","N/A",IF(ABS(F54)&lt;=2,"Satisfactorio",IF(ABS(F54)&lt;3,"Cuestionable","No satisfactorio")))</f>
        <v>Satisfactorio</v>
      </c>
      <c r="H54" s="4" t="n">
        <f aca="false">IF(OR(NOT(ISNUMBER(D54)),NOT(ISNUMBER(INDEX(valor_asignado!$C:$C,MATCH(B54,valor_asignado!$B:$B,0)))),NOT(ISNUMBER(SQRT(INDEX(valor_asignado!$D:$D,MATCH(B54,valor_asignado!$B:$B,0))^2+INDEX(valor_asignado!$H:$H,MATCH(B54,valor_asignado!$B:$B,0))^2))),SQRT(INDEX(valor_asignado!$D:$D,MATCH(B54,valor_asignado!$B:$B,0))^2+INDEX(valor_asignado!$H:$H,MATCH(B54,valor_asignado!$B:$B,0))^2)=0),"",(D54-INDEX(valor_asignado!$C:$C,MATCH(B54,valor_asignado!$B:$B,0)))/SQRT(INDEX(valor_asignado!$D:$D,MATCH(B54,valor_asignado!$B:$B,0))^2+INDEX(valor_asignado!$H:$H,MATCH(B54,valor_asignado!$B:$B,0))^2))</f>
        <v>0.0463417540010985</v>
      </c>
      <c r="I54" s="5" t="str">
        <f aca="false">IF(H54="","N/A",IF(ABS(H54)&lt;=2,"Satisfactorio",IF(ABS(H54)&lt;3,"Cuestionable","No satisfactorio")))</f>
        <v>Satisfactorio</v>
      </c>
      <c r="J54" s="4" t="n">
        <f aca="false">IF(OR(NOT(ISNUMBER(D54)),NOT(ISNUMBER(INDEX(valor_asignado!$C:$C,MATCH(B54,valor_asignado!$B:$B,0)))),NOT(ISNUMBER(SQRT(E54^2+INDEX(valor_asignado!$H:$H,MATCH(B54,valor_asignado!$B:$B,0))^2))),SQRT(E54^2+INDEX(valor_asignado!$H:$H,MATCH(B54,valor_asignado!$B:$B,0))^2)=0),"",(D54-INDEX(valor_asignado!$C:$C,MATCH(B54,valor_asignado!$B:$B,0)))/SQRT(E54^2+INDEX(valor_asignado!$H:$H,MATCH(B54,valor_asignado!$B:$B,0))^2))</f>
        <v>0.104972987586357</v>
      </c>
      <c r="K54" s="5" t="str">
        <f aca="false">IF(J54="","N/A",IF(ABS(J54)&lt;=2,"Satisfactorio",IF(ABS(J54)&lt;3,"Cuestionable","No satisfactorio")))</f>
        <v>Satisfactorio</v>
      </c>
      <c r="L54" s="4" t="n">
        <f aca="false">IF(OR(NOT(ISNUMBER(D54)),NOT(ISNUMBER(INDEX(valor_asignado!$C:$C,MATCH(B54,valor_asignado!$B:$B,0)))),NOT(ISNUMBER(SQRT((2*E54)^2+(2*INDEX(valor_asignado!$H:$H,MATCH(B54,valor_asignado!$B:$B,0)))^2))),SQRT((2*E54)^2+(2*INDEX(valor_asignado!$H:$H,MATCH(B54,valor_asignado!$B:$B,0)))^2)=0),"",(D54-INDEX(valor_asignado!$C:$C,MATCH(B54,valor_asignado!$B:$B,0)))/SQRT((2*E54)^2+(2*INDEX(valor_asignado!$H:$H,MATCH(B54,valor_asignado!$B:$B,0)))^2))</f>
        <v>0.0524864937931787</v>
      </c>
      <c r="M54" s="5" t="str">
        <f aca="false">IF(L54="","N/A",IF(ABS(L54)&lt;=1,"Satisfactorio","No satisfactorio"))</f>
        <v>Satisfactorio</v>
      </c>
      <c r="N54" s="5" t="str">
        <f aca="false">IF(AND(SUM(IF(AND(D54="",validacion_snapshot!$U$101=""),0,IFERROR(ABS(D54-validacion_snapshot!$U$101),1E+099)),IF(AND(E54="",validacion_snapshot!$V$101=""),0,IFERROR(ABS(E54-validacion_snapshot!$V$101),1E+099)),IF(AND(F54="",validacion_snapshot!$W$101=""),0,IFERROR(ABS(F54-validacion_snapshot!$W$101),1E+099)),IF(AND(H54="",validacion_snapshot!$Y$101=""),0,IFERROR(ABS(H54-validacion_snapshot!$Y$101),1E+099)),IF(AND(J54="",validacion_snapshot!$AA$101=""),0,IFERROR(ABS(J54-validacion_snapshot!$AA$101),1E+099)),IF(AND(L54="",validacion_snapshot!$AC$101=""),0,IFERROR(ABS(L54-validacion_snapshot!$AC$101),1E+099)))&lt;=0.00000001,G54=validacion_snapshot!$X$101,I54=validacion_snapshot!$Z$101,K54=validacion_snapshot!$AB$101,M54=validacion_snapshot!$AD$101),"OK","FALLA")</f>
        <v>OK</v>
      </c>
    </row>
    <row r="55" customFormat="false" ht="15" hidden="false" customHeight="false" outlineLevel="0" collapsed="false">
      <c r="A55" s="3"/>
      <c r="B55" s="3" t="s">
        <v>197</v>
      </c>
      <c r="C55" s="3" t="s">
        <v>131</v>
      </c>
      <c r="D55" s="4" t="n">
        <f aca="false">INDEX(datos_participantes!$D:$D,MATCH(C55,datos_participantes!$A:$A,0))</f>
        <v>178.039333333333</v>
      </c>
      <c r="E55" s="4" t="n">
        <f aca="false">INDEX(datos_participantes!$F:$F,MATCH(C55,datos_participantes!$A:$A,0))</f>
        <v>0.00796067860388924</v>
      </c>
      <c r="F55" s="4" t="n">
        <f aca="false">IF(OR(NOT(ISNUMBER(D55)),NOT(ISNUMBER(INDEX(valor_asignado!$C:$C,MATCH(B55,valor_asignado!$B:$B,0)))),NOT(ISNUMBER(INDEX(valor_asignado!$D:$D,MATCH(B55,valor_asignado!$B:$B,0)))),INDEX(valor_asignado!$D:$D,MATCH(B55,valor_asignado!$B:$B,0))=0),"",(D55-INDEX(valor_asignado!$C:$C,MATCH(B55,valor_asignado!$B:$B,0)))/INDEX(valor_asignado!$D:$D,MATCH(B55,valor_asignado!$B:$B,0)))</f>
        <v>0.0934330342889687</v>
      </c>
      <c r="G55" s="5" t="str">
        <f aca="false">IF(F55="","N/A",IF(ABS(F55)&lt;=2,"Satisfactorio",IF(ABS(F55)&lt;3,"Cuestionable","No satisfactorio")))</f>
        <v>Satisfactorio</v>
      </c>
      <c r="H55" s="4" t="n">
        <f aca="false">IF(OR(NOT(ISNUMBER(D55)),NOT(ISNUMBER(INDEX(valor_asignado!$C:$C,MATCH(B55,valor_asignado!$B:$B,0)))),NOT(ISNUMBER(SQRT(INDEX(valor_asignado!$D:$D,MATCH(B55,valor_asignado!$B:$B,0))^2+INDEX(valor_asignado!$H:$H,MATCH(B55,valor_asignado!$B:$B,0))^2))),SQRT(INDEX(valor_asignado!$D:$D,MATCH(B55,valor_asignado!$B:$B,0))^2+INDEX(valor_asignado!$H:$H,MATCH(B55,valor_asignado!$B:$B,0))^2)=0),"",(D55-INDEX(valor_asignado!$C:$C,MATCH(B55,valor_asignado!$B:$B,0)))/SQRT(INDEX(valor_asignado!$D:$D,MATCH(B55,valor_asignado!$B:$B,0))^2+INDEX(valor_asignado!$H:$H,MATCH(B55,valor_asignado!$B:$B,0))^2))</f>
        <v>0.0838752880927053</v>
      </c>
      <c r="I55" s="5" t="str">
        <f aca="false">IF(H55="","N/A",IF(ABS(H55)&lt;=2,"Satisfactorio",IF(ABS(H55)&lt;3,"Cuestionable","No satisfactorio")))</f>
        <v>Satisfactorio</v>
      </c>
      <c r="J55" s="4" t="n">
        <f aca="false">IF(OR(NOT(ISNUMBER(D55)),NOT(ISNUMBER(INDEX(valor_asignado!$C:$C,MATCH(B55,valor_asignado!$B:$B,0)))),NOT(ISNUMBER(SQRT(E55^2+INDEX(valor_asignado!$H:$H,MATCH(B55,valor_asignado!$B:$B,0))^2))),SQRT(E55^2+INDEX(valor_asignado!$H:$H,MATCH(B55,valor_asignado!$B:$B,0))^2)=0),"",(D55-INDEX(valor_asignado!$C:$C,MATCH(B55,valor_asignado!$B:$B,0)))/SQRT(E55^2+INDEX(valor_asignado!$H:$H,MATCH(B55,valor_asignado!$B:$B,0))^2))</f>
        <v>0.19036601294098</v>
      </c>
      <c r="K55" s="5" t="str">
        <f aca="false">IF(J55="","N/A",IF(ABS(J55)&lt;=2,"Satisfactorio",IF(ABS(J55)&lt;3,"Cuestionable","No satisfactorio")))</f>
        <v>Satisfactorio</v>
      </c>
      <c r="L55" s="4" t="n">
        <f aca="false">IF(OR(NOT(ISNUMBER(D55)),NOT(ISNUMBER(INDEX(valor_asignado!$C:$C,MATCH(B55,valor_asignado!$B:$B,0)))),NOT(ISNUMBER(SQRT((2*E55)^2+(2*INDEX(valor_asignado!$H:$H,MATCH(B55,valor_asignado!$B:$B,0)))^2))),SQRT((2*E55)^2+(2*INDEX(valor_asignado!$H:$H,MATCH(B55,valor_asignado!$B:$B,0)))^2)=0),"",(D55-INDEX(valor_asignado!$C:$C,MATCH(B55,valor_asignado!$B:$B,0)))/SQRT((2*E55)^2+(2*INDEX(valor_asignado!$H:$H,MATCH(B55,valor_asignado!$B:$B,0)))^2))</f>
        <v>0.0951830064704898</v>
      </c>
      <c r="M55" s="5" t="str">
        <f aca="false">IF(L55="","N/A",IF(ABS(L55)&lt;=1,"Satisfactorio","No satisfactorio"))</f>
        <v>Satisfactorio</v>
      </c>
      <c r="N55" s="5" t="str">
        <f aca="false">IF(AND(SUM(IF(AND(D55="",validacion_snapshot!$U$102=""),0,IFERROR(ABS(D55-validacion_snapshot!$U$102),1E+099)),IF(AND(E55="",validacion_snapshot!$V$102=""),0,IFERROR(ABS(E55-validacion_snapshot!$V$102),1E+099)),IF(AND(F55="",validacion_snapshot!$W$102=""),0,IFERROR(ABS(F55-validacion_snapshot!$W$102),1E+099)),IF(AND(H55="",validacion_snapshot!$Y$102=""),0,IFERROR(ABS(H55-validacion_snapshot!$Y$102),1E+099)),IF(AND(J55="",validacion_snapshot!$AA$102=""),0,IFERROR(ABS(J55-validacion_snapshot!$AA$102),1E+099)),IF(AND(L55="",validacion_snapshot!$AC$102=""),0,IFERROR(ABS(L55-validacion_snapshot!$AC$102),1E+099)))&lt;=0.00000001,G55=validacion_snapshot!$X$102,I55=validacion_snapshot!$Z$102,K55=validacion_snapshot!$AB$102,M55=validacion_snapshot!$AD$102),"OK","FALLA")</f>
        <v>OK</v>
      </c>
    </row>
    <row r="56" customFormat="false" ht="15" hidden="false" customHeight="false" outlineLevel="0" collapsed="false">
      <c r="A56" s="3"/>
      <c r="B56" s="3" t="s">
        <v>197</v>
      </c>
      <c r="C56" s="3" t="s">
        <v>132</v>
      </c>
      <c r="D56" s="4" t="n">
        <f aca="false">INDEX(datos_participantes!$D:$D,MATCH(C56,datos_participantes!$A:$A,0))</f>
        <v>179.197666666667</v>
      </c>
      <c r="E56" s="4" t="n">
        <f aca="false">INDEX(datos_participantes!$F:$F,MATCH(C56,datos_participantes!$A:$A,0))</f>
        <v>0.23561544179908</v>
      </c>
      <c r="F56" s="4" t="n">
        <f aca="false">IF(OR(NOT(ISNUMBER(D56)),NOT(ISNUMBER(INDEX(valor_asignado!$C:$C,MATCH(B56,valor_asignado!$B:$B,0)))),NOT(ISNUMBER(INDEX(valor_asignado!$D:$D,MATCH(B56,valor_asignado!$B:$B,0)))),INDEX(valor_asignado!$D:$D,MATCH(B56,valor_asignado!$B:$B,0))=0),"",(D56-INDEX(valor_asignado!$C:$C,MATCH(B56,valor_asignado!$B:$B,0)))/INDEX(valor_asignado!$D:$D,MATCH(B56,valor_asignado!$B:$B,0)))</f>
        <v>0.347884283626447</v>
      </c>
      <c r="G56" s="5" t="str">
        <f aca="false">IF(F56="","N/A",IF(ABS(F56)&lt;=2,"Satisfactorio",IF(ABS(F56)&lt;3,"Cuestionable","No satisfactorio")))</f>
        <v>Satisfactorio</v>
      </c>
      <c r="H56" s="4" t="n">
        <f aca="false">IF(OR(NOT(ISNUMBER(D56)),NOT(ISNUMBER(INDEX(valor_asignado!$C:$C,MATCH(B56,valor_asignado!$B:$B,0)))),NOT(ISNUMBER(SQRT(INDEX(valor_asignado!$D:$D,MATCH(B56,valor_asignado!$B:$B,0))^2+INDEX(valor_asignado!$H:$H,MATCH(B56,valor_asignado!$B:$B,0))^2))),SQRT(INDEX(valor_asignado!$D:$D,MATCH(B56,valor_asignado!$B:$B,0))^2+INDEX(valor_asignado!$H:$H,MATCH(B56,valor_asignado!$B:$B,0))^2)=0),"",(D56-INDEX(valor_asignado!$C:$C,MATCH(B56,valor_asignado!$B:$B,0)))/SQRT(INDEX(valor_asignado!$D:$D,MATCH(B56,valor_asignado!$B:$B,0))^2+INDEX(valor_asignado!$H:$H,MATCH(B56,valor_asignado!$B:$B,0))^2))</f>
        <v>0.31229740887841</v>
      </c>
      <c r="I56" s="5" t="str">
        <f aca="false">IF(H56="","N/A",IF(ABS(H56)&lt;=2,"Satisfactorio",IF(ABS(H56)&lt;3,"Cuestionable","No satisfactorio")))</f>
        <v>Satisfactorio</v>
      </c>
      <c r="J56" s="4" t="n">
        <f aca="false">IF(OR(NOT(ISNUMBER(D56)),NOT(ISNUMBER(INDEX(valor_asignado!$C:$C,MATCH(B56,valor_asignado!$B:$B,0)))),NOT(ISNUMBER(SQRT(E56^2+INDEX(valor_asignado!$H:$H,MATCH(B56,valor_asignado!$B:$B,0))^2))),SQRT(E56^2+INDEX(valor_asignado!$H:$H,MATCH(B56,valor_asignado!$B:$B,0))^2)=0),"",(D56-INDEX(valor_asignado!$C:$C,MATCH(B56,valor_asignado!$B:$B,0)))/SQRT(E56^2+INDEX(valor_asignado!$H:$H,MATCH(B56,valor_asignado!$B:$B,0))^2))</f>
        <v>0.704895959448484</v>
      </c>
      <c r="K56" s="5" t="str">
        <f aca="false">IF(J56="","N/A",IF(ABS(J56)&lt;=2,"Satisfactorio",IF(ABS(J56)&lt;3,"Cuestionable","No satisfactorio")))</f>
        <v>Satisfactorio</v>
      </c>
      <c r="L56" s="4" t="n">
        <f aca="false">IF(OR(NOT(ISNUMBER(D56)),NOT(ISNUMBER(INDEX(valor_asignado!$C:$C,MATCH(B56,valor_asignado!$B:$B,0)))),NOT(ISNUMBER(SQRT((2*E56)^2+(2*INDEX(valor_asignado!$H:$H,MATCH(B56,valor_asignado!$B:$B,0)))^2))),SQRT((2*E56)^2+(2*INDEX(valor_asignado!$H:$H,MATCH(B56,valor_asignado!$B:$B,0)))^2)=0),"",(D56-INDEX(valor_asignado!$C:$C,MATCH(B56,valor_asignado!$B:$B,0)))/SQRT((2*E56)^2+(2*INDEX(valor_asignado!$H:$H,MATCH(B56,valor_asignado!$B:$B,0)))^2))</f>
        <v>0.352447979724242</v>
      </c>
      <c r="M56" s="5" t="str">
        <f aca="false">IF(L56="","N/A",IF(ABS(L56)&lt;=1,"Satisfactorio","No satisfactorio"))</f>
        <v>Satisfactorio</v>
      </c>
      <c r="N56" s="5" t="str">
        <f aca="false">IF(AND(SUM(IF(AND(D56="",validacion_snapshot!$U$103=""),0,IFERROR(ABS(D56-validacion_snapshot!$U$103),1E+099)),IF(AND(E56="",validacion_snapshot!$V$103=""),0,IFERROR(ABS(E56-validacion_snapshot!$V$103),1E+099)),IF(AND(F56="",validacion_snapshot!$W$103=""),0,IFERROR(ABS(F56-validacion_snapshot!$W$103),1E+099)),IF(AND(H56="",validacion_snapshot!$Y$103=""),0,IFERROR(ABS(H56-validacion_snapshot!$Y$103),1E+099)),IF(AND(J56="",validacion_snapshot!$AA$103=""),0,IFERROR(ABS(J56-validacion_snapshot!$AA$103),1E+099)),IF(AND(L56="",validacion_snapshot!$AC$103=""),0,IFERROR(ABS(L56-validacion_snapshot!$AC$103),1E+099)))&lt;=0.00000001,G56=validacion_snapshot!$X$103,I56=validacion_snapshot!$Z$103,K56=validacion_snapshot!$AB$103,M56=validacion_snapshot!$AD$103),"OK","FALLA")</f>
        <v>OK</v>
      </c>
    </row>
    <row r="57" customFormat="false" ht="15" hidden="false" customHeight="false" outlineLevel="0" collapsed="false">
      <c r="A57" s="3"/>
      <c r="B57" s="3" t="s">
        <v>197</v>
      </c>
      <c r="C57" s="3" t="s">
        <v>133</v>
      </c>
      <c r="D57" s="4" t="n">
        <f aca="false">INDEX(datos_participantes!$D:$D,MATCH(C57,datos_participantes!$A:$A,0))</f>
        <v>178.035</v>
      </c>
      <c r="E57" s="4" t="n">
        <f aca="false">INDEX(datos_participantes!$F:$F,MATCH(C57,datos_participantes!$A:$A,0))</f>
        <v>0.0202713981208594</v>
      </c>
      <c r="F57" s="4" t="n">
        <f aca="false">IF(OR(NOT(ISNUMBER(D57)),NOT(ISNUMBER(INDEX(valor_asignado!$C:$C,MATCH(B57,valor_asignado!$B:$B,0)))),NOT(ISNUMBER(INDEX(valor_asignado!$D:$D,MATCH(B57,valor_asignado!$B:$B,0)))),INDEX(valor_asignado!$D:$D,MATCH(B57,valor_asignado!$B:$B,0))=0),"",(D57-INDEX(valor_asignado!$C:$C,MATCH(B57,valor_asignado!$B:$B,0)))/INDEX(valor_asignado!$D:$D,MATCH(B57,valor_asignado!$B:$B,0)))</f>
        <v>0.0924811303346877</v>
      </c>
      <c r="G57" s="5" t="str">
        <f aca="false">IF(F57="","N/A",IF(ABS(F57)&lt;=2,"Satisfactorio",IF(ABS(F57)&lt;3,"Cuestionable","No satisfactorio")))</f>
        <v>Satisfactorio</v>
      </c>
      <c r="H57" s="4" t="n">
        <f aca="false">IF(OR(NOT(ISNUMBER(D57)),NOT(ISNUMBER(INDEX(valor_asignado!$C:$C,MATCH(B57,valor_asignado!$B:$B,0)))),NOT(ISNUMBER(SQRT(INDEX(valor_asignado!$D:$D,MATCH(B57,valor_asignado!$B:$B,0))^2+INDEX(valor_asignado!$H:$H,MATCH(B57,valor_asignado!$B:$B,0))^2))),SQRT(INDEX(valor_asignado!$D:$D,MATCH(B57,valor_asignado!$B:$B,0))^2+INDEX(valor_asignado!$H:$H,MATCH(B57,valor_asignado!$B:$B,0))^2)=0),"",(D57-INDEX(valor_asignado!$C:$C,MATCH(B57,valor_asignado!$B:$B,0)))/SQRT(INDEX(valor_asignado!$D:$D,MATCH(B57,valor_asignado!$B:$B,0))^2+INDEX(valor_asignado!$H:$H,MATCH(B57,valor_asignado!$B:$B,0))^2))</f>
        <v>0.0830207592955887</v>
      </c>
      <c r="I57" s="5" t="str">
        <f aca="false">IF(H57="","N/A",IF(ABS(H57)&lt;=2,"Satisfactorio",IF(ABS(H57)&lt;3,"Cuestionable","No satisfactorio")))</f>
        <v>Satisfactorio</v>
      </c>
      <c r="J57" s="4" t="n">
        <f aca="false">IF(OR(NOT(ISNUMBER(D57)),NOT(ISNUMBER(INDEX(valor_asignado!$C:$C,MATCH(B57,valor_asignado!$B:$B,0)))),NOT(ISNUMBER(SQRT(E57^2+INDEX(valor_asignado!$H:$H,MATCH(B57,valor_asignado!$B:$B,0))^2))),SQRT(E57^2+INDEX(valor_asignado!$H:$H,MATCH(B57,valor_asignado!$B:$B,0))^2)=0),"",(D57-INDEX(valor_asignado!$C:$C,MATCH(B57,valor_asignado!$B:$B,0)))/SQRT(E57^2+INDEX(valor_asignado!$H:$H,MATCH(B57,valor_asignado!$B:$B,0))^2))</f>
        <v>0.188419988321675</v>
      </c>
      <c r="K57" s="5" t="str">
        <f aca="false">IF(J57="","N/A",IF(ABS(J57)&lt;=2,"Satisfactorio",IF(ABS(J57)&lt;3,"Cuestionable","No satisfactorio")))</f>
        <v>Satisfactorio</v>
      </c>
      <c r="L57" s="4" t="n">
        <f aca="false">IF(OR(NOT(ISNUMBER(D57)),NOT(ISNUMBER(INDEX(valor_asignado!$C:$C,MATCH(B57,valor_asignado!$B:$B,0)))),NOT(ISNUMBER(SQRT((2*E57)^2+(2*INDEX(valor_asignado!$H:$H,MATCH(B57,valor_asignado!$B:$B,0)))^2))),SQRT((2*E57)^2+(2*INDEX(valor_asignado!$H:$H,MATCH(B57,valor_asignado!$B:$B,0)))^2)=0),"",(D57-INDEX(valor_asignado!$C:$C,MATCH(B57,valor_asignado!$B:$B,0)))/SQRT((2*E57)^2+(2*INDEX(valor_asignado!$H:$H,MATCH(B57,valor_asignado!$B:$B,0)))^2))</f>
        <v>0.0942099941608374</v>
      </c>
      <c r="M57" s="5" t="str">
        <f aca="false">IF(L57="","N/A",IF(ABS(L57)&lt;=1,"Satisfactorio","No satisfactorio"))</f>
        <v>Satisfactorio</v>
      </c>
      <c r="N57" s="5" t="str">
        <f aca="false">IF(AND(SUM(IF(AND(D57="",validacion_snapshot!$U$104=""),0,IFERROR(ABS(D57-validacion_snapshot!$U$104),1E+099)),IF(AND(E57="",validacion_snapshot!$V$104=""),0,IFERROR(ABS(E57-validacion_snapshot!$V$104),1E+099)),IF(AND(F57="",validacion_snapshot!$W$104=""),0,IFERROR(ABS(F57-validacion_snapshot!$W$104),1E+099)),IF(AND(H57="",validacion_snapshot!$Y$104=""),0,IFERROR(ABS(H57-validacion_snapshot!$Y$104),1E+099)),IF(AND(J57="",validacion_snapshot!$AA$104=""),0,IFERROR(ABS(J57-validacion_snapshot!$AA$104),1E+099)),IF(AND(L57="",validacion_snapshot!$AC$104=""),0,IFERROR(ABS(L57-validacion_snapshot!$AC$104),1E+099)))&lt;=0.00000001,G57=validacion_snapshot!$X$104,I57=validacion_snapshot!$Z$104,K57=validacion_snapshot!$AB$104,M57=validacion_snapshot!$AD$104),"OK","FALLA")</f>
        <v>OK</v>
      </c>
    </row>
    <row r="58" customFormat="false" ht="15" hidden="false" customHeight="false" outlineLevel="0" collapsed="false">
      <c r="A58" s="3"/>
      <c r="B58" s="3" t="s">
        <v>197</v>
      </c>
      <c r="C58" s="3" t="s">
        <v>134</v>
      </c>
      <c r="D58" s="4" t="n">
        <f aca="false">INDEX(datos_participantes!$D:$D,MATCH(C58,datos_participantes!$A:$A,0))</f>
        <v>178.152666666667</v>
      </c>
      <c r="E58" s="4" t="n">
        <f aca="false">INDEX(datos_participantes!$F:$F,MATCH(C58,datos_participantes!$A:$A,0))</f>
        <v>0.498874552692086</v>
      </c>
      <c r="F58" s="4" t="n">
        <f aca="false">IF(OR(NOT(ISNUMBER(D58)),NOT(ISNUMBER(INDEX(valor_asignado!$C:$C,MATCH(B58,valor_asignado!$B:$B,0)))),NOT(ISNUMBER(INDEX(valor_asignado!$D:$D,MATCH(B58,valor_asignado!$B:$B,0)))),INDEX(valor_asignado!$D:$D,MATCH(B58,valor_asignado!$B:$B,0))=0),"",(D58-INDEX(valor_asignado!$C:$C,MATCH(B58,valor_asignado!$B:$B,0)))/INDEX(valor_asignado!$D:$D,MATCH(B58,valor_asignado!$B:$B,0)))</f>
        <v>0.118328983864565</v>
      </c>
      <c r="G58" s="5" t="str">
        <f aca="false">IF(F58="","N/A",IF(ABS(F58)&lt;=2,"Satisfactorio",IF(ABS(F58)&lt;3,"Cuestionable","No satisfactorio")))</f>
        <v>Satisfactorio</v>
      </c>
      <c r="H58" s="4" t="n">
        <f aca="false">IF(OR(NOT(ISNUMBER(D58)),NOT(ISNUMBER(INDEX(valor_asignado!$C:$C,MATCH(B58,valor_asignado!$B:$B,0)))),NOT(ISNUMBER(SQRT(INDEX(valor_asignado!$D:$D,MATCH(B58,valor_asignado!$B:$B,0))^2+INDEX(valor_asignado!$H:$H,MATCH(B58,valor_asignado!$B:$B,0))^2))),SQRT(INDEX(valor_asignado!$D:$D,MATCH(B58,valor_asignado!$B:$B,0))^2+INDEX(valor_asignado!$H:$H,MATCH(B58,valor_asignado!$B:$B,0))^2)=0),"",(D58-INDEX(valor_asignado!$C:$C,MATCH(B58,valor_asignado!$B:$B,0)))/SQRT(INDEX(valor_asignado!$D:$D,MATCH(B58,valor_asignado!$B:$B,0))^2+INDEX(valor_asignado!$H:$H,MATCH(B58,valor_asignado!$B:$B,0))^2))</f>
        <v>0.106224502788403</v>
      </c>
      <c r="I58" s="5" t="str">
        <f aca="false">IF(H58="","N/A",IF(ABS(H58)&lt;=2,"Satisfactorio",IF(ABS(H58)&lt;3,"Cuestionable","No satisfactorio")))</f>
        <v>Satisfactorio</v>
      </c>
      <c r="J58" s="4" t="n">
        <f aca="false">IF(OR(NOT(ISNUMBER(D58)),NOT(ISNUMBER(INDEX(valor_asignado!$C:$C,MATCH(B58,valor_asignado!$B:$B,0)))),NOT(ISNUMBER(SQRT(E58^2+INDEX(valor_asignado!$H:$H,MATCH(B58,valor_asignado!$B:$B,0))^2))),SQRT(E58^2+INDEX(valor_asignado!$H:$H,MATCH(B58,valor_asignado!$B:$B,0))^2)=0),"",(D58-INDEX(valor_asignado!$C:$C,MATCH(B58,valor_asignado!$B:$B,0)))/SQRT(E58^2+INDEX(valor_asignado!$H:$H,MATCH(B58,valor_asignado!$B:$B,0))^2))</f>
        <v>0.235297983079367</v>
      </c>
      <c r="K58" s="5" t="str">
        <f aca="false">IF(J58="","N/A",IF(ABS(J58)&lt;=2,"Satisfactorio",IF(ABS(J58)&lt;3,"Cuestionable","No satisfactorio")))</f>
        <v>Satisfactorio</v>
      </c>
      <c r="L58" s="4" t="n">
        <f aca="false">IF(OR(NOT(ISNUMBER(D58)),NOT(ISNUMBER(INDEX(valor_asignado!$C:$C,MATCH(B58,valor_asignado!$B:$B,0)))),NOT(ISNUMBER(SQRT((2*E58)^2+(2*INDEX(valor_asignado!$H:$H,MATCH(B58,valor_asignado!$B:$B,0)))^2))),SQRT((2*E58)^2+(2*INDEX(valor_asignado!$H:$H,MATCH(B58,valor_asignado!$B:$B,0)))^2)=0),"",(D58-INDEX(valor_asignado!$C:$C,MATCH(B58,valor_asignado!$B:$B,0)))/SQRT((2*E58)^2+(2*INDEX(valor_asignado!$H:$H,MATCH(B58,valor_asignado!$B:$B,0)))^2))</f>
        <v>0.117648991539683</v>
      </c>
      <c r="M58" s="5" t="str">
        <f aca="false">IF(L58="","N/A",IF(ABS(L58)&lt;=1,"Satisfactorio","No satisfactorio"))</f>
        <v>Satisfactorio</v>
      </c>
      <c r="N58" s="5" t="str">
        <f aca="false">IF(AND(SUM(IF(AND(D58="",validacion_snapshot!$U$105=""),0,IFERROR(ABS(D58-validacion_snapshot!$U$105),1E+099)),IF(AND(E58="",validacion_snapshot!$V$105=""),0,IFERROR(ABS(E58-validacion_snapshot!$V$105),1E+099)),IF(AND(F58="",validacion_snapshot!$W$105=""),0,IFERROR(ABS(F58-validacion_snapshot!$W$105),1E+099)),IF(AND(H58="",validacion_snapshot!$Y$105=""),0,IFERROR(ABS(H58-validacion_snapshot!$Y$105),1E+099)),IF(AND(J58="",validacion_snapshot!$AA$105=""),0,IFERROR(ABS(J58-validacion_snapshot!$AA$105),1E+099)),IF(AND(L58="",validacion_snapshot!$AC$105=""),0,IFERROR(ABS(L58-validacion_snapshot!$AC$105),1E+099)))&lt;=0.00000001,G58=validacion_snapshot!$X$105,I58=validacion_snapshot!$Z$105,K58=validacion_snapshot!$AB$105,M58=validacion_snapshot!$AD$105),"OK","FALLA")</f>
        <v>OK</v>
      </c>
    </row>
    <row r="59" customFormat="false" ht="15" hidden="false" customHeight="false" outlineLevel="0" collapsed="false">
      <c r="A59" s="3"/>
      <c r="B59" s="3" t="s">
        <v>197</v>
      </c>
      <c r="C59" s="3" t="s">
        <v>135</v>
      </c>
      <c r="D59" s="4" t="n">
        <f aca="false">INDEX(datos_participantes!$D:$D,MATCH(C59,datos_participantes!$A:$A,0))</f>
        <v>178.290666666667</v>
      </c>
      <c r="E59" s="4" t="n">
        <f aca="false">INDEX(datos_participantes!$F:$F,MATCH(C59,datos_participantes!$A:$A,0))</f>
        <v>0.355089886356072</v>
      </c>
      <c r="F59" s="4" t="n">
        <f aca="false">IF(OR(NOT(ISNUMBER(D59)),NOT(ISNUMBER(INDEX(valor_asignado!$C:$C,MATCH(B59,valor_asignado!$B:$B,0)))),NOT(ISNUMBER(INDEX(valor_asignado!$D:$D,MATCH(B59,valor_asignado!$B:$B,0)))),INDEX(valor_asignado!$D:$D,MATCH(B59,valor_asignado!$B:$B,0))=0),"",(D59-INDEX(valor_asignado!$C:$C,MATCH(B59,valor_asignado!$B:$B,0)))/INDEX(valor_asignado!$D:$D,MATCH(B59,valor_asignado!$B:$B,0)))</f>
        <v>0.148643463641733</v>
      </c>
      <c r="G59" s="5" t="str">
        <f aca="false">IF(F59="","N/A",IF(ABS(F59)&lt;=2,"Satisfactorio",IF(ABS(F59)&lt;3,"Cuestionable","No satisfactorio")))</f>
        <v>Satisfactorio</v>
      </c>
      <c r="H59" s="4" t="n">
        <f aca="false">IF(OR(NOT(ISNUMBER(D59)),NOT(ISNUMBER(INDEX(valor_asignado!$C:$C,MATCH(B59,valor_asignado!$B:$B,0)))),NOT(ISNUMBER(SQRT(INDEX(valor_asignado!$D:$D,MATCH(B59,valor_asignado!$B:$B,0))^2+INDEX(valor_asignado!$H:$H,MATCH(B59,valor_asignado!$B:$B,0))^2))),SQRT(INDEX(valor_asignado!$D:$D,MATCH(B59,valor_asignado!$B:$B,0))^2+INDEX(valor_asignado!$H:$H,MATCH(B59,valor_asignado!$B:$B,0))^2)=0),"",(D59-INDEX(valor_asignado!$C:$C,MATCH(B59,valor_asignado!$B:$B,0)))/SQRT(INDEX(valor_asignado!$D:$D,MATCH(B59,valor_asignado!$B:$B,0))^2+INDEX(valor_asignado!$H:$H,MATCH(B59,valor_asignado!$B:$B,0))^2))</f>
        <v>0.133437958329476</v>
      </c>
      <c r="I59" s="5" t="str">
        <f aca="false">IF(H59="","N/A",IF(ABS(H59)&lt;=2,"Satisfactorio",IF(ABS(H59)&lt;3,"Cuestionable","No satisfactorio")))</f>
        <v>Satisfactorio</v>
      </c>
      <c r="J59" s="4" t="n">
        <f aca="false">IF(OR(NOT(ISNUMBER(D59)),NOT(ISNUMBER(INDEX(valor_asignado!$C:$C,MATCH(B59,valor_asignado!$B:$B,0)))),NOT(ISNUMBER(SQRT(E59^2+INDEX(valor_asignado!$H:$H,MATCH(B59,valor_asignado!$B:$B,0))^2))),SQRT(E59^2+INDEX(valor_asignado!$H:$H,MATCH(B59,valor_asignado!$B:$B,0))^2)=0),"",(D59-INDEX(valor_asignado!$C:$C,MATCH(B59,valor_asignado!$B:$B,0)))/SQRT(E59^2+INDEX(valor_asignado!$H:$H,MATCH(B59,valor_asignado!$B:$B,0))^2))</f>
        <v>0.299103098507722</v>
      </c>
      <c r="K59" s="5" t="str">
        <f aca="false">IF(J59="","N/A",IF(ABS(J59)&lt;=2,"Satisfactorio",IF(ABS(J59)&lt;3,"Cuestionable","No satisfactorio")))</f>
        <v>Satisfactorio</v>
      </c>
      <c r="L59" s="4" t="n">
        <f aca="false">IF(OR(NOT(ISNUMBER(D59)),NOT(ISNUMBER(INDEX(valor_asignado!$C:$C,MATCH(B59,valor_asignado!$B:$B,0)))),NOT(ISNUMBER(SQRT((2*E59)^2+(2*INDEX(valor_asignado!$H:$H,MATCH(B59,valor_asignado!$B:$B,0)))^2))),SQRT((2*E59)^2+(2*INDEX(valor_asignado!$H:$H,MATCH(B59,valor_asignado!$B:$B,0)))^2)=0),"",(D59-INDEX(valor_asignado!$C:$C,MATCH(B59,valor_asignado!$B:$B,0)))/SQRT((2*E59)^2+(2*INDEX(valor_asignado!$H:$H,MATCH(B59,valor_asignado!$B:$B,0)))^2))</f>
        <v>0.149551549253861</v>
      </c>
      <c r="M59" s="5" t="str">
        <f aca="false">IF(L59="","N/A",IF(ABS(L59)&lt;=1,"Satisfactorio","No satisfactorio"))</f>
        <v>Satisfactorio</v>
      </c>
      <c r="N59" s="5" t="str">
        <f aca="false">IF(AND(SUM(IF(AND(D59="",validacion_snapshot!$U$106=""),0,IFERROR(ABS(D59-validacion_snapshot!$U$106),1E+099)),IF(AND(E59="",validacion_snapshot!$V$106=""),0,IFERROR(ABS(E59-validacion_snapshot!$V$106),1E+099)),IF(AND(F59="",validacion_snapshot!$W$106=""),0,IFERROR(ABS(F59-validacion_snapshot!$W$106),1E+099)),IF(AND(H59="",validacion_snapshot!$Y$106=""),0,IFERROR(ABS(H59-validacion_snapshot!$Y$106),1E+099)),IF(AND(J59="",validacion_snapshot!$AA$106=""),0,IFERROR(ABS(J59-validacion_snapshot!$AA$106),1E+099)),IF(AND(L59="",validacion_snapshot!$AC$106=""),0,IFERROR(ABS(L59-validacion_snapshot!$AC$106),1E+099)))&lt;=0.00000001,G59=validacion_snapshot!$X$106,I59=validacion_snapshot!$Z$106,K59=validacion_snapshot!$AB$106,M59=validacion_snapshot!$AD$106),"OK","FALLA")</f>
        <v>OK</v>
      </c>
    </row>
    <row r="60" customFormat="false" ht="15" hidden="false" customHeight="false" outlineLevel="0" collapsed="false">
      <c r="A60" s="3"/>
      <c r="B60" s="3" t="s">
        <v>197</v>
      </c>
      <c r="C60" s="3" t="s">
        <v>136</v>
      </c>
      <c r="D60" s="4" t="n">
        <f aca="false">INDEX(datos_participantes!$D:$D,MATCH(C60,datos_participantes!$A:$A,0))</f>
        <v>177.998333333333</v>
      </c>
      <c r="E60" s="4" t="n">
        <f aca="false">INDEX(datos_participantes!$F:$F,MATCH(C60,datos_participantes!$A:$A,0))</f>
        <v>0.46269516615466</v>
      </c>
      <c r="F60" s="4" t="n">
        <f aca="false">IF(OR(NOT(ISNUMBER(D60)),NOT(ISNUMBER(INDEX(valor_asignado!$C:$C,MATCH(B60,valor_asignado!$B:$B,0)))),NOT(ISNUMBER(INDEX(valor_asignado!$D:$D,MATCH(B60,valor_asignado!$B:$B,0)))),INDEX(valor_asignado!$D:$D,MATCH(B60,valor_asignado!$B:$B,0))=0),"",(D60-INDEX(valor_asignado!$C:$C,MATCH(B60,valor_asignado!$B:$B,0)))/INDEX(valor_asignado!$D:$D,MATCH(B60,valor_asignado!$B:$B,0)))</f>
        <v>0.0844265584131445</v>
      </c>
      <c r="G60" s="5" t="str">
        <f aca="false">IF(F60="","N/A",IF(ABS(F60)&lt;=2,"Satisfactorio",IF(ABS(F60)&lt;3,"Cuestionable","No satisfactorio")))</f>
        <v>Satisfactorio</v>
      </c>
      <c r="H60" s="4" t="n">
        <f aca="false">IF(OR(NOT(ISNUMBER(D60)),NOT(ISNUMBER(INDEX(valor_asignado!$C:$C,MATCH(B60,valor_asignado!$B:$B,0)))),NOT(ISNUMBER(SQRT(INDEX(valor_asignado!$D:$D,MATCH(B60,valor_asignado!$B:$B,0))^2+INDEX(valor_asignado!$H:$H,MATCH(B60,valor_asignado!$B:$B,0))^2))),SQRT(INDEX(valor_asignado!$D:$D,MATCH(B60,valor_asignado!$B:$B,0))^2+INDEX(valor_asignado!$H:$H,MATCH(B60,valor_asignado!$B:$B,0))^2)=0),"",(D60-INDEX(valor_asignado!$C:$C,MATCH(B60,valor_asignado!$B:$B,0)))/SQRT(INDEX(valor_asignado!$D:$D,MATCH(B60,valor_asignado!$B:$B,0))^2+INDEX(valor_asignado!$H:$H,MATCH(B60,valor_asignado!$B:$B,0))^2))</f>
        <v>0.0757901310116627</v>
      </c>
      <c r="I60" s="5" t="str">
        <f aca="false">IF(H60="","N/A",IF(ABS(H60)&lt;=2,"Satisfactorio",IF(ABS(H60)&lt;3,"Cuestionable","No satisfactorio")))</f>
        <v>Satisfactorio</v>
      </c>
      <c r="J60" s="4" t="n">
        <f aca="false">IF(OR(NOT(ISNUMBER(D60)),NOT(ISNUMBER(INDEX(valor_asignado!$C:$C,MATCH(B60,valor_asignado!$B:$B,0)))),NOT(ISNUMBER(SQRT(E60^2+INDEX(valor_asignado!$H:$H,MATCH(B60,valor_asignado!$B:$B,0))^2))),SQRT(E60^2+INDEX(valor_asignado!$H:$H,MATCH(B60,valor_asignado!$B:$B,0))^2)=0),"",(D60-INDEX(valor_asignado!$C:$C,MATCH(B60,valor_asignado!$B:$B,0)))/SQRT(E60^2+INDEX(valor_asignado!$H:$H,MATCH(B60,valor_asignado!$B:$B,0))^2))</f>
        <v>0.168442774875428</v>
      </c>
      <c r="K60" s="5" t="str">
        <f aca="false">IF(J60="","N/A",IF(ABS(J60)&lt;=2,"Satisfactorio",IF(ABS(J60)&lt;3,"Cuestionable","No satisfactorio")))</f>
        <v>Satisfactorio</v>
      </c>
      <c r="L60" s="4" t="n">
        <f aca="false">IF(OR(NOT(ISNUMBER(D60)),NOT(ISNUMBER(INDEX(valor_asignado!$C:$C,MATCH(B60,valor_asignado!$B:$B,0)))),NOT(ISNUMBER(SQRT((2*E60)^2+(2*INDEX(valor_asignado!$H:$H,MATCH(B60,valor_asignado!$B:$B,0)))^2))),SQRT((2*E60)^2+(2*INDEX(valor_asignado!$H:$H,MATCH(B60,valor_asignado!$B:$B,0)))^2)=0),"",(D60-INDEX(valor_asignado!$C:$C,MATCH(B60,valor_asignado!$B:$B,0)))/SQRT((2*E60)^2+(2*INDEX(valor_asignado!$H:$H,MATCH(B60,valor_asignado!$B:$B,0)))^2))</f>
        <v>0.0842213874377139</v>
      </c>
      <c r="M60" s="5" t="str">
        <f aca="false">IF(L60="","N/A",IF(ABS(L60)&lt;=1,"Satisfactorio","No satisfactorio"))</f>
        <v>Satisfactorio</v>
      </c>
      <c r="N60" s="5" t="str">
        <f aca="false">IF(AND(SUM(IF(AND(D60="",validacion_snapshot!$U$107=""),0,IFERROR(ABS(D60-validacion_snapshot!$U$107),1E+099)),IF(AND(E60="",validacion_snapshot!$V$107=""),0,IFERROR(ABS(E60-validacion_snapshot!$V$107),1E+099)),IF(AND(F60="",validacion_snapshot!$W$107=""),0,IFERROR(ABS(F60-validacion_snapshot!$W$107),1E+099)),IF(AND(H60="",validacion_snapshot!$Y$107=""),0,IFERROR(ABS(H60-validacion_snapshot!$Y$107),1E+099)),IF(AND(J60="",validacion_snapshot!$AA$107=""),0,IFERROR(ABS(J60-validacion_snapshot!$AA$107),1E+099)),IF(AND(L60="",validacion_snapshot!$AC$107=""),0,IFERROR(ABS(L60-validacion_snapshot!$AC$107),1E+099)))&lt;=0.00000001,G60=validacion_snapshot!$X$107,I60=validacion_snapshot!$Z$107,K60=validacion_snapshot!$AB$107,M60=validacion_snapshot!$AD$107),"OK","FALLA")</f>
        <v>OK</v>
      </c>
    </row>
    <row r="61" customFormat="false" ht="15" hidden="false" customHeight="false" outlineLevel="0" collapsed="false">
      <c r="A61" s="3"/>
      <c r="B61" s="3" t="s">
        <v>197</v>
      </c>
      <c r="C61" s="3" t="s">
        <v>137</v>
      </c>
      <c r="D61" s="4" t="n">
        <f aca="false">INDEX(datos_participantes!$D:$D,MATCH(C61,datos_participantes!$A:$A,0))</f>
        <v>178.265333333333</v>
      </c>
      <c r="E61" s="4" t="n">
        <f aca="false">INDEX(datos_participantes!$F:$F,MATCH(C61,datos_participantes!$A:$A,0))</f>
        <v>0.236972481628575</v>
      </c>
      <c r="F61" s="4" t="n">
        <f aca="false">IF(OR(NOT(ISNUMBER(D61)),NOT(ISNUMBER(INDEX(valor_asignado!$C:$C,MATCH(B61,valor_asignado!$B:$B,0)))),NOT(ISNUMBER(INDEX(valor_asignado!$D:$D,MATCH(B61,valor_asignado!$B:$B,0)))),INDEX(valor_asignado!$D:$D,MATCH(B61,valor_asignado!$B:$B,0))=0),"",(D61-INDEX(valor_asignado!$C:$C,MATCH(B61,valor_asignado!$B:$B,0)))/INDEX(valor_asignado!$D:$D,MATCH(B61,valor_asignado!$B:$B,0)))</f>
        <v>0.143078486677662</v>
      </c>
      <c r="G61" s="5" t="str">
        <f aca="false">IF(F61="","N/A",IF(ABS(F61)&lt;=2,"Satisfactorio",IF(ABS(F61)&lt;3,"Cuestionable","No satisfactorio")))</f>
        <v>Satisfactorio</v>
      </c>
      <c r="H61" s="4" t="n">
        <f aca="false">IF(OR(NOT(ISNUMBER(D61)),NOT(ISNUMBER(INDEX(valor_asignado!$C:$C,MATCH(B61,valor_asignado!$B:$B,0)))),NOT(ISNUMBER(SQRT(INDEX(valor_asignado!$D:$D,MATCH(B61,valor_asignado!$B:$B,0))^2+INDEX(valor_asignado!$H:$H,MATCH(B61,valor_asignado!$B:$B,0))^2))),SQRT(INDEX(valor_asignado!$D:$D,MATCH(B61,valor_asignado!$B:$B,0))^2+INDEX(valor_asignado!$H:$H,MATCH(B61,valor_asignado!$B:$B,0))^2)=0),"",(D61-INDEX(valor_asignado!$C:$C,MATCH(B61,valor_asignado!$B:$B,0)))/SQRT(INDEX(valor_asignado!$D:$D,MATCH(B61,valor_asignado!$B:$B,0))^2+INDEX(valor_asignado!$H:$H,MATCH(B61,valor_asignado!$B:$B,0))^2))</f>
        <v>0.128442251515041</v>
      </c>
      <c r="I61" s="5" t="str">
        <f aca="false">IF(H61="","N/A",IF(ABS(H61)&lt;=2,"Satisfactorio",IF(ABS(H61)&lt;3,"Cuestionable","No satisfactorio")))</f>
        <v>Satisfactorio</v>
      </c>
      <c r="J61" s="4" t="n">
        <f aca="false">IF(OR(NOT(ISNUMBER(D61)),NOT(ISNUMBER(INDEX(valor_asignado!$C:$C,MATCH(B61,valor_asignado!$B:$B,0)))),NOT(ISNUMBER(SQRT(E61^2+INDEX(valor_asignado!$H:$H,MATCH(B61,valor_asignado!$B:$B,0))^2))),SQRT(E61^2+INDEX(valor_asignado!$H:$H,MATCH(B61,valor_asignado!$B:$B,0))^2)=0),"",(D61-INDEX(valor_asignado!$C:$C,MATCH(B61,valor_asignado!$B:$B,0)))/SQRT(E61^2+INDEX(valor_asignado!$H:$H,MATCH(B61,valor_asignado!$B:$B,0))^2))</f>
        <v>0.289892488157802</v>
      </c>
      <c r="K61" s="5" t="str">
        <f aca="false">IF(J61="","N/A",IF(ABS(J61)&lt;=2,"Satisfactorio",IF(ABS(J61)&lt;3,"Cuestionable","No satisfactorio")))</f>
        <v>Satisfactorio</v>
      </c>
      <c r="L61" s="4" t="n">
        <f aca="false">IF(OR(NOT(ISNUMBER(D61)),NOT(ISNUMBER(INDEX(valor_asignado!$C:$C,MATCH(B61,valor_asignado!$B:$B,0)))),NOT(ISNUMBER(SQRT((2*E61)^2+(2*INDEX(valor_asignado!$H:$H,MATCH(B61,valor_asignado!$B:$B,0)))^2))),SQRT((2*E61)^2+(2*INDEX(valor_asignado!$H:$H,MATCH(B61,valor_asignado!$B:$B,0)))^2)=0),"",(D61-INDEX(valor_asignado!$C:$C,MATCH(B61,valor_asignado!$B:$B,0)))/SQRT((2*E61)^2+(2*INDEX(valor_asignado!$H:$H,MATCH(B61,valor_asignado!$B:$B,0)))^2))</f>
        <v>0.144946244078901</v>
      </c>
      <c r="M61" s="5" t="str">
        <f aca="false">IF(L61="","N/A",IF(ABS(L61)&lt;=1,"Satisfactorio","No satisfactorio"))</f>
        <v>Satisfactorio</v>
      </c>
      <c r="N61" s="5" t="str">
        <f aca="false">IF(AND(SUM(IF(AND(D61="",validacion_snapshot!$U$108=""),0,IFERROR(ABS(D61-validacion_snapshot!$U$108),1E+099)),IF(AND(E61="",validacion_snapshot!$V$108=""),0,IFERROR(ABS(E61-validacion_snapshot!$V$108),1E+099)),IF(AND(F61="",validacion_snapshot!$W$108=""),0,IFERROR(ABS(F61-validacion_snapshot!$W$108),1E+099)),IF(AND(H61="",validacion_snapshot!$Y$108=""),0,IFERROR(ABS(H61-validacion_snapshot!$Y$108),1E+099)),IF(AND(J61="",validacion_snapshot!$AA$108=""),0,IFERROR(ABS(J61-validacion_snapshot!$AA$108),1E+099)),IF(AND(L61="",validacion_snapshot!$AC$108=""),0,IFERROR(ABS(L61-validacion_snapshot!$AC$108),1E+099)))&lt;=0.00000001,G61=validacion_snapshot!$X$108,I61=validacion_snapshot!$Z$108,K61=validacion_snapshot!$AB$108,M61=validacion_snapshot!$AD$108),"OK","FALLA")</f>
        <v>OK</v>
      </c>
    </row>
  </sheetData>
  <conditionalFormatting sqref="N2:N61">
    <cfRule type="expression" priority="2" aboveAverage="0" equalAverage="0" bottom="0" percent="0" rank="0" text="" dxfId="0">
      <formula>N2="FALLA"</formula>
    </cfRule>
    <cfRule type="expression" priority="3" aboveAverage="0" equalAverage="0" bottom="0" percent="0" rank="0" text="" dxfId="1">
      <formula>N2="OK"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33.71"/>
    <col collapsed="false" customWidth="true" hidden="false" outlineLevel="0" max="2" min="2" style="0" width="32.71"/>
    <col collapsed="false" customWidth="true" hidden="false" outlineLevel="0" max="3" min="3" style="0" width="14.71"/>
    <col collapsed="false" customWidth="true" hidden="false" outlineLevel="0" max="4" min="4" style="0" width="18.71"/>
    <col collapsed="false" customWidth="true" hidden="false" outlineLevel="0" max="5" min="5" style="0" width="4.71"/>
    <col collapsed="false" customWidth="true" hidden="false" outlineLevel="0" max="6" min="6" style="0" width="8.71"/>
    <col collapsed="false" customWidth="true" hidden="false" outlineLevel="0" max="8" min="7" style="0" width="5.71"/>
    <col collapsed="false" customWidth="true" hidden="false" outlineLevel="0" max="9" min="9" style="0" width="6.71"/>
    <col collapsed="false" customWidth="true" hidden="false" outlineLevel="0" max="10" min="10" style="0" width="9.71"/>
    <col collapsed="false" customWidth="true" hidden="false" outlineLevel="0" max="11" min="11" style="0" width="5.71"/>
    <col collapsed="false" customWidth="true" hidden="false" outlineLevel="0" max="12" min="12" style="0" width="14.71"/>
    <col collapsed="false" customWidth="true" hidden="false" outlineLevel="0" max="13" min="13" style="0" width="7.71"/>
    <col collapsed="false" customWidth="true" hidden="false" outlineLevel="0" max="14" min="14" style="0" width="3.71"/>
    <col collapsed="false" customWidth="true" hidden="false" outlineLevel="0" max="15" min="15" style="0" width="13.71"/>
    <col collapsed="false" customWidth="true" hidden="false" outlineLevel="0" max="16" min="16" style="0" width="12.71"/>
    <col collapsed="false" customWidth="true" hidden="false" outlineLevel="0" max="17" min="17" style="0" width="16.72"/>
    <col collapsed="false" customWidth="true" hidden="false" outlineLevel="0" max="18" min="18" style="0" width="6.71"/>
  </cols>
  <sheetData>
    <row r="1" customFormat="false" ht="15" hidden="false" customHeight="false" outlineLevel="0" collapsed="false">
      <c r="A1" s="2" t="s">
        <v>64</v>
      </c>
      <c r="B1" s="2" t="s">
        <v>1</v>
      </c>
      <c r="C1" s="2" t="s">
        <v>180</v>
      </c>
      <c r="D1" s="2" t="s">
        <v>181</v>
      </c>
      <c r="E1" s="2" t="s">
        <v>34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231</v>
      </c>
      <c r="N1" s="2" t="s">
        <v>232</v>
      </c>
      <c r="O1" s="2" t="s">
        <v>233</v>
      </c>
      <c r="P1" s="2" t="s">
        <v>234</v>
      </c>
      <c r="Q1" s="2" t="s">
        <v>235</v>
      </c>
      <c r="R1" s="2" t="s">
        <v>69</v>
      </c>
    </row>
    <row r="2" customFormat="false" ht="15" hidden="false" customHeight="false" outlineLevel="0" collapsed="false">
      <c r="A2" s="3" t="s">
        <v>236</v>
      </c>
      <c r="B2" s="3" t="s">
        <v>237</v>
      </c>
      <c r="C2" s="3" t="s">
        <v>140</v>
      </c>
      <c r="D2" s="3" t="s">
        <v>189</v>
      </c>
      <c r="E2" s="4" t="n">
        <f aca="false">INDEX(valor_asignado!$C:$C,MATCH(D2,valor_asignado!$B:$B,0))</f>
        <v>177.614</v>
      </c>
      <c r="F2" s="4" t="n">
        <f aca="false">INDEX(valor_asignado!$D:$D,MATCH(D2,valor_asignado!$B:$B,0))</f>
        <v>4.55228</v>
      </c>
      <c r="G2" s="4" t="n">
        <f aca="false">INDEX(valor_asignado!$E:$E,MATCH(D2,valor_asignado!$B:$B,0))</f>
        <v>1.781</v>
      </c>
      <c r="H2" s="4" t="n">
        <f aca="false">INDEX(valor_asignado!$F:$F,MATCH(D2,valor_asignado!$B:$B,0))</f>
        <v>1.34309248668057</v>
      </c>
      <c r="I2" s="4" t="n">
        <f aca="false">INDEX(valor_asignado!$G:$G,MATCH(D2,valor_asignado!$B:$B,0))</f>
        <v>0.127045926735169</v>
      </c>
      <c r="J2" s="4" t="n">
        <f aca="false">INDEX(valor_asignado!$H:$H,MATCH(D2,valor_asignado!$B:$B,0))</f>
        <v>2.23427820453895</v>
      </c>
      <c r="K2" s="4" t="n">
        <f aca="false">INDEX(valor_asignado!$I:$I,MATCH(D2,valor_asignado!$B:$B,0))</f>
        <v>4.4685564090779</v>
      </c>
      <c r="L2" s="4" t="n">
        <f aca="false">INDEX(valor_asignado!$J:$J,MATCH(D2,valor_asignado!$B:$B,0))</f>
        <v>12</v>
      </c>
      <c r="M2" s="3"/>
      <c r="N2" s="3"/>
      <c r="O2" s="3"/>
      <c r="P2" s="3"/>
      <c r="Q2" s="3"/>
      <c r="R2" s="5" t="str">
        <f aca="false">IF(SUM(ABS(E2-validacion_snapshot!$K$109),ABS(F2-validacion_snapshot!$L$109),ABS(G2-validacion_snapshot!$M$109),ABS(H2-validacion_snapshot!$N$109),ABS(I2-validacion_snapshot!$O$109),ABS(J2-validacion_snapshot!$P$109),ABS(K2-validacion_snapshot!$Q$109),ABS(L2-validacion_snapshot!$R$109))&lt;=0.00000001,"OK","FALLA")</f>
        <v>OK</v>
      </c>
    </row>
    <row r="3" customFormat="false" ht="26.85" hidden="false" customHeight="false" outlineLevel="0" collapsed="false">
      <c r="A3" s="3" t="s">
        <v>236</v>
      </c>
      <c r="B3" s="3" t="s">
        <v>237</v>
      </c>
      <c r="C3" s="3" t="s">
        <v>190</v>
      </c>
      <c r="D3" s="3" t="s">
        <v>191</v>
      </c>
      <c r="E3" s="4" t="n">
        <f aca="false">INDEX(valor_asignado!$C:$C,MATCH(D3,valor_asignado!$B:$B,0))</f>
        <v>178.209</v>
      </c>
      <c r="F3" s="4" t="n">
        <f aca="false">INDEX(valor_asignado!$D:$D,MATCH(D3,valor_asignado!$B:$B,0))</f>
        <v>0.324777000000012</v>
      </c>
      <c r="G3" s="4" t="n">
        <f aca="false">INDEX(valor_asignado!$E:$E,MATCH(D3,valor_asignado!$B:$B,0))</f>
        <v>0.117193805235379</v>
      </c>
      <c r="H3" s="4" t="n">
        <f aca="false">INDEX(valor_asignado!$F:$F,MATCH(D3,valor_asignado!$B:$B,0))</f>
        <v>1.34309248668057</v>
      </c>
      <c r="I3" s="4" t="n">
        <f aca="false">INDEX(valor_asignado!$G:$G,MATCH(D3,valor_asignado!$B:$B,0))</f>
        <v>0.127045926735169</v>
      </c>
      <c r="J3" s="4" t="n">
        <f aca="false">INDEX(valor_asignado!$H:$H,MATCH(D3,valor_asignado!$B:$B,0))</f>
        <v>1.35416855792155</v>
      </c>
      <c r="K3" s="4" t="n">
        <f aca="false">INDEX(valor_asignado!$I:$I,MATCH(D3,valor_asignado!$B:$B,0))</f>
        <v>2.70833711584311</v>
      </c>
      <c r="L3" s="4" t="n">
        <f aca="false">INDEX(valor_asignado!$J:$J,MATCH(D3,valor_asignado!$B:$B,0))</f>
        <v>12</v>
      </c>
      <c r="M3" s="3"/>
      <c r="N3" s="3"/>
      <c r="O3" s="3"/>
      <c r="P3" s="3"/>
      <c r="Q3" s="3"/>
      <c r="R3" s="5" t="str">
        <f aca="false">IF(SUM(ABS(E3-validacion_snapshot!$K$110),ABS(F3-validacion_snapshot!$L$110),ABS(G3-validacion_snapshot!$M$110),ABS(H3-validacion_snapshot!$N$110),ABS(I3-validacion_snapshot!$O$110),ABS(J3-validacion_snapshot!$P$110),ABS(K3-validacion_snapshot!$Q$110),ABS(L3-validacion_snapshot!$R$110))&lt;=0.00000001,"OK","FALLA")</f>
        <v>OK</v>
      </c>
    </row>
    <row r="4" customFormat="false" ht="15" hidden="false" customHeight="false" outlineLevel="0" collapsed="false">
      <c r="A4" s="3" t="s">
        <v>236</v>
      </c>
      <c r="B4" s="3" t="s">
        <v>237</v>
      </c>
      <c r="C4" s="3" t="s">
        <v>192</v>
      </c>
      <c r="D4" s="3" t="s">
        <v>193</v>
      </c>
      <c r="E4" s="4" t="n">
        <f aca="false">INDEX(valor_asignado!$C:$C,MATCH(D4,valor_asignado!$B:$B,0))</f>
        <v>178.209</v>
      </c>
      <c r="F4" s="4" t="n">
        <f aca="false">INDEX(valor_asignado!$D:$D,MATCH(D4,valor_asignado!$B:$B,0))</f>
        <v>0.487034100000198</v>
      </c>
      <c r="G4" s="4" t="n">
        <f aca="false">INDEX(valor_asignado!$E:$E,MATCH(D4,valor_asignado!$B:$B,0))</f>
        <v>0.175743292962276</v>
      </c>
      <c r="H4" s="4" t="n">
        <f aca="false">INDEX(valor_asignado!$F:$F,MATCH(D4,valor_asignado!$B:$B,0))</f>
        <v>1.34309248668057</v>
      </c>
      <c r="I4" s="4" t="n">
        <f aca="false">INDEX(valor_asignado!$G:$G,MATCH(D4,valor_asignado!$B:$B,0))</f>
        <v>0.127045926735169</v>
      </c>
      <c r="J4" s="4" t="n">
        <f aca="false">INDEX(valor_asignado!$H:$H,MATCH(D4,valor_asignado!$B:$B,0))</f>
        <v>1.36048660423358</v>
      </c>
      <c r="K4" s="4" t="n">
        <f aca="false">INDEX(valor_asignado!$I:$I,MATCH(D4,valor_asignado!$B:$B,0))</f>
        <v>2.72097320846716</v>
      </c>
      <c r="L4" s="4" t="n">
        <f aca="false">INDEX(valor_asignado!$J:$J,MATCH(D4,valor_asignado!$B:$B,0))</f>
        <v>12</v>
      </c>
      <c r="M4" s="3"/>
      <c r="N4" s="3"/>
      <c r="O4" s="3"/>
      <c r="P4" s="3"/>
      <c r="Q4" s="3"/>
      <c r="R4" s="5" t="str">
        <f aca="false">IF(SUM(ABS(E4-validacion_snapshot!$K$111),ABS(F4-validacion_snapshot!$L$111),ABS(G4-validacion_snapshot!$M$111),ABS(H4-validacion_snapshot!$N$111),ABS(I4-validacion_snapshot!$O$111),ABS(J4-validacion_snapshot!$P$111),ABS(K4-validacion_snapshot!$Q$111),ABS(L4-validacion_snapshot!$R$111))&lt;=0.00000001,"OK","FALLA")</f>
        <v>OK</v>
      </c>
    </row>
    <row r="5" customFormat="false" ht="15" hidden="false" customHeight="false" outlineLevel="0" collapsed="false">
      <c r="A5" s="3" t="s">
        <v>236</v>
      </c>
      <c r="B5" s="3" t="s">
        <v>237</v>
      </c>
      <c r="C5" s="3" t="s">
        <v>194</v>
      </c>
      <c r="D5" s="3" t="s">
        <v>195</v>
      </c>
      <c r="E5" s="4" t="n">
        <f aca="false">INDEX(valor_asignado!$C:$C,MATCH(D5,valor_asignado!$B:$B,0))</f>
        <v>178.348436434102</v>
      </c>
      <c r="F5" s="4" t="n">
        <f aca="false">INDEX(valor_asignado!$D:$D,MATCH(D5,valor_asignado!$B:$B,0))</f>
        <v>0.494016722256306</v>
      </c>
      <c r="G5" s="4" t="n">
        <f aca="false">INDEX(valor_asignado!$E:$E,MATCH(D5,valor_asignado!$B:$B,0))</f>
        <v>0.178262929736784</v>
      </c>
      <c r="H5" s="4" t="n">
        <f aca="false">INDEX(valor_asignado!$F:$F,MATCH(D5,valor_asignado!$B:$B,0))</f>
        <v>1.34309248668057</v>
      </c>
      <c r="I5" s="4" t="n">
        <f aca="false">INDEX(valor_asignado!$G:$G,MATCH(D5,valor_asignado!$B:$B,0))</f>
        <v>0.127045926735169</v>
      </c>
      <c r="J5" s="4" t="n">
        <f aca="false">INDEX(valor_asignado!$H:$H,MATCH(D5,valor_asignado!$B:$B,0))</f>
        <v>1.36081437653933</v>
      </c>
      <c r="K5" s="4" t="n">
        <f aca="false">INDEX(valor_asignado!$I:$I,MATCH(D5,valor_asignado!$B:$B,0))</f>
        <v>2.72162875307866</v>
      </c>
      <c r="L5" s="4" t="n">
        <f aca="false">INDEX(valor_asignado!$J:$J,MATCH(D5,valor_asignado!$B:$B,0))</f>
        <v>12</v>
      </c>
      <c r="M5" s="3"/>
      <c r="N5" s="3"/>
      <c r="O5" s="3"/>
      <c r="P5" s="3"/>
      <c r="Q5" s="3"/>
      <c r="R5" s="5" t="str">
        <f aca="false">IF(SUM(ABS(E5-validacion_snapshot!$K$112),ABS(F5-validacion_snapshot!$L$112),ABS(G5-validacion_snapshot!$M$112),ABS(H5-validacion_snapshot!$N$112),ABS(I5-validacion_snapshot!$O$112),ABS(J5-validacion_snapshot!$P$112),ABS(K5-validacion_snapshot!$Q$112),ABS(L5-validacion_snapshot!$R$112))&lt;=0.00000001,"OK","FALLA")</f>
        <v>OK</v>
      </c>
    </row>
    <row r="6" customFormat="false" ht="15" hidden="false" customHeight="false" outlineLevel="0" collapsed="false">
      <c r="A6" s="3" t="s">
        <v>236</v>
      </c>
      <c r="B6" s="3" t="s">
        <v>237</v>
      </c>
      <c r="C6" s="3" t="s">
        <v>196</v>
      </c>
      <c r="D6" s="3" t="s">
        <v>197</v>
      </c>
      <c r="E6" s="4" t="n">
        <f aca="false">INDEX(valor_asignado!$C:$C,MATCH(D6,valor_asignado!$B:$B,0))</f>
        <v>177.614</v>
      </c>
      <c r="F6" s="4" t="n">
        <f aca="false">INDEX(valor_asignado!$D:$D,MATCH(D6,valor_asignado!$B:$B,0))</f>
        <v>4.55228</v>
      </c>
      <c r="G6" s="4" t="n">
        <f aca="false">INDEX(valor_asignado!$E:$E,MATCH(D6,valor_asignado!$B:$B,0))</f>
        <v>1.781</v>
      </c>
      <c r="H6" s="4" t="n">
        <f aca="false">INDEX(valor_asignado!$F:$F,MATCH(D6,valor_asignado!$B:$B,0))</f>
        <v>1.34309248668057</v>
      </c>
      <c r="I6" s="4" t="n">
        <f aca="false">INDEX(valor_asignado!$G:$G,MATCH(D6,valor_asignado!$B:$B,0))</f>
        <v>0.127045926735169</v>
      </c>
      <c r="J6" s="4" t="n">
        <f aca="false">INDEX(valor_asignado!$H:$H,MATCH(D6,valor_asignado!$B:$B,0))</f>
        <v>2.23427820453895</v>
      </c>
      <c r="K6" s="4" t="n">
        <f aca="false">INDEX(valor_asignado!$I:$I,MATCH(D6,valor_asignado!$B:$B,0))</f>
        <v>4.4685564090779</v>
      </c>
      <c r="L6" s="4" t="n">
        <f aca="false">INDEX(valor_asignado!$J:$J,MATCH(D6,valor_asignado!$B:$B,0))</f>
        <v>12</v>
      </c>
      <c r="M6" s="3"/>
      <c r="N6" s="3"/>
      <c r="O6" s="3"/>
      <c r="P6" s="3"/>
      <c r="Q6" s="3"/>
      <c r="R6" s="5" t="str">
        <f aca="false">IF(SUM(ABS(E6-validacion_snapshot!$K$113),ABS(F6-validacion_snapshot!$L$113),ABS(G6-validacion_snapshot!$M$113),ABS(H6-validacion_snapshot!$N$113),ABS(I6-validacion_snapshot!$O$113),ABS(J6-validacion_snapshot!$P$113),ABS(K6-validacion_snapshot!$Q$113),ABS(L6-validacion_snapshot!$R$113))&lt;=0.00000001,"OK","FALLA")</f>
        <v>OK</v>
      </c>
    </row>
    <row r="7" customFormat="false" ht="15" hidden="false" customHeight="false" outlineLevel="0" collapsed="false">
      <c r="A7" s="3" t="s">
        <v>238</v>
      </c>
      <c r="B7" s="3" t="s">
        <v>239</v>
      </c>
      <c r="C7" s="3"/>
      <c r="D7" s="3" t="s">
        <v>195</v>
      </c>
      <c r="E7" s="3"/>
      <c r="F7" s="3"/>
      <c r="G7" s="3"/>
      <c r="H7" s="3"/>
      <c r="I7" s="3"/>
      <c r="J7" s="3"/>
      <c r="K7" s="3"/>
      <c r="L7" s="3"/>
      <c r="M7" s="3" t="s">
        <v>240</v>
      </c>
      <c r="N7" s="5" t="n">
        <f aca="false">COUNTIFS(puntajes_EA!$B:$B,D7,puntajes_EA!$G:$G,"N/A")</f>
        <v>0</v>
      </c>
      <c r="O7" s="5" t="n">
        <f aca="false">COUNTIFS(puntajes_EA!$B:$B,D7,puntajes_EA!$G:$G,"Satisfactorio")</f>
        <v>11</v>
      </c>
      <c r="P7" s="5" t="n">
        <f aca="false">COUNTIFS(puntajes_EA!$B:$B,D7,puntajes_EA!$G:$G,"Cuestionable")</f>
        <v>1</v>
      </c>
      <c r="Q7" s="5" t="n">
        <f aca="false">COUNTIFS(puntajes_EA!$B:$B,D7,puntajes_EA!$G:$G,"No satisfactorio")</f>
        <v>0</v>
      </c>
      <c r="R7" s="5" t="str">
        <f aca="false">IF(SUM(ABS(N7-validacion_snapshot!$AF$114),ABS(O7-validacion_snapshot!$AG$114),ABS(P7-validacion_snapshot!$AH$114),ABS(Q7-validacion_snapshot!$AI$114))=0,"OK","FALLA")</f>
        <v>OK</v>
      </c>
    </row>
    <row r="8" customFormat="false" ht="26.85" hidden="false" customHeight="false" outlineLevel="0" collapsed="false">
      <c r="A8" s="3" t="s">
        <v>238</v>
      </c>
      <c r="B8" s="3" t="s">
        <v>239</v>
      </c>
      <c r="C8" s="3"/>
      <c r="D8" s="3" t="s">
        <v>191</v>
      </c>
      <c r="E8" s="3"/>
      <c r="F8" s="3"/>
      <c r="G8" s="3"/>
      <c r="H8" s="3"/>
      <c r="I8" s="3"/>
      <c r="J8" s="3"/>
      <c r="K8" s="3"/>
      <c r="L8" s="3"/>
      <c r="M8" s="3" t="s">
        <v>240</v>
      </c>
      <c r="N8" s="5" t="n">
        <f aca="false">COUNTIFS(puntajes_EA!$B:$B,D8,puntajes_EA!$G:$G,"N/A")</f>
        <v>0</v>
      </c>
      <c r="O8" s="5" t="n">
        <f aca="false">COUNTIFS(puntajes_EA!$B:$B,D8,puntajes_EA!$G:$G,"Satisfactorio")</f>
        <v>10</v>
      </c>
      <c r="P8" s="5" t="n">
        <f aca="false">COUNTIFS(puntajes_EA!$B:$B,D8,puntajes_EA!$G:$G,"Cuestionable")</f>
        <v>0</v>
      </c>
      <c r="Q8" s="5" t="n">
        <f aca="false">COUNTIFS(puntajes_EA!$B:$B,D8,puntajes_EA!$G:$G,"No satisfactorio")</f>
        <v>2</v>
      </c>
      <c r="R8" s="5" t="str">
        <f aca="false">IF(SUM(ABS(N8-validacion_snapshot!$AF$115),ABS(O8-validacion_snapshot!$AG$115),ABS(P8-validacion_snapshot!$AH$115),ABS(Q8-validacion_snapshot!$AI$115))=0,"OK","FALLA")</f>
        <v>OK</v>
      </c>
    </row>
    <row r="9" customFormat="false" ht="15" hidden="false" customHeight="false" outlineLevel="0" collapsed="false">
      <c r="A9" s="3" t="s">
        <v>238</v>
      </c>
      <c r="B9" s="3" t="s">
        <v>239</v>
      </c>
      <c r="C9" s="3"/>
      <c r="D9" s="3" t="s">
        <v>193</v>
      </c>
      <c r="E9" s="3"/>
      <c r="F9" s="3"/>
      <c r="G9" s="3"/>
      <c r="H9" s="3"/>
      <c r="I9" s="3"/>
      <c r="J9" s="3"/>
      <c r="K9" s="3"/>
      <c r="L9" s="3"/>
      <c r="M9" s="3" t="s">
        <v>240</v>
      </c>
      <c r="N9" s="5" t="n">
        <f aca="false">COUNTIFS(puntajes_EA!$B:$B,D9,puntajes_EA!$G:$G,"N/A")</f>
        <v>0</v>
      </c>
      <c r="O9" s="5" t="n">
        <f aca="false">COUNTIFS(puntajes_EA!$B:$B,D9,puntajes_EA!$G:$G,"Satisfactorio")</f>
        <v>10</v>
      </c>
      <c r="P9" s="5" t="n">
        <f aca="false">COUNTIFS(puntajes_EA!$B:$B,D9,puntajes_EA!$G:$G,"Cuestionable")</f>
        <v>2</v>
      </c>
      <c r="Q9" s="5" t="n">
        <f aca="false">COUNTIFS(puntajes_EA!$B:$B,D9,puntajes_EA!$G:$G,"No satisfactorio")</f>
        <v>0</v>
      </c>
      <c r="R9" s="5" t="str">
        <f aca="false">IF(SUM(ABS(N9-validacion_snapshot!$AF$116),ABS(O9-validacion_snapshot!$AG$116),ABS(P9-validacion_snapshot!$AH$116),ABS(Q9-validacion_snapshot!$AI$116))=0,"OK","FALLA")</f>
        <v>OK</v>
      </c>
    </row>
    <row r="10" customFormat="false" ht="15" hidden="false" customHeight="false" outlineLevel="0" collapsed="false">
      <c r="A10" s="3" t="s">
        <v>238</v>
      </c>
      <c r="B10" s="3" t="s">
        <v>239</v>
      </c>
      <c r="C10" s="3"/>
      <c r="D10" s="3" t="s">
        <v>197</v>
      </c>
      <c r="E10" s="3"/>
      <c r="F10" s="3"/>
      <c r="G10" s="3"/>
      <c r="H10" s="3"/>
      <c r="I10" s="3"/>
      <c r="J10" s="3"/>
      <c r="K10" s="3"/>
      <c r="L10" s="3"/>
      <c r="M10" s="3" t="s">
        <v>240</v>
      </c>
      <c r="N10" s="5" t="n">
        <f aca="false">COUNTIFS(puntajes_EA!$B:$B,D10,puntajes_EA!$G:$G,"N/A")</f>
        <v>0</v>
      </c>
      <c r="O10" s="5" t="n">
        <f aca="false">COUNTIFS(puntajes_EA!$B:$B,D10,puntajes_EA!$G:$G,"Satisfactorio")</f>
        <v>12</v>
      </c>
      <c r="P10" s="5" t="n">
        <f aca="false">COUNTIFS(puntajes_EA!$B:$B,D10,puntajes_EA!$G:$G,"Cuestionable")</f>
        <v>0</v>
      </c>
      <c r="Q10" s="5" t="n">
        <f aca="false">COUNTIFS(puntajes_EA!$B:$B,D10,puntajes_EA!$G:$G,"No satisfactorio")</f>
        <v>0</v>
      </c>
      <c r="R10" s="5" t="str">
        <f aca="false">IF(SUM(ABS(N10-validacion_snapshot!$AF$117),ABS(O10-validacion_snapshot!$AG$117),ABS(P10-validacion_snapshot!$AH$117),ABS(Q10-validacion_snapshot!$AI$117))=0,"OK","FALLA")</f>
        <v>OK</v>
      </c>
    </row>
    <row r="11" customFormat="false" ht="15" hidden="false" customHeight="false" outlineLevel="0" collapsed="false">
      <c r="A11" s="3" t="s">
        <v>238</v>
      </c>
      <c r="B11" s="3" t="s">
        <v>239</v>
      </c>
      <c r="C11" s="3"/>
      <c r="D11" s="3" t="s">
        <v>189</v>
      </c>
      <c r="E11" s="3"/>
      <c r="F11" s="3"/>
      <c r="G11" s="3"/>
      <c r="H11" s="3"/>
      <c r="I11" s="3"/>
      <c r="J11" s="3"/>
      <c r="K11" s="3"/>
      <c r="L11" s="3"/>
      <c r="M11" s="3" t="s">
        <v>240</v>
      </c>
      <c r="N11" s="5" t="n">
        <f aca="false">COUNTIFS(puntajes_EA!$B:$B,D11,puntajes_EA!$G:$G,"N/A")</f>
        <v>0</v>
      </c>
      <c r="O11" s="5" t="n">
        <f aca="false">COUNTIFS(puntajes_EA!$B:$B,D11,puntajes_EA!$G:$G,"Satisfactorio")</f>
        <v>12</v>
      </c>
      <c r="P11" s="5" t="n">
        <f aca="false">COUNTIFS(puntajes_EA!$B:$B,D11,puntajes_EA!$G:$G,"Cuestionable")</f>
        <v>0</v>
      </c>
      <c r="Q11" s="5" t="n">
        <f aca="false">COUNTIFS(puntajes_EA!$B:$B,D11,puntajes_EA!$G:$G,"No satisfactorio")</f>
        <v>0</v>
      </c>
      <c r="R11" s="5" t="str">
        <f aca="false">IF(SUM(ABS(N11-validacion_snapshot!$AF$118),ABS(O11-validacion_snapshot!$AG$118),ABS(P11-validacion_snapshot!$AH$118),ABS(Q11-validacion_snapshot!$AI$118))=0,"OK","FALLA")</f>
        <v>OK</v>
      </c>
    </row>
    <row r="12" customFormat="false" ht="15" hidden="false" customHeight="false" outlineLevel="0" collapsed="false">
      <c r="A12" s="3" t="s">
        <v>238</v>
      </c>
      <c r="B12" s="3" t="s">
        <v>239</v>
      </c>
      <c r="C12" s="3"/>
      <c r="D12" s="3" t="s">
        <v>195</v>
      </c>
      <c r="E12" s="3"/>
      <c r="F12" s="3"/>
      <c r="G12" s="3"/>
      <c r="H12" s="3"/>
      <c r="I12" s="3"/>
      <c r="J12" s="3"/>
      <c r="K12" s="3"/>
      <c r="L12" s="3"/>
      <c r="M12" s="3" t="s">
        <v>241</v>
      </c>
      <c r="N12" s="5" t="n">
        <f aca="false">COUNTIFS(puntajes_EA!$B:$B,D12,puntajes_EA!$I:$I,"N/A")</f>
        <v>0</v>
      </c>
      <c r="O12" s="5" t="n">
        <f aca="false">COUNTIFS(puntajes_EA!$B:$B,D12,puntajes_EA!$I:$I,"Satisfactorio")</f>
        <v>12</v>
      </c>
      <c r="P12" s="5" t="n">
        <f aca="false">COUNTIFS(puntajes_EA!$B:$B,D12,puntajes_EA!$I:$I,"Cuestionable")</f>
        <v>0</v>
      </c>
      <c r="Q12" s="5" t="n">
        <f aca="false">COUNTIFS(puntajes_EA!$B:$B,D12,puntajes_EA!$I:$I,"No satisfactorio")</f>
        <v>0</v>
      </c>
      <c r="R12" s="5" t="str">
        <f aca="false">IF(SUM(ABS(N12-validacion_snapshot!$AF$119),ABS(O12-validacion_snapshot!$AG$119),ABS(P12-validacion_snapshot!$AH$119),ABS(Q12-validacion_snapshot!$AI$119))=0,"OK","FALLA")</f>
        <v>OK</v>
      </c>
    </row>
    <row r="13" customFormat="false" ht="26.85" hidden="false" customHeight="false" outlineLevel="0" collapsed="false">
      <c r="A13" s="3" t="s">
        <v>238</v>
      </c>
      <c r="B13" s="3" t="s">
        <v>239</v>
      </c>
      <c r="C13" s="3"/>
      <c r="D13" s="3" t="s">
        <v>191</v>
      </c>
      <c r="E13" s="3"/>
      <c r="F13" s="3"/>
      <c r="G13" s="3"/>
      <c r="H13" s="3"/>
      <c r="I13" s="3"/>
      <c r="J13" s="3"/>
      <c r="K13" s="3"/>
      <c r="L13" s="3"/>
      <c r="M13" s="3" t="s">
        <v>241</v>
      </c>
      <c r="N13" s="5" t="n">
        <f aca="false">COUNTIFS(puntajes_EA!$B:$B,D13,puntajes_EA!$I:$I,"N/A")</f>
        <v>0</v>
      </c>
      <c r="O13" s="5" t="n">
        <f aca="false">COUNTIFS(puntajes_EA!$B:$B,D13,puntajes_EA!$I:$I,"Satisfactorio")</f>
        <v>12</v>
      </c>
      <c r="P13" s="5" t="n">
        <f aca="false">COUNTIFS(puntajes_EA!$B:$B,D13,puntajes_EA!$I:$I,"Cuestionable")</f>
        <v>0</v>
      </c>
      <c r="Q13" s="5" t="n">
        <f aca="false">COUNTIFS(puntajes_EA!$B:$B,D13,puntajes_EA!$I:$I,"No satisfactorio")</f>
        <v>0</v>
      </c>
      <c r="R13" s="5" t="str">
        <f aca="false">IF(SUM(ABS(N13-validacion_snapshot!$AF$120),ABS(O13-validacion_snapshot!$AG$120),ABS(P13-validacion_snapshot!$AH$120),ABS(Q13-validacion_snapshot!$AI$120))=0,"OK","FALLA")</f>
        <v>OK</v>
      </c>
    </row>
    <row r="14" customFormat="false" ht="15" hidden="false" customHeight="false" outlineLevel="0" collapsed="false">
      <c r="A14" s="3" t="s">
        <v>238</v>
      </c>
      <c r="B14" s="3" t="s">
        <v>239</v>
      </c>
      <c r="C14" s="3"/>
      <c r="D14" s="3" t="s">
        <v>193</v>
      </c>
      <c r="E14" s="3"/>
      <c r="F14" s="3"/>
      <c r="G14" s="3"/>
      <c r="H14" s="3"/>
      <c r="I14" s="3"/>
      <c r="J14" s="3"/>
      <c r="K14" s="3"/>
      <c r="L14" s="3"/>
      <c r="M14" s="3" t="s">
        <v>241</v>
      </c>
      <c r="N14" s="5" t="n">
        <f aca="false">COUNTIFS(puntajes_EA!$B:$B,D14,puntajes_EA!$I:$I,"N/A")</f>
        <v>0</v>
      </c>
      <c r="O14" s="5" t="n">
        <f aca="false">COUNTIFS(puntajes_EA!$B:$B,D14,puntajes_EA!$I:$I,"Satisfactorio")</f>
        <v>12</v>
      </c>
      <c r="P14" s="5" t="n">
        <f aca="false">COUNTIFS(puntajes_EA!$B:$B,D14,puntajes_EA!$I:$I,"Cuestionable")</f>
        <v>0</v>
      </c>
      <c r="Q14" s="5" t="n">
        <f aca="false">COUNTIFS(puntajes_EA!$B:$B,D14,puntajes_EA!$I:$I,"No satisfactorio")</f>
        <v>0</v>
      </c>
      <c r="R14" s="5" t="str">
        <f aca="false">IF(SUM(ABS(N14-validacion_snapshot!$AF$121),ABS(O14-validacion_snapshot!$AG$121),ABS(P14-validacion_snapshot!$AH$121),ABS(Q14-validacion_snapshot!$AI$121))=0,"OK","FALLA")</f>
        <v>OK</v>
      </c>
    </row>
    <row r="15" customFormat="false" ht="15" hidden="false" customHeight="false" outlineLevel="0" collapsed="false">
      <c r="A15" s="3" t="s">
        <v>238</v>
      </c>
      <c r="B15" s="3" t="s">
        <v>239</v>
      </c>
      <c r="C15" s="3"/>
      <c r="D15" s="3" t="s">
        <v>197</v>
      </c>
      <c r="E15" s="3"/>
      <c r="F15" s="3"/>
      <c r="G15" s="3"/>
      <c r="H15" s="3"/>
      <c r="I15" s="3"/>
      <c r="J15" s="3"/>
      <c r="K15" s="3"/>
      <c r="L15" s="3"/>
      <c r="M15" s="3" t="s">
        <v>241</v>
      </c>
      <c r="N15" s="5" t="n">
        <f aca="false">COUNTIFS(puntajes_EA!$B:$B,D15,puntajes_EA!$I:$I,"N/A")</f>
        <v>0</v>
      </c>
      <c r="O15" s="5" t="n">
        <f aca="false">COUNTIFS(puntajes_EA!$B:$B,D15,puntajes_EA!$I:$I,"Satisfactorio")</f>
        <v>12</v>
      </c>
      <c r="P15" s="5" t="n">
        <f aca="false">COUNTIFS(puntajes_EA!$B:$B,D15,puntajes_EA!$I:$I,"Cuestionable")</f>
        <v>0</v>
      </c>
      <c r="Q15" s="5" t="n">
        <f aca="false">COUNTIFS(puntajes_EA!$B:$B,D15,puntajes_EA!$I:$I,"No satisfactorio")</f>
        <v>0</v>
      </c>
      <c r="R15" s="5" t="str">
        <f aca="false">IF(SUM(ABS(N15-validacion_snapshot!$AF$122),ABS(O15-validacion_snapshot!$AG$122),ABS(P15-validacion_snapshot!$AH$122),ABS(Q15-validacion_snapshot!$AI$122))=0,"OK","FALLA")</f>
        <v>OK</v>
      </c>
    </row>
    <row r="16" customFormat="false" ht="15" hidden="false" customHeight="false" outlineLevel="0" collapsed="false">
      <c r="A16" s="3" t="s">
        <v>238</v>
      </c>
      <c r="B16" s="3" t="s">
        <v>239</v>
      </c>
      <c r="C16" s="3"/>
      <c r="D16" s="3" t="s">
        <v>189</v>
      </c>
      <c r="E16" s="3"/>
      <c r="F16" s="3"/>
      <c r="G16" s="3"/>
      <c r="H16" s="3"/>
      <c r="I16" s="3"/>
      <c r="J16" s="3"/>
      <c r="K16" s="3"/>
      <c r="L16" s="3"/>
      <c r="M16" s="3" t="s">
        <v>241</v>
      </c>
      <c r="N16" s="5" t="n">
        <f aca="false">COUNTIFS(puntajes_EA!$B:$B,D16,puntajes_EA!$I:$I,"N/A")</f>
        <v>0</v>
      </c>
      <c r="O16" s="5" t="n">
        <f aca="false">COUNTIFS(puntajes_EA!$B:$B,D16,puntajes_EA!$I:$I,"Satisfactorio")</f>
        <v>12</v>
      </c>
      <c r="P16" s="5" t="n">
        <f aca="false">COUNTIFS(puntajes_EA!$B:$B,D16,puntajes_EA!$I:$I,"Cuestionable")</f>
        <v>0</v>
      </c>
      <c r="Q16" s="5" t="n">
        <f aca="false">COUNTIFS(puntajes_EA!$B:$B,D16,puntajes_EA!$I:$I,"No satisfactorio")</f>
        <v>0</v>
      </c>
      <c r="R16" s="5" t="str">
        <f aca="false">IF(SUM(ABS(N16-validacion_snapshot!$AF$123),ABS(O16-validacion_snapshot!$AG$123),ABS(P16-validacion_snapshot!$AH$123),ABS(Q16-validacion_snapshot!$AI$123))=0,"OK","FALLA")</f>
        <v>OK</v>
      </c>
    </row>
    <row r="17" customFormat="false" ht="15" hidden="false" customHeight="false" outlineLevel="0" collapsed="false">
      <c r="A17" s="3" t="s">
        <v>238</v>
      </c>
      <c r="B17" s="3" t="s">
        <v>239</v>
      </c>
      <c r="C17" s="3"/>
      <c r="D17" s="3" t="s">
        <v>195</v>
      </c>
      <c r="E17" s="3"/>
      <c r="F17" s="3"/>
      <c r="G17" s="3"/>
      <c r="H17" s="3"/>
      <c r="I17" s="3"/>
      <c r="J17" s="3"/>
      <c r="K17" s="3"/>
      <c r="L17" s="3"/>
      <c r="M17" s="3" t="s">
        <v>242</v>
      </c>
      <c r="N17" s="5" t="n">
        <f aca="false">COUNTIFS(puntajes_EA!$B:$B,D17,puntajes_EA!$K:$K,"N/A")</f>
        <v>0</v>
      </c>
      <c r="O17" s="5" t="n">
        <f aca="false">COUNTIFS(puntajes_EA!$B:$B,D17,puntajes_EA!$K:$K,"Satisfactorio")</f>
        <v>12</v>
      </c>
      <c r="P17" s="5" t="n">
        <f aca="false">COUNTIFS(puntajes_EA!$B:$B,D17,puntajes_EA!$K:$K,"Cuestionable")</f>
        <v>0</v>
      </c>
      <c r="Q17" s="5" t="n">
        <f aca="false">COUNTIFS(puntajes_EA!$B:$B,D17,puntajes_EA!$K:$K,"No satisfactorio")</f>
        <v>0</v>
      </c>
      <c r="R17" s="5" t="str">
        <f aca="false">IF(SUM(ABS(N17-validacion_snapshot!$AF$124),ABS(O17-validacion_snapshot!$AG$124),ABS(P17-validacion_snapshot!$AH$124),ABS(Q17-validacion_snapshot!$AI$124))=0,"OK","FALLA")</f>
        <v>OK</v>
      </c>
    </row>
    <row r="18" customFormat="false" ht="26.85" hidden="false" customHeight="false" outlineLevel="0" collapsed="false">
      <c r="A18" s="3" t="s">
        <v>238</v>
      </c>
      <c r="B18" s="3" t="s">
        <v>239</v>
      </c>
      <c r="C18" s="3"/>
      <c r="D18" s="3" t="s">
        <v>191</v>
      </c>
      <c r="E18" s="3"/>
      <c r="F18" s="3"/>
      <c r="G18" s="3"/>
      <c r="H18" s="3"/>
      <c r="I18" s="3"/>
      <c r="J18" s="3"/>
      <c r="K18" s="3"/>
      <c r="L18" s="3"/>
      <c r="M18" s="3" t="s">
        <v>242</v>
      </c>
      <c r="N18" s="5" t="n">
        <f aca="false">COUNTIFS(puntajes_EA!$B:$B,D18,puntajes_EA!$K:$K,"N/A")</f>
        <v>0</v>
      </c>
      <c r="O18" s="5" t="n">
        <f aca="false">COUNTIFS(puntajes_EA!$B:$B,D18,puntajes_EA!$K:$K,"Satisfactorio")</f>
        <v>12</v>
      </c>
      <c r="P18" s="5" t="n">
        <f aca="false">COUNTIFS(puntajes_EA!$B:$B,D18,puntajes_EA!$K:$K,"Cuestionable")</f>
        <v>0</v>
      </c>
      <c r="Q18" s="5" t="n">
        <f aca="false">COUNTIFS(puntajes_EA!$B:$B,D18,puntajes_EA!$K:$K,"No satisfactorio")</f>
        <v>0</v>
      </c>
      <c r="R18" s="5" t="str">
        <f aca="false">IF(SUM(ABS(N18-validacion_snapshot!$AF$125),ABS(O18-validacion_snapshot!$AG$125),ABS(P18-validacion_snapshot!$AH$125),ABS(Q18-validacion_snapshot!$AI$125))=0,"OK","FALLA")</f>
        <v>OK</v>
      </c>
    </row>
    <row r="19" customFormat="false" ht="15" hidden="false" customHeight="false" outlineLevel="0" collapsed="false">
      <c r="A19" s="3" t="s">
        <v>238</v>
      </c>
      <c r="B19" s="3" t="s">
        <v>239</v>
      </c>
      <c r="C19" s="3"/>
      <c r="D19" s="3" t="s">
        <v>193</v>
      </c>
      <c r="E19" s="3"/>
      <c r="F19" s="3"/>
      <c r="G19" s="3"/>
      <c r="H19" s="3"/>
      <c r="I19" s="3"/>
      <c r="J19" s="3"/>
      <c r="K19" s="3"/>
      <c r="L19" s="3"/>
      <c r="M19" s="3" t="s">
        <v>242</v>
      </c>
      <c r="N19" s="5" t="n">
        <f aca="false">COUNTIFS(puntajes_EA!$B:$B,D19,puntajes_EA!$K:$K,"N/A")</f>
        <v>0</v>
      </c>
      <c r="O19" s="5" t="n">
        <f aca="false">COUNTIFS(puntajes_EA!$B:$B,D19,puntajes_EA!$K:$K,"Satisfactorio")</f>
        <v>12</v>
      </c>
      <c r="P19" s="5" t="n">
        <f aca="false">COUNTIFS(puntajes_EA!$B:$B,D19,puntajes_EA!$K:$K,"Cuestionable")</f>
        <v>0</v>
      </c>
      <c r="Q19" s="5" t="n">
        <f aca="false">COUNTIFS(puntajes_EA!$B:$B,D19,puntajes_EA!$K:$K,"No satisfactorio")</f>
        <v>0</v>
      </c>
      <c r="R19" s="5" t="str">
        <f aca="false">IF(SUM(ABS(N19-validacion_snapshot!$AF$126),ABS(O19-validacion_snapshot!$AG$126),ABS(P19-validacion_snapshot!$AH$126),ABS(Q19-validacion_snapshot!$AI$126))=0,"OK","FALLA")</f>
        <v>OK</v>
      </c>
    </row>
    <row r="20" customFormat="false" ht="15" hidden="false" customHeight="false" outlineLevel="0" collapsed="false">
      <c r="A20" s="3" t="s">
        <v>238</v>
      </c>
      <c r="B20" s="3" t="s">
        <v>239</v>
      </c>
      <c r="C20" s="3"/>
      <c r="D20" s="3" t="s">
        <v>197</v>
      </c>
      <c r="E20" s="3"/>
      <c r="F20" s="3"/>
      <c r="G20" s="3"/>
      <c r="H20" s="3"/>
      <c r="I20" s="3"/>
      <c r="J20" s="3"/>
      <c r="K20" s="3"/>
      <c r="L20" s="3"/>
      <c r="M20" s="3" t="s">
        <v>242</v>
      </c>
      <c r="N20" s="5" t="n">
        <f aca="false">COUNTIFS(puntajes_EA!$B:$B,D20,puntajes_EA!$K:$K,"N/A")</f>
        <v>0</v>
      </c>
      <c r="O20" s="5" t="n">
        <f aca="false">COUNTIFS(puntajes_EA!$B:$B,D20,puntajes_EA!$K:$K,"Satisfactorio")</f>
        <v>12</v>
      </c>
      <c r="P20" s="5" t="n">
        <f aca="false">COUNTIFS(puntajes_EA!$B:$B,D20,puntajes_EA!$K:$K,"Cuestionable")</f>
        <v>0</v>
      </c>
      <c r="Q20" s="5" t="n">
        <f aca="false">COUNTIFS(puntajes_EA!$B:$B,D20,puntajes_EA!$K:$K,"No satisfactorio")</f>
        <v>0</v>
      </c>
      <c r="R20" s="5" t="str">
        <f aca="false">IF(SUM(ABS(N20-validacion_snapshot!$AF$127),ABS(O20-validacion_snapshot!$AG$127),ABS(P20-validacion_snapshot!$AH$127),ABS(Q20-validacion_snapshot!$AI$127))=0,"OK","FALLA")</f>
        <v>OK</v>
      </c>
    </row>
    <row r="21" customFormat="false" ht="15" hidden="false" customHeight="false" outlineLevel="0" collapsed="false">
      <c r="A21" s="3" t="s">
        <v>238</v>
      </c>
      <c r="B21" s="3" t="s">
        <v>239</v>
      </c>
      <c r="C21" s="3"/>
      <c r="D21" s="3" t="s">
        <v>189</v>
      </c>
      <c r="E21" s="3"/>
      <c r="F21" s="3"/>
      <c r="G21" s="3"/>
      <c r="H21" s="3"/>
      <c r="I21" s="3"/>
      <c r="J21" s="3"/>
      <c r="K21" s="3"/>
      <c r="L21" s="3"/>
      <c r="M21" s="3" t="s">
        <v>242</v>
      </c>
      <c r="N21" s="5" t="n">
        <f aca="false">COUNTIFS(puntajes_EA!$B:$B,D21,puntajes_EA!$K:$K,"N/A")</f>
        <v>0</v>
      </c>
      <c r="O21" s="5" t="n">
        <f aca="false">COUNTIFS(puntajes_EA!$B:$B,D21,puntajes_EA!$K:$K,"Satisfactorio")</f>
        <v>12</v>
      </c>
      <c r="P21" s="5" t="n">
        <f aca="false">COUNTIFS(puntajes_EA!$B:$B,D21,puntajes_EA!$K:$K,"Cuestionable")</f>
        <v>0</v>
      </c>
      <c r="Q21" s="5" t="n">
        <f aca="false">COUNTIFS(puntajes_EA!$B:$B,D21,puntajes_EA!$K:$K,"No satisfactorio")</f>
        <v>0</v>
      </c>
      <c r="R21" s="5" t="str">
        <f aca="false">IF(SUM(ABS(N21-validacion_snapshot!$AF$128),ABS(O21-validacion_snapshot!$AG$128),ABS(P21-validacion_snapshot!$AH$128),ABS(Q21-validacion_snapshot!$AI$128))=0,"OK","FALLA")</f>
        <v>OK</v>
      </c>
    </row>
    <row r="22" customFormat="false" ht="15" hidden="false" customHeight="false" outlineLevel="0" collapsed="false">
      <c r="A22" s="3" t="s">
        <v>238</v>
      </c>
      <c r="B22" s="3" t="s">
        <v>239</v>
      </c>
      <c r="C22" s="3"/>
      <c r="D22" s="3" t="s">
        <v>195</v>
      </c>
      <c r="E22" s="3"/>
      <c r="F22" s="3"/>
      <c r="G22" s="3"/>
      <c r="H22" s="3"/>
      <c r="I22" s="3"/>
      <c r="J22" s="3"/>
      <c r="K22" s="3"/>
      <c r="L22" s="3"/>
      <c r="M22" s="3" t="s">
        <v>243</v>
      </c>
      <c r="N22" s="5" t="n">
        <f aca="false">COUNTIFS(puntajes_EA!$B:$B,D22,puntajes_EA!$M:$M,"N/A")</f>
        <v>0</v>
      </c>
      <c r="O22" s="5" t="n">
        <f aca="false">COUNTIFS(puntajes_EA!$B:$B,D22,puntajes_EA!$M:$M,"Satisfactorio")</f>
        <v>12</v>
      </c>
      <c r="P22" s="5" t="n">
        <f aca="false">COUNTIFS(puntajes_EA!$B:$B,D22,puntajes_EA!$M:$M,"Cuestionable")</f>
        <v>0</v>
      </c>
      <c r="Q22" s="5" t="n">
        <f aca="false">COUNTIFS(puntajes_EA!$B:$B,D22,puntajes_EA!$M:$M,"No satisfactorio")</f>
        <v>0</v>
      </c>
      <c r="R22" s="5" t="str">
        <f aca="false">IF(SUM(ABS(N22-validacion_snapshot!$AF$129),ABS(O22-validacion_snapshot!$AG$129),ABS(P22-validacion_snapshot!$AH$129),ABS(Q22-validacion_snapshot!$AI$129))=0,"OK","FALLA")</f>
        <v>OK</v>
      </c>
    </row>
    <row r="23" customFormat="false" ht="26.85" hidden="false" customHeight="false" outlineLevel="0" collapsed="false">
      <c r="A23" s="3" t="s">
        <v>238</v>
      </c>
      <c r="B23" s="3" t="s">
        <v>239</v>
      </c>
      <c r="C23" s="3"/>
      <c r="D23" s="3" t="s">
        <v>191</v>
      </c>
      <c r="E23" s="3"/>
      <c r="F23" s="3"/>
      <c r="G23" s="3"/>
      <c r="H23" s="3"/>
      <c r="I23" s="3"/>
      <c r="J23" s="3"/>
      <c r="K23" s="3"/>
      <c r="L23" s="3"/>
      <c r="M23" s="3" t="s">
        <v>243</v>
      </c>
      <c r="N23" s="5" t="n">
        <f aca="false">COUNTIFS(puntajes_EA!$B:$B,D23,puntajes_EA!$M:$M,"N/A")</f>
        <v>0</v>
      </c>
      <c r="O23" s="5" t="n">
        <f aca="false">COUNTIFS(puntajes_EA!$B:$B,D23,puntajes_EA!$M:$M,"Satisfactorio")</f>
        <v>12</v>
      </c>
      <c r="P23" s="5" t="n">
        <f aca="false">COUNTIFS(puntajes_EA!$B:$B,D23,puntajes_EA!$M:$M,"Cuestionable")</f>
        <v>0</v>
      </c>
      <c r="Q23" s="5" t="n">
        <f aca="false">COUNTIFS(puntajes_EA!$B:$B,D23,puntajes_EA!$M:$M,"No satisfactorio")</f>
        <v>0</v>
      </c>
      <c r="R23" s="5" t="str">
        <f aca="false">IF(SUM(ABS(N23-validacion_snapshot!$AF$130),ABS(O23-validacion_snapshot!$AG$130),ABS(P23-validacion_snapshot!$AH$130),ABS(Q23-validacion_snapshot!$AI$130))=0,"OK","FALLA")</f>
        <v>OK</v>
      </c>
    </row>
    <row r="24" customFormat="false" ht="15" hidden="false" customHeight="false" outlineLevel="0" collapsed="false">
      <c r="A24" s="3" t="s">
        <v>238</v>
      </c>
      <c r="B24" s="3" t="s">
        <v>239</v>
      </c>
      <c r="C24" s="3"/>
      <c r="D24" s="3" t="s">
        <v>193</v>
      </c>
      <c r="E24" s="3"/>
      <c r="F24" s="3"/>
      <c r="G24" s="3"/>
      <c r="H24" s="3"/>
      <c r="I24" s="3"/>
      <c r="J24" s="3"/>
      <c r="K24" s="3"/>
      <c r="L24" s="3"/>
      <c r="M24" s="3" t="s">
        <v>243</v>
      </c>
      <c r="N24" s="5" t="n">
        <f aca="false">COUNTIFS(puntajes_EA!$B:$B,D24,puntajes_EA!$M:$M,"N/A")</f>
        <v>0</v>
      </c>
      <c r="O24" s="5" t="n">
        <f aca="false">COUNTIFS(puntajes_EA!$B:$B,D24,puntajes_EA!$M:$M,"Satisfactorio")</f>
        <v>12</v>
      </c>
      <c r="P24" s="5" t="n">
        <f aca="false">COUNTIFS(puntajes_EA!$B:$B,D24,puntajes_EA!$M:$M,"Cuestionable")</f>
        <v>0</v>
      </c>
      <c r="Q24" s="5" t="n">
        <f aca="false">COUNTIFS(puntajes_EA!$B:$B,D24,puntajes_EA!$M:$M,"No satisfactorio")</f>
        <v>0</v>
      </c>
      <c r="R24" s="5" t="str">
        <f aca="false">IF(SUM(ABS(N24-validacion_snapshot!$AF$131),ABS(O24-validacion_snapshot!$AG$131),ABS(P24-validacion_snapshot!$AH$131),ABS(Q24-validacion_snapshot!$AI$131))=0,"OK","FALLA")</f>
        <v>OK</v>
      </c>
    </row>
    <row r="25" customFormat="false" ht="15" hidden="false" customHeight="false" outlineLevel="0" collapsed="false">
      <c r="A25" s="3" t="s">
        <v>238</v>
      </c>
      <c r="B25" s="3" t="s">
        <v>239</v>
      </c>
      <c r="C25" s="3"/>
      <c r="D25" s="3" t="s">
        <v>197</v>
      </c>
      <c r="E25" s="3"/>
      <c r="F25" s="3"/>
      <c r="G25" s="3"/>
      <c r="H25" s="3"/>
      <c r="I25" s="3"/>
      <c r="J25" s="3"/>
      <c r="K25" s="3"/>
      <c r="L25" s="3"/>
      <c r="M25" s="3" t="s">
        <v>243</v>
      </c>
      <c r="N25" s="5" t="n">
        <f aca="false">COUNTIFS(puntajes_EA!$B:$B,D25,puntajes_EA!$M:$M,"N/A")</f>
        <v>0</v>
      </c>
      <c r="O25" s="5" t="n">
        <f aca="false">COUNTIFS(puntajes_EA!$B:$B,D25,puntajes_EA!$M:$M,"Satisfactorio")</f>
        <v>12</v>
      </c>
      <c r="P25" s="5" t="n">
        <f aca="false">COUNTIFS(puntajes_EA!$B:$B,D25,puntajes_EA!$M:$M,"Cuestionable")</f>
        <v>0</v>
      </c>
      <c r="Q25" s="5" t="n">
        <f aca="false">COUNTIFS(puntajes_EA!$B:$B,D25,puntajes_EA!$M:$M,"No satisfactorio")</f>
        <v>0</v>
      </c>
      <c r="R25" s="5" t="str">
        <f aca="false">IF(SUM(ABS(N25-validacion_snapshot!$AF$132),ABS(O25-validacion_snapshot!$AG$132),ABS(P25-validacion_snapshot!$AH$132),ABS(Q25-validacion_snapshot!$AI$132))=0,"OK","FALLA")</f>
        <v>OK</v>
      </c>
    </row>
    <row r="26" customFormat="false" ht="15" hidden="false" customHeight="false" outlineLevel="0" collapsed="false">
      <c r="A26" s="3" t="s">
        <v>238</v>
      </c>
      <c r="B26" s="3" t="s">
        <v>239</v>
      </c>
      <c r="C26" s="3"/>
      <c r="D26" s="3" t="s">
        <v>189</v>
      </c>
      <c r="E26" s="3"/>
      <c r="F26" s="3"/>
      <c r="G26" s="3"/>
      <c r="H26" s="3"/>
      <c r="I26" s="3"/>
      <c r="J26" s="3"/>
      <c r="K26" s="3"/>
      <c r="L26" s="3"/>
      <c r="M26" s="3" t="s">
        <v>243</v>
      </c>
      <c r="N26" s="5" t="n">
        <f aca="false">COUNTIFS(puntajes_EA!$B:$B,D26,puntajes_EA!$M:$M,"N/A")</f>
        <v>0</v>
      </c>
      <c r="O26" s="5" t="n">
        <f aca="false">COUNTIFS(puntajes_EA!$B:$B,D26,puntajes_EA!$M:$M,"Satisfactorio")</f>
        <v>12</v>
      </c>
      <c r="P26" s="5" t="n">
        <f aca="false">COUNTIFS(puntajes_EA!$B:$B,D26,puntajes_EA!$M:$M,"Cuestionable")</f>
        <v>0</v>
      </c>
      <c r="Q26" s="5" t="n">
        <f aca="false">COUNTIFS(puntajes_EA!$B:$B,D26,puntajes_EA!$M:$M,"No satisfactorio")</f>
        <v>0</v>
      </c>
      <c r="R26" s="5" t="str">
        <f aca="false">IF(SUM(ABS(N26-validacion_snapshot!$AF$133),ABS(O26-validacion_snapshot!$AG$133),ABS(P26-validacion_snapshot!$AH$133),ABS(Q26-validacion_snapshot!$AI$133))=0,"OK","FALLA")</f>
        <v>OK</v>
      </c>
    </row>
  </sheetData>
  <conditionalFormatting sqref="R2:R26">
    <cfRule type="expression" priority="2" aboveAverage="0" equalAverage="0" bottom="0" percent="0" rank="0" text="" dxfId="0">
      <formula>R2="FALLA"</formula>
    </cfRule>
    <cfRule type="expression" priority="3" aboveAverage="0" equalAverage="0" bottom="0" percent="0" rank="0" text="" dxfId="1">
      <formula>R2="OK"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8.71"/>
    <col collapsed="false" customWidth="true" hidden="false" outlineLevel="0" max="3" min="3" style="0" width="10.71"/>
    <col collapsed="false" customWidth="true" hidden="false" outlineLevel="0" max="4" min="4" style="0" width="11.71"/>
    <col collapsed="false" customWidth="true" hidden="false" outlineLevel="0" max="5" min="5" style="0" width="14.71"/>
    <col collapsed="false" customWidth="true" hidden="false" outlineLevel="0" max="6" min="6" style="0" width="12.71"/>
    <col collapsed="false" customWidth="true" hidden="false" outlineLevel="0" max="7" min="7" style="0" width="11.71"/>
    <col collapsed="false" customWidth="true" hidden="false" outlineLevel="0" max="8" min="8" style="0" width="10.71"/>
    <col collapsed="false" customWidth="true" hidden="false" outlineLevel="0" max="9" min="9" style="0" width="14.71"/>
    <col collapsed="false" customWidth="true" hidden="false" outlineLevel="0" max="10" min="10" style="0" width="12.71"/>
    <col collapsed="false" customWidth="true" hidden="false" outlineLevel="0" max="11" min="11" style="0" width="6.71"/>
  </cols>
  <sheetData>
    <row r="1" customFormat="false" ht="15" hidden="false" customHeight="false" outlineLevel="0" collapsed="false">
      <c r="A1" s="2" t="s">
        <v>180</v>
      </c>
      <c r="B1" s="2" t="s">
        <v>181</v>
      </c>
      <c r="C1" s="2" t="s">
        <v>244</v>
      </c>
      <c r="D1" s="2" t="s">
        <v>245</v>
      </c>
      <c r="E1" s="2" t="s">
        <v>119</v>
      </c>
      <c r="F1" s="2" t="s">
        <v>121</v>
      </c>
      <c r="G1" s="2" t="s">
        <v>246</v>
      </c>
      <c r="H1" s="2" t="s">
        <v>247</v>
      </c>
      <c r="I1" s="2" t="s">
        <v>248</v>
      </c>
      <c r="J1" s="2" t="s">
        <v>249</v>
      </c>
      <c r="K1" s="2" t="s">
        <v>69</v>
      </c>
    </row>
    <row r="2" customFormat="false" ht="26.85" hidden="false" customHeight="false" outlineLevel="0" collapsed="false">
      <c r="A2" s="3" t="s">
        <v>140</v>
      </c>
      <c r="B2" s="3" t="s">
        <v>189</v>
      </c>
      <c r="C2" s="3" t="s">
        <v>240</v>
      </c>
      <c r="D2" s="3" t="s">
        <v>240</v>
      </c>
      <c r="E2" s="3" t="s">
        <v>126</v>
      </c>
      <c r="F2" s="3" t="s">
        <v>6</v>
      </c>
      <c r="G2" s="4" t="n">
        <f aca="false">IFERROR(puntajes_EA!$F$2,"")</f>
        <v>0.243467742171617</v>
      </c>
      <c r="H2" s="5" t="str">
        <f aca="false">IFERROR(puntajes_EA!$G$2,"N/A")</f>
        <v>Satisfactorio</v>
      </c>
      <c r="I2" s="4" t="str">
        <f aca="false">IF(ISNUMBER(G2),TEXT(G2,"0.00"),"")</f>
        <v>0.24</v>
      </c>
      <c r="J2" s="3" t="n">
        <v>2</v>
      </c>
      <c r="K2" s="5" t="str">
        <f aca="false">IF(AND(B2=puntajes_EA!$B$2,E2=puntajes_EA!$C$2,I2=IF(ISNUMBER(puntajes_EA!$F$2),TEXT(puntajes_EA!$F$2,"0.00"),""),H2=IFERROR(puntajes_EA!$G$2,"N/A")),"OK","FALLA")</f>
        <v>OK</v>
      </c>
    </row>
    <row r="3" customFormat="false" ht="26.85" hidden="false" customHeight="false" outlineLevel="0" collapsed="false">
      <c r="A3" s="3" t="s">
        <v>140</v>
      </c>
      <c r="B3" s="3" t="s">
        <v>189</v>
      </c>
      <c r="C3" s="3" t="s">
        <v>240</v>
      </c>
      <c r="D3" s="3" t="s">
        <v>240</v>
      </c>
      <c r="E3" s="3" t="s">
        <v>127</v>
      </c>
      <c r="F3" s="3" t="s">
        <v>6</v>
      </c>
      <c r="G3" s="4" t="n">
        <f aca="false">IFERROR(puntajes_EA!$F$3,"")</f>
        <v>0.0807653893580781</v>
      </c>
      <c r="H3" s="5" t="str">
        <f aca="false">IFERROR(puntajes_EA!$G$3,"N/A")</f>
        <v>Satisfactorio</v>
      </c>
      <c r="I3" s="4" t="str">
        <f aca="false">IF(ISNUMBER(G3),TEXT(G3,"0.00"),"")</f>
        <v>0.08</v>
      </c>
      <c r="J3" s="3" t="n">
        <v>3</v>
      </c>
      <c r="K3" s="5" t="str">
        <f aca="false">IF(AND(B3=puntajes_EA!$B$3,E3=puntajes_EA!$C$3,I3=IF(ISNUMBER(puntajes_EA!$F$3),TEXT(puntajes_EA!$F$3,"0.00"),""),H3=IFERROR(puntajes_EA!$G$3,"N/A")),"OK","FALLA")</f>
        <v>OK</v>
      </c>
    </row>
    <row r="4" customFormat="false" ht="26.85" hidden="false" customHeight="false" outlineLevel="0" collapsed="false">
      <c r="A4" s="3" t="s">
        <v>140</v>
      </c>
      <c r="B4" s="3" t="s">
        <v>189</v>
      </c>
      <c r="C4" s="3" t="s">
        <v>240</v>
      </c>
      <c r="D4" s="3" t="s">
        <v>240</v>
      </c>
      <c r="E4" s="3" t="s">
        <v>128</v>
      </c>
      <c r="F4" s="3" t="s">
        <v>6</v>
      </c>
      <c r="G4" s="4" t="n">
        <f aca="false">IFERROR(puntajes_EA!$F$4,"")</f>
        <v>0.438534829433379</v>
      </c>
      <c r="H4" s="5" t="str">
        <f aca="false">IFERROR(puntajes_EA!$G$4,"N/A")</f>
        <v>Satisfactorio</v>
      </c>
      <c r="I4" s="4" t="str">
        <f aca="false">IF(ISNUMBER(G4),TEXT(G4,"0.00"),"")</f>
        <v>0.44</v>
      </c>
      <c r="J4" s="3" t="n">
        <v>4</v>
      </c>
      <c r="K4" s="5" t="str">
        <f aca="false">IF(AND(B4=puntajes_EA!$B$4,E4=puntajes_EA!$C$4,I4=IF(ISNUMBER(puntajes_EA!$F$4),TEXT(puntajes_EA!$F$4,"0.00"),""),H4=IFERROR(puntajes_EA!$G$4,"N/A")),"OK","FALLA")</f>
        <v>OK</v>
      </c>
    </row>
    <row r="5" customFormat="false" ht="26.85" hidden="false" customHeight="false" outlineLevel="0" collapsed="false">
      <c r="A5" s="3" t="s">
        <v>140</v>
      </c>
      <c r="B5" s="3" t="s">
        <v>189</v>
      </c>
      <c r="C5" s="3" t="s">
        <v>240</v>
      </c>
      <c r="D5" s="3" t="s">
        <v>240</v>
      </c>
      <c r="E5" s="3" t="s">
        <v>129</v>
      </c>
      <c r="F5" s="3" t="s">
        <v>6</v>
      </c>
      <c r="G5" s="4" t="n">
        <f aca="false">IFERROR(puntajes_EA!$F$5,"")</f>
        <v>0.231898447957289</v>
      </c>
      <c r="H5" s="5" t="str">
        <f aca="false">IFERROR(puntajes_EA!$G$5,"N/A")</f>
        <v>Satisfactorio</v>
      </c>
      <c r="I5" s="4" t="str">
        <f aca="false">IF(ISNUMBER(G5),TEXT(G5,"0.00"),"")</f>
        <v>0.23</v>
      </c>
      <c r="J5" s="3" t="n">
        <v>5</v>
      </c>
      <c r="K5" s="5" t="str">
        <f aca="false">IF(AND(B5=puntajes_EA!$B$5,E5=puntajes_EA!$C$5,I5=IF(ISNUMBER(puntajes_EA!$F$5),TEXT(puntajes_EA!$F$5,"0.00"),""),H5=IFERROR(puntajes_EA!$G$5,"N/A")),"OK","FALLA")</f>
        <v>OK</v>
      </c>
    </row>
    <row r="6" customFormat="false" ht="26.85" hidden="false" customHeight="false" outlineLevel="0" collapsed="false">
      <c r="A6" s="3" t="s">
        <v>140</v>
      </c>
      <c r="B6" s="3" t="s">
        <v>189</v>
      </c>
      <c r="C6" s="3" t="s">
        <v>240</v>
      </c>
      <c r="D6" s="3" t="s">
        <v>240</v>
      </c>
      <c r="E6" s="3" t="s">
        <v>130</v>
      </c>
      <c r="F6" s="3" t="s">
        <v>6</v>
      </c>
      <c r="G6" s="4" t="n">
        <f aca="false">IFERROR(puntajes_EA!$F$6,"")</f>
        <v>0.0516224836785051</v>
      </c>
      <c r="H6" s="5" t="str">
        <f aca="false">IFERROR(puntajes_EA!$G$6,"N/A")</f>
        <v>Satisfactorio</v>
      </c>
      <c r="I6" s="4" t="str">
        <f aca="false">IF(ISNUMBER(G6),TEXT(G6,"0.00"),"")</f>
        <v>0.05</v>
      </c>
      <c r="J6" s="3" t="n">
        <v>6</v>
      </c>
      <c r="K6" s="5" t="str">
        <f aca="false">IF(AND(B6=puntajes_EA!$B$6,E6=puntajes_EA!$C$6,I6=IF(ISNUMBER(puntajes_EA!$F$6),TEXT(puntajes_EA!$F$6,"0.00"),""),H6=IFERROR(puntajes_EA!$G$6,"N/A")),"OK","FALLA")</f>
        <v>OK</v>
      </c>
    </row>
    <row r="7" customFormat="false" ht="26.85" hidden="false" customHeight="false" outlineLevel="0" collapsed="false">
      <c r="A7" s="3" t="s">
        <v>140</v>
      </c>
      <c r="B7" s="3" t="s">
        <v>189</v>
      </c>
      <c r="C7" s="3" t="s">
        <v>240</v>
      </c>
      <c r="D7" s="3" t="s">
        <v>240</v>
      </c>
      <c r="E7" s="3" t="s">
        <v>131</v>
      </c>
      <c r="F7" s="3" t="s">
        <v>6</v>
      </c>
      <c r="G7" s="4" t="n">
        <f aca="false">IFERROR(puntajes_EA!$F$7,"")</f>
        <v>0.0934330342889687</v>
      </c>
      <c r="H7" s="5" t="str">
        <f aca="false">IFERROR(puntajes_EA!$G$7,"N/A")</f>
        <v>Satisfactorio</v>
      </c>
      <c r="I7" s="4" t="str">
        <f aca="false">IF(ISNUMBER(G7),TEXT(G7,"0.00"),"")</f>
        <v>0.09</v>
      </c>
      <c r="J7" s="3" t="n">
        <v>7</v>
      </c>
      <c r="K7" s="5" t="str">
        <f aca="false">IF(AND(B7=puntajes_EA!$B$7,E7=puntajes_EA!$C$7,I7=IF(ISNUMBER(puntajes_EA!$F$7),TEXT(puntajes_EA!$F$7,"0.00"),""),H7=IFERROR(puntajes_EA!$G$7,"N/A")),"OK","FALLA")</f>
        <v>OK</v>
      </c>
    </row>
    <row r="8" customFormat="false" ht="26.85" hidden="false" customHeight="false" outlineLevel="0" collapsed="false">
      <c r="A8" s="3" t="s">
        <v>140</v>
      </c>
      <c r="B8" s="3" t="s">
        <v>189</v>
      </c>
      <c r="C8" s="3" t="s">
        <v>240</v>
      </c>
      <c r="D8" s="3" t="s">
        <v>240</v>
      </c>
      <c r="E8" s="3" t="s">
        <v>132</v>
      </c>
      <c r="F8" s="3" t="s">
        <v>6</v>
      </c>
      <c r="G8" s="4" t="n">
        <f aca="false">IFERROR(puntajes_EA!$F$8,"")</f>
        <v>0.347884283626447</v>
      </c>
      <c r="H8" s="5" t="str">
        <f aca="false">IFERROR(puntajes_EA!$G$8,"N/A")</f>
        <v>Satisfactorio</v>
      </c>
      <c r="I8" s="4" t="str">
        <f aca="false">IF(ISNUMBER(G8),TEXT(G8,"0.00"),"")</f>
        <v>0.35</v>
      </c>
      <c r="J8" s="3" t="n">
        <v>8</v>
      </c>
      <c r="K8" s="5" t="str">
        <f aca="false">IF(AND(B8=puntajes_EA!$B$8,E8=puntajes_EA!$C$8,I8=IF(ISNUMBER(puntajes_EA!$F$8),TEXT(puntajes_EA!$F$8,"0.00"),""),H8=IFERROR(puntajes_EA!$G$8,"N/A")),"OK","FALLA")</f>
        <v>OK</v>
      </c>
    </row>
    <row r="9" customFormat="false" ht="26.85" hidden="false" customHeight="false" outlineLevel="0" collapsed="false">
      <c r="A9" s="3" t="s">
        <v>140</v>
      </c>
      <c r="B9" s="3" t="s">
        <v>189</v>
      </c>
      <c r="C9" s="3" t="s">
        <v>240</v>
      </c>
      <c r="D9" s="3" t="s">
        <v>240</v>
      </c>
      <c r="E9" s="3" t="s">
        <v>133</v>
      </c>
      <c r="F9" s="3" t="s">
        <v>6</v>
      </c>
      <c r="G9" s="4" t="n">
        <f aca="false">IFERROR(puntajes_EA!$F$9,"")</f>
        <v>0.0924811303346877</v>
      </c>
      <c r="H9" s="5" t="str">
        <f aca="false">IFERROR(puntajes_EA!$G$9,"N/A")</f>
        <v>Satisfactorio</v>
      </c>
      <c r="I9" s="4" t="str">
        <f aca="false">IF(ISNUMBER(G9),TEXT(G9,"0.00"),"")</f>
        <v>0.09</v>
      </c>
      <c r="J9" s="3" t="n">
        <v>9</v>
      </c>
      <c r="K9" s="5" t="str">
        <f aca="false">IF(AND(B9=puntajes_EA!$B$9,E9=puntajes_EA!$C$9,I9=IF(ISNUMBER(puntajes_EA!$F$9),TEXT(puntajes_EA!$F$9,"0.00"),""),H9=IFERROR(puntajes_EA!$G$9,"N/A")),"OK","FALLA")</f>
        <v>OK</v>
      </c>
    </row>
    <row r="10" customFormat="false" ht="26.85" hidden="false" customHeight="false" outlineLevel="0" collapsed="false">
      <c r="A10" s="3" t="s">
        <v>140</v>
      </c>
      <c r="B10" s="3" t="s">
        <v>189</v>
      </c>
      <c r="C10" s="3" t="s">
        <v>240</v>
      </c>
      <c r="D10" s="3" t="s">
        <v>240</v>
      </c>
      <c r="E10" s="3" t="s">
        <v>134</v>
      </c>
      <c r="F10" s="3" t="s">
        <v>6</v>
      </c>
      <c r="G10" s="4" t="n">
        <f aca="false">IFERROR(puntajes_EA!$F$10,"")</f>
        <v>0.118328983864565</v>
      </c>
      <c r="H10" s="5" t="str">
        <f aca="false">IFERROR(puntajes_EA!$G$10,"N/A")</f>
        <v>Satisfactorio</v>
      </c>
      <c r="I10" s="4" t="str">
        <f aca="false">IF(ISNUMBER(G10),TEXT(G10,"0.00"),"")</f>
        <v>0.12</v>
      </c>
      <c r="J10" s="3" t="n">
        <v>10</v>
      </c>
      <c r="K10" s="5" t="str">
        <f aca="false">IF(AND(B10=puntajes_EA!$B$10,E10=puntajes_EA!$C$10,I10=IF(ISNUMBER(puntajes_EA!$F$10),TEXT(puntajes_EA!$F$10,"0.00"),""),H10=IFERROR(puntajes_EA!$G$10,"N/A")),"OK","FALLA")</f>
        <v>OK</v>
      </c>
    </row>
    <row r="11" customFormat="false" ht="26.85" hidden="false" customHeight="false" outlineLevel="0" collapsed="false">
      <c r="A11" s="3" t="s">
        <v>140</v>
      </c>
      <c r="B11" s="3" t="s">
        <v>189</v>
      </c>
      <c r="C11" s="3" t="s">
        <v>240</v>
      </c>
      <c r="D11" s="3" t="s">
        <v>240</v>
      </c>
      <c r="E11" s="3" t="s">
        <v>135</v>
      </c>
      <c r="F11" s="3" t="s">
        <v>6</v>
      </c>
      <c r="G11" s="4" t="n">
        <f aca="false">IFERROR(puntajes_EA!$F$11,"")</f>
        <v>0.148643463641733</v>
      </c>
      <c r="H11" s="5" t="str">
        <f aca="false">IFERROR(puntajes_EA!$G$11,"N/A")</f>
        <v>Satisfactorio</v>
      </c>
      <c r="I11" s="4" t="str">
        <f aca="false">IF(ISNUMBER(G11),TEXT(G11,"0.00"),"")</f>
        <v>0.15</v>
      </c>
      <c r="J11" s="3" t="n">
        <v>11</v>
      </c>
      <c r="K11" s="5" t="str">
        <f aca="false">IF(AND(B11=puntajes_EA!$B$11,E11=puntajes_EA!$C$11,I11=IF(ISNUMBER(puntajes_EA!$F$11),TEXT(puntajes_EA!$F$11,"0.00"),""),H11=IFERROR(puntajes_EA!$G$11,"N/A")),"OK","FALLA")</f>
        <v>OK</v>
      </c>
    </row>
    <row r="12" customFormat="false" ht="26.85" hidden="false" customHeight="false" outlineLevel="0" collapsed="false">
      <c r="A12" s="3" t="s">
        <v>140</v>
      </c>
      <c r="B12" s="3" t="s">
        <v>189</v>
      </c>
      <c r="C12" s="3" t="s">
        <v>240</v>
      </c>
      <c r="D12" s="3" t="s">
        <v>240</v>
      </c>
      <c r="E12" s="3" t="s">
        <v>136</v>
      </c>
      <c r="F12" s="3" t="s">
        <v>6</v>
      </c>
      <c r="G12" s="4" t="n">
        <f aca="false">IFERROR(puntajes_EA!$F$12,"")</f>
        <v>0.0844265584131445</v>
      </c>
      <c r="H12" s="5" t="str">
        <f aca="false">IFERROR(puntajes_EA!$G$12,"N/A")</f>
        <v>Satisfactorio</v>
      </c>
      <c r="I12" s="4" t="str">
        <f aca="false">IF(ISNUMBER(G12),TEXT(G12,"0.00"),"")</f>
        <v>0.08</v>
      </c>
      <c r="J12" s="3" t="n">
        <v>12</v>
      </c>
      <c r="K12" s="5" t="str">
        <f aca="false">IF(AND(B12=puntajes_EA!$B$12,E12=puntajes_EA!$C$12,I12=IF(ISNUMBER(puntajes_EA!$F$12),TEXT(puntajes_EA!$F$12,"0.00"),""),H12=IFERROR(puntajes_EA!$G$12,"N/A")),"OK","FALLA")</f>
        <v>OK</v>
      </c>
    </row>
    <row r="13" customFormat="false" ht="26.85" hidden="false" customHeight="false" outlineLevel="0" collapsed="false">
      <c r="A13" s="3" t="s">
        <v>140</v>
      </c>
      <c r="B13" s="3" t="s">
        <v>189</v>
      </c>
      <c r="C13" s="3" t="s">
        <v>240</v>
      </c>
      <c r="D13" s="3" t="s">
        <v>240</v>
      </c>
      <c r="E13" s="3" t="s">
        <v>137</v>
      </c>
      <c r="F13" s="3" t="s">
        <v>6</v>
      </c>
      <c r="G13" s="4" t="n">
        <f aca="false">IFERROR(puntajes_EA!$F$13,"")</f>
        <v>0.143078486677662</v>
      </c>
      <c r="H13" s="5" t="str">
        <f aca="false">IFERROR(puntajes_EA!$G$13,"N/A")</f>
        <v>Satisfactorio</v>
      </c>
      <c r="I13" s="4" t="str">
        <f aca="false">IF(ISNUMBER(G13),TEXT(G13,"0.00"),"")</f>
        <v>0.14</v>
      </c>
      <c r="J13" s="3" t="n">
        <v>13</v>
      </c>
      <c r="K13" s="5" t="str">
        <f aca="false">IF(AND(B13=puntajes_EA!$B$13,E13=puntajes_EA!$C$13,I13=IF(ISNUMBER(puntajes_EA!$F$13),TEXT(puntajes_EA!$F$13,"0.00"),""),H13=IFERROR(puntajes_EA!$G$13,"N/A")),"OK","FALLA")</f>
        <v>OK</v>
      </c>
    </row>
    <row r="14" customFormat="false" ht="26.85" hidden="false" customHeight="false" outlineLevel="0" collapsed="false">
      <c r="A14" s="3" t="s">
        <v>140</v>
      </c>
      <c r="B14" s="3" t="s">
        <v>189</v>
      </c>
      <c r="C14" s="3" t="s">
        <v>241</v>
      </c>
      <c r="D14" s="3" t="s">
        <v>250</v>
      </c>
      <c r="E14" s="3" t="s">
        <v>126</v>
      </c>
      <c r="F14" s="3" t="s">
        <v>6</v>
      </c>
      <c r="G14" s="4" t="n">
        <f aca="false">IFERROR(puntajes_EA!$H$2,"")</f>
        <v>0.218562173125698</v>
      </c>
      <c r="H14" s="5" t="str">
        <f aca="false">IFERROR(puntajes_EA!$I$2,"N/A")</f>
        <v>Satisfactorio</v>
      </c>
      <c r="I14" s="4" t="str">
        <f aca="false">IF(ISNUMBER(G14),TEXT(G14,"0.00"),"")</f>
        <v>0.22</v>
      </c>
      <c r="J14" s="3" t="n">
        <v>2</v>
      </c>
      <c r="K14" s="5" t="str">
        <f aca="false">IF(AND(B14=puntajes_EA!$B$2,E14=puntajes_EA!$C$2,I14=IF(ISNUMBER(puntajes_EA!$H$2),TEXT(puntajes_EA!$H$2,"0.00"),""),H14=IFERROR(puntajes_EA!$I$2,"N/A")),"OK","FALLA")</f>
        <v>OK</v>
      </c>
    </row>
    <row r="15" customFormat="false" ht="26.85" hidden="false" customHeight="false" outlineLevel="0" collapsed="false">
      <c r="A15" s="3" t="s">
        <v>140</v>
      </c>
      <c r="B15" s="3" t="s">
        <v>189</v>
      </c>
      <c r="C15" s="3" t="s">
        <v>241</v>
      </c>
      <c r="D15" s="3" t="s">
        <v>250</v>
      </c>
      <c r="E15" s="3" t="s">
        <v>127</v>
      </c>
      <c r="F15" s="3" t="s">
        <v>6</v>
      </c>
      <c r="G15" s="4" t="n">
        <f aca="false">IFERROR(puntajes_EA!$H$3,"")</f>
        <v>0.0725034817918583</v>
      </c>
      <c r="H15" s="5" t="str">
        <f aca="false">IFERROR(puntajes_EA!$I$3,"N/A")</f>
        <v>Satisfactorio</v>
      </c>
      <c r="I15" s="4" t="str">
        <f aca="false">IF(ISNUMBER(G15),TEXT(G15,"0.00"),"")</f>
        <v>0.07</v>
      </c>
      <c r="J15" s="3" t="n">
        <v>3</v>
      </c>
      <c r="K15" s="5" t="str">
        <f aca="false">IF(AND(B15=puntajes_EA!$B$3,E15=puntajes_EA!$C$3,I15=IF(ISNUMBER(puntajes_EA!$H$3),TEXT(puntajes_EA!$H$3,"0.00"),""),H15=IFERROR(puntajes_EA!$I$3,"N/A")),"OK","FALLA")</f>
        <v>OK</v>
      </c>
    </row>
    <row r="16" customFormat="false" ht="26.85" hidden="false" customHeight="false" outlineLevel="0" collapsed="false">
      <c r="A16" s="3" t="s">
        <v>140</v>
      </c>
      <c r="B16" s="3" t="s">
        <v>189</v>
      </c>
      <c r="C16" s="3" t="s">
        <v>241</v>
      </c>
      <c r="D16" s="3" t="s">
        <v>250</v>
      </c>
      <c r="E16" s="3" t="s">
        <v>128</v>
      </c>
      <c r="F16" s="3" t="s">
        <v>6</v>
      </c>
      <c r="G16" s="4" t="n">
        <f aca="false">IFERROR(puntajes_EA!$H$4,"")</f>
        <v>0.393674843563898</v>
      </c>
      <c r="H16" s="5" t="str">
        <f aca="false">IFERROR(puntajes_EA!$I$4,"N/A")</f>
        <v>Satisfactorio</v>
      </c>
      <c r="I16" s="4" t="str">
        <f aca="false">IF(ISNUMBER(G16),TEXT(G16,"0.00"),"")</f>
        <v>0.39</v>
      </c>
      <c r="J16" s="3" t="n">
        <v>4</v>
      </c>
      <c r="K16" s="5" t="str">
        <f aca="false">IF(AND(B16=puntajes_EA!$B$4,E16=puntajes_EA!$C$4,I16=IF(ISNUMBER(puntajes_EA!$H$4),TEXT(puntajes_EA!$H$4,"0.00"),""),H16=IFERROR(puntajes_EA!$I$4,"N/A")),"OK","FALLA")</f>
        <v>OK</v>
      </c>
    </row>
    <row r="17" customFormat="false" ht="26.85" hidden="false" customHeight="false" outlineLevel="0" collapsed="false">
      <c r="A17" s="3" t="s">
        <v>140</v>
      </c>
      <c r="B17" s="3" t="s">
        <v>189</v>
      </c>
      <c r="C17" s="3" t="s">
        <v>241</v>
      </c>
      <c r="D17" s="3" t="s">
        <v>250</v>
      </c>
      <c r="E17" s="3" t="s">
        <v>129</v>
      </c>
      <c r="F17" s="3" t="s">
        <v>6</v>
      </c>
      <c r="G17" s="4" t="n">
        <f aca="false">IFERROR(puntajes_EA!$H$5,"")</f>
        <v>0.208176361590831</v>
      </c>
      <c r="H17" s="5" t="str">
        <f aca="false">IFERROR(puntajes_EA!$I$5,"N/A")</f>
        <v>Satisfactorio</v>
      </c>
      <c r="I17" s="4" t="str">
        <f aca="false">IF(ISNUMBER(G17),TEXT(G17,"0.00"),"")</f>
        <v>0.21</v>
      </c>
      <c r="J17" s="3" t="n">
        <v>5</v>
      </c>
      <c r="K17" s="5" t="str">
        <f aca="false">IF(AND(B17=puntajes_EA!$B$5,E17=puntajes_EA!$C$5,I17=IF(ISNUMBER(puntajes_EA!$H$5),TEXT(puntajes_EA!$H$5,"0.00"),""),H17=IFERROR(puntajes_EA!$I$5,"N/A")),"OK","FALLA")</f>
        <v>OK</v>
      </c>
    </row>
    <row r="18" customFormat="false" ht="26.85" hidden="false" customHeight="false" outlineLevel="0" collapsed="false">
      <c r="A18" s="3" t="s">
        <v>140</v>
      </c>
      <c r="B18" s="3" t="s">
        <v>189</v>
      </c>
      <c r="C18" s="3" t="s">
        <v>241</v>
      </c>
      <c r="D18" s="3" t="s">
        <v>250</v>
      </c>
      <c r="E18" s="3" t="s">
        <v>130</v>
      </c>
      <c r="F18" s="3" t="s">
        <v>6</v>
      </c>
      <c r="G18" s="4" t="n">
        <f aca="false">IFERROR(puntajes_EA!$H$6,"")</f>
        <v>0.0463417540010985</v>
      </c>
      <c r="H18" s="5" t="str">
        <f aca="false">IFERROR(puntajes_EA!$I$6,"N/A")</f>
        <v>Satisfactorio</v>
      </c>
      <c r="I18" s="4" t="str">
        <f aca="false">IF(ISNUMBER(G18),TEXT(G18,"0.00"),"")</f>
        <v>0.05</v>
      </c>
      <c r="J18" s="3" t="n">
        <v>6</v>
      </c>
      <c r="K18" s="5" t="str">
        <f aca="false">IF(AND(B18=puntajes_EA!$B$6,E18=puntajes_EA!$C$6,I18=IF(ISNUMBER(puntajes_EA!$H$6),TEXT(puntajes_EA!$H$6,"0.00"),""),H18=IFERROR(puntajes_EA!$I$6,"N/A")),"OK","FALLA")</f>
        <v>OK</v>
      </c>
    </row>
    <row r="19" customFormat="false" ht="26.85" hidden="false" customHeight="false" outlineLevel="0" collapsed="false">
      <c r="A19" s="3" t="s">
        <v>140</v>
      </c>
      <c r="B19" s="3" t="s">
        <v>189</v>
      </c>
      <c r="C19" s="3" t="s">
        <v>241</v>
      </c>
      <c r="D19" s="3" t="s">
        <v>250</v>
      </c>
      <c r="E19" s="3" t="s">
        <v>131</v>
      </c>
      <c r="F19" s="3" t="s">
        <v>6</v>
      </c>
      <c r="G19" s="4" t="n">
        <f aca="false">IFERROR(puntajes_EA!$H$7,"")</f>
        <v>0.0838752880927053</v>
      </c>
      <c r="H19" s="5" t="str">
        <f aca="false">IFERROR(puntajes_EA!$I$7,"N/A")</f>
        <v>Satisfactorio</v>
      </c>
      <c r="I19" s="4" t="str">
        <f aca="false">IF(ISNUMBER(G19),TEXT(G19,"0.00"),"")</f>
        <v>0.08</v>
      </c>
      <c r="J19" s="3" t="n">
        <v>7</v>
      </c>
      <c r="K19" s="5" t="str">
        <f aca="false">IF(AND(B19=puntajes_EA!$B$7,E19=puntajes_EA!$C$7,I19=IF(ISNUMBER(puntajes_EA!$H$7),TEXT(puntajes_EA!$H$7,"0.00"),""),H19=IFERROR(puntajes_EA!$I$7,"N/A")),"OK","FALLA")</f>
        <v>OK</v>
      </c>
    </row>
    <row r="20" customFormat="false" ht="26.85" hidden="false" customHeight="false" outlineLevel="0" collapsed="false">
      <c r="A20" s="3" t="s">
        <v>140</v>
      </c>
      <c r="B20" s="3" t="s">
        <v>189</v>
      </c>
      <c r="C20" s="3" t="s">
        <v>241</v>
      </c>
      <c r="D20" s="3" t="s">
        <v>250</v>
      </c>
      <c r="E20" s="3" t="s">
        <v>132</v>
      </c>
      <c r="F20" s="3" t="s">
        <v>6</v>
      </c>
      <c r="G20" s="4" t="n">
        <f aca="false">IFERROR(puntajes_EA!$H$8,"")</f>
        <v>0.31229740887841</v>
      </c>
      <c r="H20" s="5" t="str">
        <f aca="false">IFERROR(puntajes_EA!$I$8,"N/A")</f>
        <v>Satisfactorio</v>
      </c>
      <c r="I20" s="4" t="str">
        <f aca="false">IF(ISNUMBER(G20),TEXT(G20,"0.00"),"")</f>
        <v>0.31</v>
      </c>
      <c r="J20" s="3" t="n">
        <v>8</v>
      </c>
      <c r="K20" s="5" t="str">
        <f aca="false">IF(AND(B20=puntajes_EA!$B$8,E20=puntajes_EA!$C$8,I20=IF(ISNUMBER(puntajes_EA!$H$8),TEXT(puntajes_EA!$H$8,"0.00"),""),H20=IFERROR(puntajes_EA!$I$8,"N/A")),"OK","FALLA")</f>
        <v>OK</v>
      </c>
    </row>
    <row r="21" customFormat="false" ht="26.85" hidden="false" customHeight="false" outlineLevel="0" collapsed="false">
      <c r="A21" s="3" t="s">
        <v>140</v>
      </c>
      <c r="B21" s="3" t="s">
        <v>189</v>
      </c>
      <c r="C21" s="3" t="s">
        <v>241</v>
      </c>
      <c r="D21" s="3" t="s">
        <v>250</v>
      </c>
      <c r="E21" s="3" t="s">
        <v>133</v>
      </c>
      <c r="F21" s="3" t="s">
        <v>6</v>
      </c>
      <c r="G21" s="4" t="n">
        <f aca="false">IFERROR(puntajes_EA!$H$9,"")</f>
        <v>0.0830207592955887</v>
      </c>
      <c r="H21" s="5" t="str">
        <f aca="false">IFERROR(puntajes_EA!$I$9,"N/A")</f>
        <v>Satisfactorio</v>
      </c>
      <c r="I21" s="4" t="str">
        <f aca="false">IF(ISNUMBER(G21),TEXT(G21,"0.00"),"")</f>
        <v>0.08</v>
      </c>
      <c r="J21" s="3" t="n">
        <v>9</v>
      </c>
      <c r="K21" s="5" t="str">
        <f aca="false">IF(AND(B21=puntajes_EA!$B$9,E21=puntajes_EA!$C$9,I21=IF(ISNUMBER(puntajes_EA!$H$9),TEXT(puntajes_EA!$H$9,"0.00"),""),H21=IFERROR(puntajes_EA!$I$9,"N/A")),"OK","FALLA")</f>
        <v>OK</v>
      </c>
    </row>
    <row r="22" customFormat="false" ht="26.85" hidden="false" customHeight="false" outlineLevel="0" collapsed="false">
      <c r="A22" s="3" t="s">
        <v>140</v>
      </c>
      <c r="B22" s="3" t="s">
        <v>189</v>
      </c>
      <c r="C22" s="3" t="s">
        <v>241</v>
      </c>
      <c r="D22" s="3" t="s">
        <v>250</v>
      </c>
      <c r="E22" s="3" t="s">
        <v>134</v>
      </c>
      <c r="F22" s="3" t="s">
        <v>6</v>
      </c>
      <c r="G22" s="4" t="n">
        <f aca="false">IFERROR(puntajes_EA!$H$10,"")</f>
        <v>0.106224502788403</v>
      </c>
      <c r="H22" s="5" t="str">
        <f aca="false">IFERROR(puntajes_EA!$I$10,"N/A")</f>
        <v>Satisfactorio</v>
      </c>
      <c r="I22" s="4" t="str">
        <f aca="false">IF(ISNUMBER(G22),TEXT(G22,"0.00"),"")</f>
        <v>0.11</v>
      </c>
      <c r="J22" s="3" t="n">
        <v>10</v>
      </c>
      <c r="K22" s="5" t="str">
        <f aca="false">IF(AND(B22=puntajes_EA!$B$10,E22=puntajes_EA!$C$10,I22=IF(ISNUMBER(puntajes_EA!$H$10),TEXT(puntajes_EA!$H$10,"0.00"),""),H22=IFERROR(puntajes_EA!$I$10,"N/A")),"OK","FALLA")</f>
        <v>OK</v>
      </c>
    </row>
    <row r="23" customFormat="false" ht="26.85" hidden="false" customHeight="false" outlineLevel="0" collapsed="false">
      <c r="A23" s="3" t="s">
        <v>140</v>
      </c>
      <c r="B23" s="3" t="s">
        <v>189</v>
      </c>
      <c r="C23" s="3" t="s">
        <v>241</v>
      </c>
      <c r="D23" s="3" t="s">
        <v>250</v>
      </c>
      <c r="E23" s="3" t="s">
        <v>135</v>
      </c>
      <c r="F23" s="3" t="s">
        <v>6</v>
      </c>
      <c r="G23" s="4" t="n">
        <f aca="false">IFERROR(puntajes_EA!$H$11,"")</f>
        <v>0.133437958329476</v>
      </c>
      <c r="H23" s="5" t="str">
        <f aca="false">IFERROR(puntajes_EA!$I$11,"N/A")</f>
        <v>Satisfactorio</v>
      </c>
      <c r="I23" s="4" t="str">
        <f aca="false">IF(ISNUMBER(G23),TEXT(G23,"0.00"),"")</f>
        <v>0.13</v>
      </c>
      <c r="J23" s="3" t="n">
        <v>11</v>
      </c>
      <c r="K23" s="5" t="str">
        <f aca="false">IF(AND(B23=puntajes_EA!$B$11,E23=puntajes_EA!$C$11,I23=IF(ISNUMBER(puntajes_EA!$H$11),TEXT(puntajes_EA!$H$11,"0.00"),""),H23=IFERROR(puntajes_EA!$I$11,"N/A")),"OK","FALLA")</f>
        <v>OK</v>
      </c>
    </row>
    <row r="24" customFormat="false" ht="26.85" hidden="false" customHeight="false" outlineLevel="0" collapsed="false">
      <c r="A24" s="3" t="s">
        <v>140</v>
      </c>
      <c r="B24" s="3" t="s">
        <v>189</v>
      </c>
      <c r="C24" s="3" t="s">
        <v>241</v>
      </c>
      <c r="D24" s="3" t="s">
        <v>250</v>
      </c>
      <c r="E24" s="3" t="s">
        <v>136</v>
      </c>
      <c r="F24" s="3" t="s">
        <v>6</v>
      </c>
      <c r="G24" s="4" t="n">
        <f aca="false">IFERROR(puntajes_EA!$H$12,"")</f>
        <v>0.0757901310116627</v>
      </c>
      <c r="H24" s="5" t="str">
        <f aca="false">IFERROR(puntajes_EA!$I$12,"N/A")</f>
        <v>Satisfactorio</v>
      </c>
      <c r="I24" s="4" t="str">
        <f aca="false">IF(ISNUMBER(G24),TEXT(G24,"0.00"),"")</f>
        <v>0.08</v>
      </c>
      <c r="J24" s="3" t="n">
        <v>12</v>
      </c>
      <c r="K24" s="5" t="str">
        <f aca="false">IF(AND(B24=puntajes_EA!$B$12,E24=puntajes_EA!$C$12,I24=IF(ISNUMBER(puntajes_EA!$H$12),TEXT(puntajes_EA!$H$12,"0.00"),""),H24=IFERROR(puntajes_EA!$I$12,"N/A")),"OK","FALLA")</f>
        <v>OK</v>
      </c>
    </row>
    <row r="25" customFormat="false" ht="26.85" hidden="false" customHeight="false" outlineLevel="0" collapsed="false">
      <c r="A25" s="3" t="s">
        <v>140</v>
      </c>
      <c r="B25" s="3" t="s">
        <v>189</v>
      </c>
      <c r="C25" s="3" t="s">
        <v>241</v>
      </c>
      <c r="D25" s="3" t="s">
        <v>250</v>
      </c>
      <c r="E25" s="3" t="s">
        <v>137</v>
      </c>
      <c r="F25" s="3" t="s">
        <v>6</v>
      </c>
      <c r="G25" s="4" t="n">
        <f aca="false">IFERROR(puntajes_EA!$H$13,"")</f>
        <v>0.128442251515041</v>
      </c>
      <c r="H25" s="5" t="str">
        <f aca="false">IFERROR(puntajes_EA!$I$13,"N/A")</f>
        <v>Satisfactorio</v>
      </c>
      <c r="I25" s="4" t="str">
        <f aca="false">IF(ISNUMBER(G25),TEXT(G25,"0.00"),"")</f>
        <v>0.13</v>
      </c>
      <c r="J25" s="3" t="n">
        <v>13</v>
      </c>
      <c r="K25" s="5" t="str">
        <f aca="false">IF(AND(B25=puntajes_EA!$B$13,E25=puntajes_EA!$C$13,I25=IF(ISNUMBER(puntajes_EA!$H$13),TEXT(puntajes_EA!$H$13,"0.00"),""),H25=IFERROR(puntajes_EA!$I$13,"N/A")),"OK","FALLA")</f>
        <v>OK</v>
      </c>
    </row>
    <row r="26" customFormat="false" ht="26.85" hidden="false" customHeight="false" outlineLevel="0" collapsed="false">
      <c r="A26" s="3" t="s">
        <v>140</v>
      </c>
      <c r="B26" s="3" t="s">
        <v>189</v>
      </c>
      <c r="C26" s="3" t="s">
        <v>242</v>
      </c>
      <c r="D26" s="3" t="s">
        <v>242</v>
      </c>
      <c r="E26" s="3" t="s">
        <v>126</v>
      </c>
      <c r="F26" s="3" t="s">
        <v>6</v>
      </c>
      <c r="G26" s="4" t="n">
        <f aca="false">IFERROR(puntajes_EA!$J$2,"")</f>
        <v>0.490588678884994</v>
      </c>
      <c r="H26" s="5" t="str">
        <f aca="false">IFERROR(puntajes_EA!$K$2,"N/A")</f>
        <v>Satisfactorio</v>
      </c>
      <c r="I26" s="4" t="str">
        <f aca="false">IF(ISNUMBER(G26),TEXT(G26,"0.00"),"")</f>
        <v>0.49</v>
      </c>
      <c r="J26" s="3" t="n">
        <v>2</v>
      </c>
      <c r="K26" s="5" t="str">
        <f aca="false">IF(AND(B26=puntajes_EA!$B$2,E26=puntajes_EA!$C$2,I26=IF(ISNUMBER(puntajes_EA!$J$2),TEXT(puntajes_EA!$J$2,"0.00"),""),H26=IFERROR(puntajes_EA!$K$2,"N/A")),"OK","FALLA")</f>
        <v>OK</v>
      </c>
    </row>
    <row r="27" customFormat="false" ht="26.85" hidden="false" customHeight="false" outlineLevel="0" collapsed="false">
      <c r="A27" s="3" t="s">
        <v>140</v>
      </c>
      <c r="B27" s="3" t="s">
        <v>189</v>
      </c>
      <c r="C27" s="3" t="s">
        <v>242</v>
      </c>
      <c r="D27" s="3" t="s">
        <v>242</v>
      </c>
      <c r="E27" s="3" t="s">
        <v>127</v>
      </c>
      <c r="F27" s="3" t="s">
        <v>6</v>
      </c>
      <c r="G27" s="4" t="n">
        <f aca="false">IFERROR(puntajes_EA!$J$3,"")</f>
        <v>0.161798356329087</v>
      </c>
      <c r="H27" s="5" t="str">
        <f aca="false">IFERROR(puntajes_EA!$K$3,"N/A")</f>
        <v>Satisfactorio</v>
      </c>
      <c r="I27" s="4" t="str">
        <f aca="false">IF(ISNUMBER(G27),TEXT(G27,"0.00"),"")</f>
        <v>0.16</v>
      </c>
      <c r="J27" s="3" t="n">
        <v>3</v>
      </c>
      <c r="K27" s="5" t="str">
        <f aca="false">IF(AND(B27=puntajes_EA!$B$3,E27=puntajes_EA!$C$3,I27=IF(ISNUMBER(puntajes_EA!$J$3),TEXT(puntajes_EA!$J$3,"0.00"),""),H27=IFERROR(puntajes_EA!$K$3,"N/A")),"OK","FALLA")</f>
        <v>OK</v>
      </c>
    </row>
    <row r="28" customFormat="false" ht="26.85" hidden="false" customHeight="false" outlineLevel="0" collapsed="false">
      <c r="A28" s="3" t="s">
        <v>140</v>
      </c>
      <c r="B28" s="3" t="s">
        <v>189</v>
      </c>
      <c r="C28" s="3" t="s">
        <v>242</v>
      </c>
      <c r="D28" s="3" t="s">
        <v>242</v>
      </c>
      <c r="E28" s="3" t="s">
        <v>128</v>
      </c>
      <c r="F28" s="3" t="s">
        <v>6</v>
      </c>
      <c r="G28" s="4" t="n">
        <f aca="false">IFERROR(puntajes_EA!$J$4,"")</f>
        <v>0.880803831975787</v>
      </c>
      <c r="H28" s="5" t="str">
        <f aca="false">IFERROR(puntajes_EA!$K$4,"N/A")</f>
        <v>Satisfactorio</v>
      </c>
      <c r="I28" s="4" t="str">
        <f aca="false">IF(ISNUMBER(G28),TEXT(G28,"0.00"),"")</f>
        <v>0.88</v>
      </c>
      <c r="J28" s="3" t="n">
        <v>4</v>
      </c>
      <c r="K28" s="5" t="str">
        <f aca="false">IF(AND(B28=puntajes_EA!$B$4,E28=puntajes_EA!$C$4,I28=IF(ISNUMBER(puntajes_EA!$J$4),TEXT(puntajes_EA!$J$4,"0.00"),""),H28=IFERROR(puntajes_EA!$K$4,"N/A")),"OK","FALLA")</f>
        <v>OK</v>
      </c>
    </row>
    <row r="29" customFormat="false" ht="26.85" hidden="false" customHeight="false" outlineLevel="0" collapsed="false">
      <c r="A29" s="3" t="s">
        <v>140</v>
      </c>
      <c r="B29" s="3" t="s">
        <v>189</v>
      </c>
      <c r="C29" s="3" t="s">
        <v>242</v>
      </c>
      <c r="D29" s="3" t="s">
        <v>242</v>
      </c>
      <c r="E29" s="3" t="s">
        <v>129</v>
      </c>
      <c r="F29" s="3" t="s">
        <v>6</v>
      </c>
      <c r="G29" s="4" t="n">
        <f aca="false">IFERROR(puntajes_EA!$J$5,"")</f>
        <v>0.466994843427061</v>
      </c>
      <c r="H29" s="5" t="str">
        <f aca="false">IFERROR(puntajes_EA!$K$5,"N/A")</f>
        <v>Satisfactorio</v>
      </c>
      <c r="I29" s="4" t="str">
        <f aca="false">IF(ISNUMBER(G29),TEXT(G29,"0.00"),"")</f>
        <v>0.47</v>
      </c>
      <c r="J29" s="3" t="n">
        <v>5</v>
      </c>
      <c r="K29" s="5" t="str">
        <f aca="false">IF(AND(B29=puntajes_EA!$B$5,E29=puntajes_EA!$C$5,I29=IF(ISNUMBER(puntajes_EA!$J$5),TEXT(puntajes_EA!$J$5,"0.00"),""),H29=IFERROR(puntajes_EA!$K$5,"N/A")),"OK","FALLA")</f>
        <v>OK</v>
      </c>
    </row>
    <row r="30" customFormat="false" ht="26.85" hidden="false" customHeight="false" outlineLevel="0" collapsed="false">
      <c r="A30" s="3" t="s">
        <v>140</v>
      </c>
      <c r="B30" s="3" t="s">
        <v>189</v>
      </c>
      <c r="C30" s="3" t="s">
        <v>242</v>
      </c>
      <c r="D30" s="3" t="s">
        <v>242</v>
      </c>
      <c r="E30" s="3" t="s">
        <v>130</v>
      </c>
      <c r="F30" s="3" t="s">
        <v>6</v>
      </c>
      <c r="G30" s="4" t="n">
        <f aca="false">IFERROR(puntajes_EA!$J$6,"")</f>
        <v>0.104972987586357</v>
      </c>
      <c r="H30" s="5" t="str">
        <f aca="false">IFERROR(puntajes_EA!$K$6,"N/A")</f>
        <v>Satisfactorio</v>
      </c>
      <c r="I30" s="4" t="str">
        <f aca="false">IF(ISNUMBER(G30),TEXT(G30,"0.00"),"")</f>
        <v>0.10</v>
      </c>
      <c r="J30" s="3" t="n">
        <v>6</v>
      </c>
      <c r="K30" s="5" t="str">
        <f aca="false">IF(AND(B30=puntajes_EA!$B$6,E30=puntajes_EA!$C$6,I30=IF(ISNUMBER(puntajes_EA!$J$6),TEXT(puntajes_EA!$J$6,"0.00"),""),H30=IFERROR(puntajes_EA!$K$6,"N/A")),"OK","FALLA")</f>
        <v>OK</v>
      </c>
    </row>
    <row r="31" customFormat="false" ht="26.85" hidden="false" customHeight="false" outlineLevel="0" collapsed="false">
      <c r="A31" s="3" t="s">
        <v>140</v>
      </c>
      <c r="B31" s="3" t="s">
        <v>189</v>
      </c>
      <c r="C31" s="3" t="s">
        <v>242</v>
      </c>
      <c r="D31" s="3" t="s">
        <v>242</v>
      </c>
      <c r="E31" s="3" t="s">
        <v>131</v>
      </c>
      <c r="F31" s="3" t="s">
        <v>6</v>
      </c>
      <c r="G31" s="4" t="n">
        <f aca="false">IFERROR(puntajes_EA!$J$7,"")</f>
        <v>0.19036601294098</v>
      </c>
      <c r="H31" s="5" t="str">
        <f aca="false">IFERROR(puntajes_EA!$K$7,"N/A")</f>
        <v>Satisfactorio</v>
      </c>
      <c r="I31" s="4" t="str">
        <f aca="false">IF(ISNUMBER(G31),TEXT(G31,"0.00"),"")</f>
        <v>0.19</v>
      </c>
      <c r="J31" s="3" t="n">
        <v>7</v>
      </c>
      <c r="K31" s="5" t="str">
        <f aca="false">IF(AND(B31=puntajes_EA!$B$7,E31=puntajes_EA!$C$7,I31=IF(ISNUMBER(puntajes_EA!$J$7),TEXT(puntajes_EA!$J$7,"0.00"),""),H31=IFERROR(puntajes_EA!$K$7,"N/A")),"OK","FALLA")</f>
        <v>OK</v>
      </c>
    </row>
    <row r="32" customFormat="false" ht="26.85" hidden="false" customHeight="false" outlineLevel="0" collapsed="false">
      <c r="A32" s="3" t="s">
        <v>140</v>
      </c>
      <c r="B32" s="3" t="s">
        <v>189</v>
      </c>
      <c r="C32" s="3" t="s">
        <v>242</v>
      </c>
      <c r="D32" s="3" t="s">
        <v>242</v>
      </c>
      <c r="E32" s="3" t="s">
        <v>132</v>
      </c>
      <c r="F32" s="3" t="s">
        <v>6</v>
      </c>
      <c r="G32" s="4" t="n">
        <f aca="false">IFERROR(puntajes_EA!$J$8,"")</f>
        <v>0.704895959448484</v>
      </c>
      <c r="H32" s="5" t="str">
        <f aca="false">IFERROR(puntajes_EA!$K$8,"N/A")</f>
        <v>Satisfactorio</v>
      </c>
      <c r="I32" s="4" t="str">
        <f aca="false">IF(ISNUMBER(G32),TEXT(G32,"0.00"),"")</f>
        <v>0.70</v>
      </c>
      <c r="J32" s="3" t="n">
        <v>8</v>
      </c>
      <c r="K32" s="5" t="str">
        <f aca="false">IF(AND(B32=puntajes_EA!$B$8,E32=puntajes_EA!$C$8,I32=IF(ISNUMBER(puntajes_EA!$J$8),TEXT(puntajes_EA!$J$8,"0.00"),""),H32=IFERROR(puntajes_EA!$K$8,"N/A")),"OK","FALLA")</f>
        <v>OK</v>
      </c>
    </row>
    <row r="33" customFormat="false" ht="26.85" hidden="false" customHeight="false" outlineLevel="0" collapsed="false">
      <c r="A33" s="3" t="s">
        <v>140</v>
      </c>
      <c r="B33" s="3" t="s">
        <v>189</v>
      </c>
      <c r="C33" s="3" t="s">
        <v>242</v>
      </c>
      <c r="D33" s="3" t="s">
        <v>242</v>
      </c>
      <c r="E33" s="3" t="s">
        <v>133</v>
      </c>
      <c r="F33" s="3" t="s">
        <v>6</v>
      </c>
      <c r="G33" s="4" t="n">
        <f aca="false">IFERROR(puntajes_EA!$J$9,"")</f>
        <v>0.188419988321675</v>
      </c>
      <c r="H33" s="5" t="str">
        <f aca="false">IFERROR(puntajes_EA!$K$9,"N/A")</f>
        <v>Satisfactorio</v>
      </c>
      <c r="I33" s="4" t="str">
        <f aca="false">IF(ISNUMBER(G33),TEXT(G33,"0.00"),"")</f>
        <v>0.19</v>
      </c>
      <c r="J33" s="3" t="n">
        <v>9</v>
      </c>
      <c r="K33" s="5" t="str">
        <f aca="false">IF(AND(B33=puntajes_EA!$B$9,E33=puntajes_EA!$C$9,I33=IF(ISNUMBER(puntajes_EA!$J$9),TEXT(puntajes_EA!$J$9,"0.00"),""),H33=IFERROR(puntajes_EA!$K$9,"N/A")),"OK","FALLA")</f>
        <v>OK</v>
      </c>
    </row>
    <row r="34" customFormat="false" ht="26.85" hidden="false" customHeight="false" outlineLevel="0" collapsed="false">
      <c r="A34" s="3" t="s">
        <v>140</v>
      </c>
      <c r="B34" s="3" t="s">
        <v>189</v>
      </c>
      <c r="C34" s="3" t="s">
        <v>242</v>
      </c>
      <c r="D34" s="3" t="s">
        <v>242</v>
      </c>
      <c r="E34" s="3" t="s">
        <v>134</v>
      </c>
      <c r="F34" s="3" t="s">
        <v>6</v>
      </c>
      <c r="G34" s="4" t="n">
        <f aca="false">IFERROR(puntajes_EA!$J$10,"")</f>
        <v>0.235297983079367</v>
      </c>
      <c r="H34" s="5" t="str">
        <f aca="false">IFERROR(puntajes_EA!$K$10,"N/A")</f>
        <v>Satisfactorio</v>
      </c>
      <c r="I34" s="4" t="str">
        <f aca="false">IF(ISNUMBER(G34),TEXT(G34,"0.00"),"")</f>
        <v>0.24</v>
      </c>
      <c r="J34" s="3" t="n">
        <v>10</v>
      </c>
      <c r="K34" s="5" t="str">
        <f aca="false">IF(AND(B34=puntajes_EA!$B$10,E34=puntajes_EA!$C$10,I34=IF(ISNUMBER(puntajes_EA!$J$10),TEXT(puntajes_EA!$J$10,"0.00"),""),H34=IFERROR(puntajes_EA!$K$10,"N/A")),"OK","FALLA")</f>
        <v>OK</v>
      </c>
    </row>
    <row r="35" customFormat="false" ht="26.85" hidden="false" customHeight="false" outlineLevel="0" collapsed="false">
      <c r="A35" s="3" t="s">
        <v>140</v>
      </c>
      <c r="B35" s="3" t="s">
        <v>189</v>
      </c>
      <c r="C35" s="3" t="s">
        <v>242</v>
      </c>
      <c r="D35" s="3" t="s">
        <v>242</v>
      </c>
      <c r="E35" s="3" t="s">
        <v>135</v>
      </c>
      <c r="F35" s="3" t="s">
        <v>6</v>
      </c>
      <c r="G35" s="4" t="n">
        <f aca="false">IFERROR(puntajes_EA!$J$11,"")</f>
        <v>0.299103098507722</v>
      </c>
      <c r="H35" s="5" t="str">
        <f aca="false">IFERROR(puntajes_EA!$K$11,"N/A")</f>
        <v>Satisfactorio</v>
      </c>
      <c r="I35" s="4" t="str">
        <f aca="false">IF(ISNUMBER(G35),TEXT(G35,"0.00"),"")</f>
        <v>0.30</v>
      </c>
      <c r="J35" s="3" t="n">
        <v>11</v>
      </c>
      <c r="K35" s="5" t="str">
        <f aca="false">IF(AND(B35=puntajes_EA!$B$11,E35=puntajes_EA!$C$11,I35=IF(ISNUMBER(puntajes_EA!$J$11),TEXT(puntajes_EA!$J$11,"0.00"),""),H35=IFERROR(puntajes_EA!$K$11,"N/A")),"OK","FALLA")</f>
        <v>OK</v>
      </c>
    </row>
    <row r="36" customFormat="false" ht="26.85" hidden="false" customHeight="false" outlineLevel="0" collapsed="false">
      <c r="A36" s="3" t="s">
        <v>140</v>
      </c>
      <c r="B36" s="3" t="s">
        <v>189</v>
      </c>
      <c r="C36" s="3" t="s">
        <v>242</v>
      </c>
      <c r="D36" s="3" t="s">
        <v>242</v>
      </c>
      <c r="E36" s="3" t="s">
        <v>136</v>
      </c>
      <c r="F36" s="3" t="s">
        <v>6</v>
      </c>
      <c r="G36" s="4" t="n">
        <f aca="false">IFERROR(puntajes_EA!$J$12,"")</f>
        <v>0.168442774875428</v>
      </c>
      <c r="H36" s="5" t="str">
        <f aca="false">IFERROR(puntajes_EA!$K$12,"N/A")</f>
        <v>Satisfactorio</v>
      </c>
      <c r="I36" s="4" t="str">
        <f aca="false">IF(ISNUMBER(G36),TEXT(G36,"0.00"),"")</f>
        <v>0.17</v>
      </c>
      <c r="J36" s="3" t="n">
        <v>12</v>
      </c>
      <c r="K36" s="5" t="str">
        <f aca="false">IF(AND(B36=puntajes_EA!$B$12,E36=puntajes_EA!$C$12,I36=IF(ISNUMBER(puntajes_EA!$J$12),TEXT(puntajes_EA!$J$12,"0.00"),""),H36=IFERROR(puntajes_EA!$K$12,"N/A")),"OK","FALLA")</f>
        <v>OK</v>
      </c>
    </row>
    <row r="37" customFormat="false" ht="26.85" hidden="false" customHeight="false" outlineLevel="0" collapsed="false">
      <c r="A37" s="3" t="s">
        <v>140</v>
      </c>
      <c r="B37" s="3" t="s">
        <v>189</v>
      </c>
      <c r="C37" s="3" t="s">
        <v>242</v>
      </c>
      <c r="D37" s="3" t="s">
        <v>242</v>
      </c>
      <c r="E37" s="3" t="s">
        <v>137</v>
      </c>
      <c r="F37" s="3" t="s">
        <v>6</v>
      </c>
      <c r="G37" s="4" t="n">
        <f aca="false">IFERROR(puntajes_EA!$J$13,"")</f>
        <v>0.289892488157802</v>
      </c>
      <c r="H37" s="5" t="str">
        <f aca="false">IFERROR(puntajes_EA!$K$13,"N/A")</f>
        <v>Satisfactorio</v>
      </c>
      <c r="I37" s="4" t="str">
        <f aca="false">IF(ISNUMBER(G37),TEXT(G37,"0.00"),"")</f>
        <v>0.29</v>
      </c>
      <c r="J37" s="3" t="n">
        <v>13</v>
      </c>
      <c r="K37" s="5" t="str">
        <f aca="false">IF(AND(B37=puntajes_EA!$B$13,E37=puntajes_EA!$C$13,I37=IF(ISNUMBER(puntajes_EA!$J$13),TEXT(puntajes_EA!$J$13,"0.00"),""),H37=IFERROR(puntajes_EA!$K$13,"N/A")),"OK","FALLA")</f>
        <v>OK</v>
      </c>
    </row>
    <row r="38" customFormat="false" ht="26.85" hidden="false" customHeight="false" outlineLevel="0" collapsed="false">
      <c r="A38" s="3" t="s">
        <v>140</v>
      </c>
      <c r="B38" s="3" t="s">
        <v>189</v>
      </c>
      <c r="C38" s="3" t="s">
        <v>243</v>
      </c>
      <c r="D38" s="3" t="s">
        <v>243</v>
      </c>
      <c r="E38" s="3" t="s">
        <v>126</v>
      </c>
      <c r="F38" s="3" t="s">
        <v>6</v>
      </c>
      <c r="G38" s="4" t="n">
        <f aca="false">IFERROR(puntajes_EA!$L$2,"")</f>
        <v>0.245294339442497</v>
      </c>
      <c r="H38" s="5" t="str">
        <f aca="false">IFERROR(puntajes_EA!$M$2,"N/A")</f>
        <v>Satisfactorio</v>
      </c>
      <c r="I38" s="4" t="str">
        <f aca="false">IF(ISNUMBER(G38),TEXT(G38,"0.00"),"")</f>
        <v>0.25</v>
      </c>
      <c r="J38" s="3" t="n">
        <v>2</v>
      </c>
      <c r="K38" s="5" t="str">
        <f aca="false">IF(AND(B38=puntajes_EA!$B$2,E38=puntajes_EA!$C$2,I38=IF(ISNUMBER(puntajes_EA!$L$2),TEXT(puntajes_EA!$L$2,"0.00"),""),H38=IFERROR(puntajes_EA!$M$2,"N/A")),"OK","FALLA")</f>
        <v>OK</v>
      </c>
    </row>
    <row r="39" customFormat="false" ht="26.85" hidden="false" customHeight="false" outlineLevel="0" collapsed="false">
      <c r="A39" s="3" t="s">
        <v>140</v>
      </c>
      <c r="B39" s="3" t="s">
        <v>189</v>
      </c>
      <c r="C39" s="3" t="s">
        <v>243</v>
      </c>
      <c r="D39" s="3" t="s">
        <v>243</v>
      </c>
      <c r="E39" s="3" t="s">
        <v>127</v>
      </c>
      <c r="F39" s="3" t="s">
        <v>6</v>
      </c>
      <c r="G39" s="4" t="n">
        <f aca="false">IFERROR(puntajes_EA!$L$3,"")</f>
        <v>0.0808991781645435</v>
      </c>
      <c r="H39" s="5" t="str">
        <f aca="false">IFERROR(puntajes_EA!$M$3,"N/A")</f>
        <v>Satisfactorio</v>
      </c>
      <c r="I39" s="4" t="str">
        <f aca="false">IF(ISNUMBER(G39),TEXT(G39,"0.00"),"")</f>
        <v>0.08</v>
      </c>
      <c r="J39" s="3" t="n">
        <v>3</v>
      </c>
      <c r="K39" s="5" t="str">
        <f aca="false">IF(AND(B39=puntajes_EA!$B$3,E39=puntajes_EA!$C$3,I39=IF(ISNUMBER(puntajes_EA!$L$3),TEXT(puntajes_EA!$L$3,"0.00"),""),H39=IFERROR(puntajes_EA!$M$3,"N/A")),"OK","FALLA")</f>
        <v>OK</v>
      </c>
    </row>
    <row r="40" customFormat="false" ht="26.85" hidden="false" customHeight="false" outlineLevel="0" collapsed="false">
      <c r="A40" s="3" t="s">
        <v>140</v>
      </c>
      <c r="B40" s="3" t="s">
        <v>189</v>
      </c>
      <c r="C40" s="3" t="s">
        <v>243</v>
      </c>
      <c r="D40" s="3" t="s">
        <v>243</v>
      </c>
      <c r="E40" s="3" t="s">
        <v>128</v>
      </c>
      <c r="F40" s="3" t="s">
        <v>6</v>
      </c>
      <c r="G40" s="4" t="n">
        <f aca="false">IFERROR(puntajes_EA!$L$4,"")</f>
        <v>0.440401915987893</v>
      </c>
      <c r="H40" s="5" t="str">
        <f aca="false">IFERROR(puntajes_EA!$M$4,"N/A")</f>
        <v>Satisfactorio</v>
      </c>
      <c r="I40" s="4" t="str">
        <f aca="false">IF(ISNUMBER(G40),TEXT(G40,"0.00"),"")</f>
        <v>0.44</v>
      </c>
      <c r="J40" s="3" t="n">
        <v>4</v>
      </c>
      <c r="K40" s="5" t="str">
        <f aca="false">IF(AND(B40=puntajes_EA!$B$4,E40=puntajes_EA!$C$4,I40=IF(ISNUMBER(puntajes_EA!$L$4),TEXT(puntajes_EA!$L$4,"0.00"),""),H40=IFERROR(puntajes_EA!$M$4,"N/A")),"OK","FALLA")</f>
        <v>OK</v>
      </c>
    </row>
    <row r="41" customFormat="false" ht="26.85" hidden="false" customHeight="false" outlineLevel="0" collapsed="false">
      <c r="A41" s="3" t="s">
        <v>140</v>
      </c>
      <c r="B41" s="3" t="s">
        <v>189</v>
      </c>
      <c r="C41" s="3" t="s">
        <v>243</v>
      </c>
      <c r="D41" s="3" t="s">
        <v>243</v>
      </c>
      <c r="E41" s="3" t="s">
        <v>129</v>
      </c>
      <c r="F41" s="3" t="s">
        <v>6</v>
      </c>
      <c r="G41" s="4" t="n">
        <f aca="false">IFERROR(puntajes_EA!$L$5,"")</f>
        <v>0.23349742171353</v>
      </c>
      <c r="H41" s="5" t="str">
        <f aca="false">IFERROR(puntajes_EA!$M$5,"N/A")</f>
        <v>Satisfactorio</v>
      </c>
      <c r="I41" s="4" t="str">
        <f aca="false">IF(ISNUMBER(G41),TEXT(G41,"0.00"),"")</f>
        <v>0.23</v>
      </c>
      <c r="J41" s="3" t="n">
        <v>5</v>
      </c>
      <c r="K41" s="5" t="str">
        <f aca="false">IF(AND(B41=puntajes_EA!$B$5,E41=puntajes_EA!$C$5,I41=IF(ISNUMBER(puntajes_EA!$L$5),TEXT(puntajes_EA!$L$5,"0.00"),""),H41=IFERROR(puntajes_EA!$M$5,"N/A")),"OK","FALLA")</f>
        <v>OK</v>
      </c>
    </row>
    <row r="42" customFormat="false" ht="26.85" hidden="false" customHeight="false" outlineLevel="0" collapsed="false">
      <c r="A42" s="3" t="s">
        <v>140</v>
      </c>
      <c r="B42" s="3" t="s">
        <v>189</v>
      </c>
      <c r="C42" s="3" t="s">
        <v>243</v>
      </c>
      <c r="D42" s="3" t="s">
        <v>243</v>
      </c>
      <c r="E42" s="3" t="s">
        <v>130</v>
      </c>
      <c r="F42" s="3" t="s">
        <v>6</v>
      </c>
      <c r="G42" s="4" t="n">
        <f aca="false">IFERROR(puntajes_EA!$L$6,"")</f>
        <v>0.0524864937931787</v>
      </c>
      <c r="H42" s="5" t="str">
        <f aca="false">IFERROR(puntajes_EA!$M$6,"N/A")</f>
        <v>Satisfactorio</v>
      </c>
      <c r="I42" s="4" t="str">
        <f aca="false">IF(ISNUMBER(G42),TEXT(G42,"0.00"),"")</f>
        <v>0.05</v>
      </c>
      <c r="J42" s="3" t="n">
        <v>6</v>
      </c>
      <c r="K42" s="5" t="str">
        <f aca="false">IF(AND(B42=puntajes_EA!$B$6,E42=puntajes_EA!$C$6,I42=IF(ISNUMBER(puntajes_EA!$L$6),TEXT(puntajes_EA!$L$6,"0.00"),""),H42=IFERROR(puntajes_EA!$M$6,"N/A")),"OK","FALLA")</f>
        <v>OK</v>
      </c>
    </row>
    <row r="43" customFormat="false" ht="26.85" hidden="false" customHeight="false" outlineLevel="0" collapsed="false">
      <c r="A43" s="3" t="s">
        <v>140</v>
      </c>
      <c r="B43" s="3" t="s">
        <v>189</v>
      </c>
      <c r="C43" s="3" t="s">
        <v>243</v>
      </c>
      <c r="D43" s="3" t="s">
        <v>243</v>
      </c>
      <c r="E43" s="3" t="s">
        <v>131</v>
      </c>
      <c r="F43" s="3" t="s">
        <v>6</v>
      </c>
      <c r="G43" s="4" t="n">
        <f aca="false">IFERROR(puntajes_EA!$L$7,"")</f>
        <v>0.0951830064704898</v>
      </c>
      <c r="H43" s="5" t="str">
        <f aca="false">IFERROR(puntajes_EA!$M$7,"N/A")</f>
        <v>Satisfactorio</v>
      </c>
      <c r="I43" s="4" t="str">
        <f aca="false">IF(ISNUMBER(G43),TEXT(G43,"0.00"),"")</f>
        <v>0.10</v>
      </c>
      <c r="J43" s="3" t="n">
        <v>7</v>
      </c>
      <c r="K43" s="5" t="str">
        <f aca="false">IF(AND(B43=puntajes_EA!$B$7,E43=puntajes_EA!$C$7,I43=IF(ISNUMBER(puntajes_EA!$L$7),TEXT(puntajes_EA!$L$7,"0.00"),""),H43=IFERROR(puntajes_EA!$M$7,"N/A")),"OK","FALLA")</f>
        <v>OK</v>
      </c>
    </row>
    <row r="44" customFormat="false" ht="26.85" hidden="false" customHeight="false" outlineLevel="0" collapsed="false">
      <c r="A44" s="3" t="s">
        <v>140</v>
      </c>
      <c r="B44" s="3" t="s">
        <v>189</v>
      </c>
      <c r="C44" s="3" t="s">
        <v>243</v>
      </c>
      <c r="D44" s="3" t="s">
        <v>243</v>
      </c>
      <c r="E44" s="3" t="s">
        <v>132</v>
      </c>
      <c r="F44" s="3" t="s">
        <v>6</v>
      </c>
      <c r="G44" s="4" t="n">
        <f aca="false">IFERROR(puntajes_EA!$L$8,"")</f>
        <v>0.352447979724242</v>
      </c>
      <c r="H44" s="5" t="str">
        <f aca="false">IFERROR(puntajes_EA!$M$8,"N/A")</f>
        <v>Satisfactorio</v>
      </c>
      <c r="I44" s="4" t="str">
        <f aca="false">IF(ISNUMBER(G44),TEXT(G44,"0.00"),"")</f>
        <v>0.35</v>
      </c>
      <c r="J44" s="3" t="n">
        <v>8</v>
      </c>
      <c r="K44" s="5" t="str">
        <f aca="false">IF(AND(B44=puntajes_EA!$B$8,E44=puntajes_EA!$C$8,I44=IF(ISNUMBER(puntajes_EA!$L$8),TEXT(puntajes_EA!$L$8,"0.00"),""),H44=IFERROR(puntajes_EA!$M$8,"N/A")),"OK","FALLA")</f>
        <v>OK</v>
      </c>
    </row>
    <row r="45" customFormat="false" ht="26.85" hidden="false" customHeight="false" outlineLevel="0" collapsed="false">
      <c r="A45" s="3" t="s">
        <v>140</v>
      </c>
      <c r="B45" s="3" t="s">
        <v>189</v>
      </c>
      <c r="C45" s="3" t="s">
        <v>243</v>
      </c>
      <c r="D45" s="3" t="s">
        <v>243</v>
      </c>
      <c r="E45" s="3" t="s">
        <v>133</v>
      </c>
      <c r="F45" s="3" t="s">
        <v>6</v>
      </c>
      <c r="G45" s="4" t="n">
        <f aca="false">IFERROR(puntajes_EA!$L$9,"")</f>
        <v>0.0942099941608374</v>
      </c>
      <c r="H45" s="5" t="str">
        <f aca="false">IFERROR(puntajes_EA!$M$9,"N/A")</f>
        <v>Satisfactorio</v>
      </c>
      <c r="I45" s="4" t="str">
        <f aca="false">IF(ISNUMBER(G45),TEXT(G45,"0.00"),"")</f>
        <v>0.09</v>
      </c>
      <c r="J45" s="3" t="n">
        <v>9</v>
      </c>
      <c r="K45" s="5" t="str">
        <f aca="false">IF(AND(B45=puntajes_EA!$B$9,E45=puntajes_EA!$C$9,I45=IF(ISNUMBER(puntajes_EA!$L$9),TEXT(puntajes_EA!$L$9,"0.00"),""),H45=IFERROR(puntajes_EA!$M$9,"N/A")),"OK","FALLA")</f>
        <v>OK</v>
      </c>
    </row>
    <row r="46" customFormat="false" ht="26.85" hidden="false" customHeight="false" outlineLevel="0" collapsed="false">
      <c r="A46" s="3" t="s">
        <v>140</v>
      </c>
      <c r="B46" s="3" t="s">
        <v>189</v>
      </c>
      <c r="C46" s="3" t="s">
        <v>243</v>
      </c>
      <c r="D46" s="3" t="s">
        <v>243</v>
      </c>
      <c r="E46" s="3" t="s">
        <v>134</v>
      </c>
      <c r="F46" s="3" t="s">
        <v>6</v>
      </c>
      <c r="G46" s="4" t="n">
        <f aca="false">IFERROR(puntajes_EA!$L$10,"")</f>
        <v>0.117648991539683</v>
      </c>
      <c r="H46" s="5" t="str">
        <f aca="false">IFERROR(puntajes_EA!$M$10,"N/A")</f>
        <v>Satisfactorio</v>
      </c>
      <c r="I46" s="4" t="str">
        <f aca="false">IF(ISNUMBER(G46),TEXT(G46,"0.00"),"")</f>
        <v>0.12</v>
      </c>
      <c r="J46" s="3" t="n">
        <v>10</v>
      </c>
      <c r="K46" s="5" t="str">
        <f aca="false">IF(AND(B46=puntajes_EA!$B$10,E46=puntajes_EA!$C$10,I46=IF(ISNUMBER(puntajes_EA!$L$10),TEXT(puntajes_EA!$L$10,"0.00"),""),H46=IFERROR(puntajes_EA!$M$10,"N/A")),"OK","FALLA")</f>
        <v>OK</v>
      </c>
    </row>
    <row r="47" customFormat="false" ht="26.85" hidden="false" customHeight="false" outlineLevel="0" collapsed="false">
      <c r="A47" s="3" t="s">
        <v>140</v>
      </c>
      <c r="B47" s="3" t="s">
        <v>189</v>
      </c>
      <c r="C47" s="3" t="s">
        <v>243</v>
      </c>
      <c r="D47" s="3" t="s">
        <v>243</v>
      </c>
      <c r="E47" s="3" t="s">
        <v>135</v>
      </c>
      <c r="F47" s="3" t="s">
        <v>6</v>
      </c>
      <c r="G47" s="4" t="n">
        <f aca="false">IFERROR(puntajes_EA!$L$11,"")</f>
        <v>0.149551549253861</v>
      </c>
      <c r="H47" s="5" t="str">
        <f aca="false">IFERROR(puntajes_EA!$M$11,"N/A")</f>
        <v>Satisfactorio</v>
      </c>
      <c r="I47" s="4" t="str">
        <f aca="false">IF(ISNUMBER(G47),TEXT(G47,"0.00"),"")</f>
        <v>0.15</v>
      </c>
      <c r="J47" s="3" t="n">
        <v>11</v>
      </c>
      <c r="K47" s="5" t="str">
        <f aca="false">IF(AND(B47=puntajes_EA!$B$11,E47=puntajes_EA!$C$11,I47=IF(ISNUMBER(puntajes_EA!$L$11),TEXT(puntajes_EA!$L$11,"0.00"),""),H47=IFERROR(puntajes_EA!$M$11,"N/A")),"OK","FALLA")</f>
        <v>OK</v>
      </c>
    </row>
    <row r="48" customFormat="false" ht="26.85" hidden="false" customHeight="false" outlineLevel="0" collapsed="false">
      <c r="A48" s="3" t="s">
        <v>140</v>
      </c>
      <c r="B48" s="3" t="s">
        <v>189</v>
      </c>
      <c r="C48" s="3" t="s">
        <v>243</v>
      </c>
      <c r="D48" s="3" t="s">
        <v>243</v>
      </c>
      <c r="E48" s="3" t="s">
        <v>136</v>
      </c>
      <c r="F48" s="3" t="s">
        <v>6</v>
      </c>
      <c r="G48" s="4" t="n">
        <f aca="false">IFERROR(puntajes_EA!$L$12,"")</f>
        <v>0.0842213874377139</v>
      </c>
      <c r="H48" s="5" t="str">
        <f aca="false">IFERROR(puntajes_EA!$M$12,"N/A")</f>
        <v>Satisfactorio</v>
      </c>
      <c r="I48" s="4" t="str">
        <f aca="false">IF(ISNUMBER(G48),TEXT(G48,"0.00"),"")</f>
        <v>0.08</v>
      </c>
      <c r="J48" s="3" t="n">
        <v>12</v>
      </c>
      <c r="K48" s="5" t="str">
        <f aca="false">IF(AND(B48=puntajes_EA!$B$12,E48=puntajes_EA!$C$12,I48=IF(ISNUMBER(puntajes_EA!$L$12),TEXT(puntajes_EA!$L$12,"0.00"),""),H48=IFERROR(puntajes_EA!$M$12,"N/A")),"OK","FALLA")</f>
        <v>OK</v>
      </c>
    </row>
    <row r="49" customFormat="false" ht="26.85" hidden="false" customHeight="false" outlineLevel="0" collapsed="false">
      <c r="A49" s="3" t="s">
        <v>140</v>
      </c>
      <c r="B49" s="3" t="s">
        <v>189</v>
      </c>
      <c r="C49" s="3" t="s">
        <v>243</v>
      </c>
      <c r="D49" s="3" t="s">
        <v>243</v>
      </c>
      <c r="E49" s="3" t="s">
        <v>137</v>
      </c>
      <c r="F49" s="3" t="s">
        <v>6</v>
      </c>
      <c r="G49" s="4" t="n">
        <f aca="false">IFERROR(puntajes_EA!$L$13,"")</f>
        <v>0.144946244078901</v>
      </c>
      <c r="H49" s="5" t="str">
        <f aca="false">IFERROR(puntajes_EA!$M$13,"N/A")</f>
        <v>Satisfactorio</v>
      </c>
      <c r="I49" s="4" t="str">
        <f aca="false">IF(ISNUMBER(G49),TEXT(G49,"0.00"),"")</f>
        <v>0.14</v>
      </c>
      <c r="J49" s="3" t="n">
        <v>13</v>
      </c>
      <c r="K49" s="5" t="str">
        <f aca="false">IF(AND(B49=puntajes_EA!$B$13,E49=puntajes_EA!$C$13,I49=IF(ISNUMBER(puntajes_EA!$L$13),TEXT(puntajes_EA!$L$13,"0.00"),""),H49=IFERROR(puntajes_EA!$M$13,"N/A")),"OK","FALLA")</f>
        <v>OK</v>
      </c>
    </row>
    <row r="50" customFormat="false" ht="26.85" hidden="false" customHeight="false" outlineLevel="0" collapsed="false">
      <c r="A50" s="3" t="s">
        <v>190</v>
      </c>
      <c r="B50" s="3" t="s">
        <v>191</v>
      </c>
      <c r="C50" s="3" t="s">
        <v>240</v>
      </c>
      <c r="D50" s="3" t="s">
        <v>240</v>
      </c>
      <c r="E50" s="3" t="s">
        <v>126</v>
      </c>
      <c r="F50" s="3" t="s">
        <v>6</v>
      </c>
      <c r="G50" s="4" t="n">
        <f aca="false">IFERROR(puntajes_EA!$F$14,"")</f>
        <v>1.58057169483365</v>
      </c>
      <c r="H50" s="5" t="str">
        <f aca="false">IFERROR(puntajes_EA!$G$14,"N/A")</f>
        <v>Satisfactorio</v>
      </c>
      <c r="I50" s="4" t="str">
        <f aca="false">IF(ISNUMBER(G50),TEXT(G50,"0.00"),"")</f>
        <v>1.58</v>
      </c>
      <c r="J50" s="3" t="n">
        <v>14</v>
      </c>
      <c r="K50" s="5" t="str">
        <f aca="false">IF(AND(B50=puntajes_EA!$B$14,E50=puntajes_EA!$C$14,I50=IF(ISNUMBER(puntajes_EA!$F$14),TEXT(puntajes_EA!$F$14,"0.00"),""),H50=IFERROR(puntajes_EA!$G$14,"N/A")),"OK","FALLA")</f>
        <v>OK</v>
      </c>
    </row>
    <row r="51" customFormat="false" ht="26.85" hidden="false" customHeight="false" outlineLevel="0" collapsed="false">
      <c r="A51" s="3" t="s">
        <v>190</v>
      </c>
      <c r="B51" s="3" t="s">
        <v>191</v>
      </c>
      <c r="C51" s="3" t="s">
        <v>240</v>
      </c>
      <c r="D51" s="3" t="s">
        <v>240</v>
      </c>
      <c r="E51" s="3" t="s">
        <v>127</v>
      </c>
      <c r="F51" s="3" t="s">
        <v>6</v>
      </c>
      <c r="G51" s="4" t="n">
        <f aca="false">IFERROR(puntajes_EA!$F$15,"")</f>
        <v>-0.699967464854342</v>
      </c>
      <c r="H51" s="5" t="str">
        <f aca="false">IFERROR(puntajes_EA!$G$15,"N/A")</f>
        <v>Satisfactorio</v>
      </c>
      <c r="I51" s="4" t="str">
        <f aca="false">IF(ISNUMBER(G51),TEXT(G51,"0.00"),"")</f>
        <v>-0.70</v>
      </c>
      <c r="J51" s="3" t="n">
        <v>15</v>
      </c>
      <c r="K51" s="5" t="str">
        <f aca="false">IF(AND(B51=puntajes_EA!$B$15,E51=puntajes_EA!$C$15,I51=IF(ISNUMBER(puntajes_EA!$F$15),TEXT(puntajes_EA!$F$15,"0.00"),""),H51=IFERROR(puntajes_EA!$G$15,"N/A")),"OK","FALLA")</f>
        <v>OK</v>
      </c>
    </row>
    <row r="52" customFormat="false" ht="26.85" hidden="false" customHeight="false" outlineLevel="0" collapsed="false">
      <c r="A52" s="3" t="s">
        <v>190</v>
      </c>
      <c r="B52" s="3" t="s">
        <v>191</v>
      </c>
      <c r="C52" s="3" t="s">
        <v>240</v>
      </c>
      <c r="D52" s="3" t="s">
        <v>240</v>
      </c>
      <c r="E52" s="3" t="s">
        <v>128</v>
      </c>
      <c r="F52" s="3" t="s">
        <v>6</v>
      </c>
      <c r="G52" s="4" t="n">
        <f aca="false">IFERROR(puntajes_EA!$F$16,"")</f>
        <v>4.31475545784625</v>
      </c>
      <c r="H52" s="5" t="str">
        <f aca="false">IFERROR(puntajes_EA!$G$16,"N/A")</f>
        <v>No satisfactorio</v>
      </c>
      <c r="I52" s="4" t="str">
        <f aca="false">IF(ISNUMBER(G52),TEXT(G52,"0.00"),"")</f>
        <v>4.31</v>
      </c>
      <c r="J52" s="3" t="n">
        <v>16</v>
      </c>
      <c r="K52" s="5" t="str">
        <f aca="false">IF(AND(B52=puntajes_EA!$B$16,E52=puntajes_EA!$C$16,I52=IF(ISNUMBER(puntajes_EA!$F$16),TEXT(puntajes_EA!$F$16,"0.00"),""),H52=IFERROR(puntajes_EA!$G$16,"N/A")),"OK","FALLA")</f>
        <v>OK</v>
      </c>
    </row>
    <row r="53" customFormat="false" ht="26.85" hidden="false" customHeight="false" outlineLevel="0" collapsed="false">
      <c r="A53" s="3" t="s">
        <v>190</v>
      </c>
      <c r="B53" s="3" t="s">
        <v>191</v>
      </c>
      <c r="C53" s="3" t="s">
        <v>240</v>
      </c>
      <c r="D53" s="3" t="s">
        <v>240</v>
      </c>
      <c r="E53" s="3" t="s">
        <v>129</v>
      </c>
      <c r="F53" s="3" t="s">
        <v>6</v>
      </c>
      <c r="G53" s="4" t="n">
        <f aca="false">IFERROR(puntajes_EA!$F$17,"")</f>
        <v>1.4184091443267</v>
      </c>
      <c r="H53" s="5" t="str">
        <f aca="false">IFERROR(puntajes_EA!$G$17,"N/A")</f>
        <v>Satisfactorio</v>
      </c>
      <c r="I53" s="4" t="str">
        <f aca="false">IF(ISNUMBER(G53),TEXT(G53,"0.00"),"")</f>
        <v>1.42</v>
      </c>
      <c r="J53" s="3" t="n">
        <v>17</v>
      </c>
      <c r="K53" s="5" t="str">
        <f aca="false">IF(AND(B53=puntajes_EA!$B$17,E53=puntajes_EA!$C$17,I53=IF(ISNUMBER(puntajes_EA!$F$17),TEXT(puntajes_EA!$F$17,"0.00"),""),H53=IFERROR(puntajes_EA!$G$17,"N/A")),"OK","FALLA")</f>
        <v>OK</v>
      </c>
    </row>
    <row r="54" customFormat="false" ht="26.85" hidden="false" customHeight="false" outlineLevel="0" collapsed="false">
      <c r="A54" s="3" t="s">
        <v>190</v>
      </c>
      <c r="B54" s="3" t="s">
        <v>191</v>
      </c>
      <c r="C54" s="3" t="s">
        <v>240</v>
      </c>
      <c r="D54" s="3" t="s">
        <v>240</v>
      </c>
      <c r="E54" s="3" t="s">
        <v>130</v>
      </c>
      <c r="F54" s="3" t="s">
        <v>6</v>
      </c>
      <c r="G54" s="4" t="n">
        <f aca="false">IFERROR(puntajes_EA!$F$18,"")</f>
        <v>-1.10845287689707</v>
      </c>
      <c r="H54" s="5" t="str">
        <f aca="false">IFERROR(puntajes_EA!$G$18,"N/A")</f>
        <v>Satisfactorio</v>
      </c>
      <c r="I54" s="4" t="str">
        <f aca="false">IF(ISNUMBER(G54),TEXT(G54,"0.00"),"")</f>
        <v>-1.11</v>
      </c>
      <c r="J54" s="3" t="n">
        <v>18</v>
      </c>
      <c r="K54" s="5" t="str">
        <f aca="false">IF(AND(B54=puntajes_EA!$B$18,E54=puntajes_EA!$C$18,I54=IF(ISNUMBER(puntajes_EA!$F$18),TEXT(puntajes_EA!$F$18,"0.00"),""),H54=IFERROR(puntajes_EA!$G$18,"N/A")),"OK","FALLA")</f>
        <v>OK</v>
      </c>
    </row>
    <row r="55" customFormat="false" ht="26.85" hidden="false" customHeight="false" outlineLevel="0" collapsed="false">
      <c r="A55" s="3" t="s">
        <v>190</v>
      </c>
      <c r="B55" s="3" t="s">
        <v>191</v>
      </c>
      <c r="C55" s="3" t="s">
        <v>240</v>
      </c>
      <c r="D55" s="3" t="s">
        <v>240</v>
      </c>
      <c r="E55" s="3" t="s">
        <v>131</v>
      </c>
      <c r="F55" s="3" t="s">
        <v>6</v>
      </c>
      <c r="G55" s="4" t="n">
        <f aca="false">IFERROR(puntajes_EA!$F$19,"")</f>
        <v>-0.522409735501609</v>
      </c>
      <c r="H55" s="5" t="str">
        <f aca="false">IFERROR(puntajes_EA!$G$19,"N/A")</f>
        <v>Satisfactorio</v>
      </c>
      <c r="I55" s="4" t="str">
        <f aca="false">IF(ISNUMBER(G55),TEXT(G55,"0.00"),"")</f>
        <v>-0.52</v>
      </c>
      <c r="J55" s="3" t="n">
        <v>19</v>
      </c>
      <c r="K55" s="5" t="str">
        <f aca="false">IF(AND(B55=puntajes_EA!$B$19,E55=puntajes_EA!$C$19,I55=IF(ISNUMBER(puntajes_EA!$F$19),TEXT(puntajes_EA!$F$19,"0.00"),""),H55=IFERROR(puntajes_EA!$G$19,"N/A")),"OK","FALLA")</f>
        <v>OK</v>
      </c>
    </row>
    <row r="56" customFormat="false" ht="26.85" hidden="false" customHeight="false" outlineLevel="0" collapsed="false">
      <c r="A56" s="3" t="s">
        <v>190</v>
      </c>
      <c r="B56" s="3" t="s">
        <v>191</v>
      </c>
      <c r="C56" s="3" t="s">
        <v>240</v>
      </c>
      <c r="D56" s="3" t="s">
        <v>240</v>
      </c>
      <c r="E56" s="3" t="s">
        <v>132</v>
      </c>
      <c r="F56" s="3" t="s">
        <v>6</v>
      </c>
      <c r="G56" s="4" t="n">
        <f aca="false">IFERROR(puntajes_EA!$F$20,"")</f>
        <v>3.04414003044231</v>
      </c>
      <c r="H56" s="5" t="str">
        <f aca="false">IFERROR(puntajes_EA!$G$20,"N/A")</f>
        <v>No satisfactorio</v>
      </c>
      <c r="I56" s="4" t="str">
        <f aca="false">IF(ISNUMBER(G56),TEXT(G56,"0.00"),"")</f>
        <v>3.04</v>
      </c>
      <c r="J56" s="3" t="n">
        <v>20</v>
      </c>
      <c r="K56" s="5" t="str">
        <f aca="false">IF(AND(B56=puntajes_EA!$B$20,E56=puntajes_EA!$C$20,I56=IF(ISNUMBER(puntajes_EA!$F$20),TEXT(puntajes_EA!$F$20,"0.00"),""),H56=IFERROR(puntajes_EA!$G$20,"N/A")),"OK","FALLA")</f>
        <v>OK</v>
      </c>
    </row>
    <row r="57" customFormat="false" ht="26.85" hidden="false" customHeight="false" outlineLevel="0" collapsed="false">
      <c r="A57" s="3" t="s">
        <v>190</v>
      </c>
      <c r="B57" s="3" t="s">
        <v>191</v>
      </c>
      <c r="C57" s="3" t="s">
        <v>240</v>
      </c>
      <c r="D57" s="3" t="s">
        <v>240</v>
      </c>
      <c r="E57" s="3" t="s">
        <v>133</v>
      </c>
      <c r="F57" s="3" t="s">
        <v>6</v>
      </c>
      <c r="G57" s="4" t="n">
        <f aca="false">IFERROR(puntajes_EA!$F$21,"")</f>
        <v>-0.535752223833584</v>
      </c>
      <c r="H57" s="5" t="str">
        <f aca="false">IFERROR(puntajes_EA!$G$21,"N/A")</f>
        <v>Satisfactorio</v>
      </c>
      <c r="I57" s="4" t="str">
        <f aca="false">IF(ISNUMBER(G57),TEXT(G57,"0.00"),"")</f>
        <v>-0.54</v>
      </c>
      <c r="J57" s="3" t="n">
        <v>21</v>
      </c>
      <c r="K57" s="5" t="str">
        <f aca="false">IF(AND(B57=puntajes_EA!$B$21,E57=puntajes_EA!$C$21,I57=IF(ISNUMBER(puntajes_EA!$F$21),TEXT(puntajes_EA!$F$21,"0.00"),""),H57=IFERROR(puntajes_EA!$G$21,"N/A")),"OK","FALLA")</f>
        <v>OK</v>
      </c>
    </row>
    <row r="58" customFormat="false" ht="26.85" hidden="false" customHeight="false" outlineLevel="0" collapsed="false">
      <c r="A58" s="3" t="s">
        <v>190</v>
      </c>
      <c r="B58" s="3" t="s">
        <v>191</v>
      </c>
      <c r="C58" s="3" t="s">
        <v>240</v>
      </c>
      <c r="D58" s="3" t="s">
        <v>240</v>
      </c>
      <c r="E58" s="3" t="s">
        <v>134</v>
      </c>
      <c r="F58" s="3" t="s">
        <v>6</v>
      </c>
      <c r="G58" s="4" t="n">
        <f aca="false">IFERROR(puntajes_EA!$F$22,"")</f>
        <v>-0.173452348328277</v>
      </c>
      <c r="H58" s="5" t="str">
        <f aca="false">IFERROR(puntajes_EA!$G$22,"N/A")</f>
        <v>Satisfactorio</v>
      </c>
      <c r="I58" s="4" t="str">
        <f aca="false">IF(ISNUMBER(G58),TEXT(G58,"0.00"),"")</f>
        <v>-0.17</v>
      </c>
      <c r="J58" s="3" t="n">
        <v>22</v>
      </c>
      <c r="K58" s="5" t="str">
        <f aca="false">IF(AND(B58=puntajes_EA!$B$22,E58=puntajes_EA!$C$22,I58=IF(ISNUMBER(puntajes_EA!$F$22),TEXT(puntajes_EA!$F$22,"0.00"),""),H58=IFERROR(puntajes_EA!$G$22,"N/A")),"OK","FALLA")</f>
        <v>OK</v>
      </c>
    </row>
    <row r="59" customFormat="false" ht="26.85" hidden="false" customHeight="false" outlineLevel="0" collapsed="false">
      <c r="A59" s="3" t="s">
        <v>190</v>
      </c>
      <c r="B59" s="3" t="s">
        <v>191</v>
      </c>
      <c r="C59" s="3" t="s">
        <v>240</v>
      </c>
      <c r="D59" s="3" t="s">
        <v>240</v>
      </c>
      <c r="E59" s="3" t="s">
        <v>135</v>
      </c>
      <c r="F59" s="3" t="s">
        <v>6</v>
      </c>
      <c r="G59" s="4" t="n">
        <f aca="false">IFERROR(puntajes_EA!$F$23,"")</f>
        <v>0.2514545878156</v>
      </c>
      <c r="H59" s="5" t="str">
        <f aca="false">IFERROR(puntajes_EA!$G$23,"N/A")</f>
        <v>Satisfactorio</v>
      </c>
      <c r="I59" s="4" t="str">
        <f aca="false">IF(ISNUMBER(G59),TEXT(G59,"0.00"),"")</f>
        <v>0.25</v>
      </c>
      <c r="J59" s="3" t="n">
        <v>23</v>
      </c>
      <c r="K59" s="5" t="str">
        <f aca="false">IF(AND(B59=puntajes_EA!$B$23,E59=puntajes_EA!$C$23,I59=IF(ISNUMBER(puntajes_EA!$F$23),TEXT(puntajes_EA!$F$23,"0.00"),""),H59=IFERROR(puntajes_EA!$G$23,"N/A")),"OK","FALLA")</f>
        <v>OK</v>
      </c>
    </row>
    <row r="60" customFormat="false" ht="26.85" hidden="false" customHeight="false" outlineLevel="0" collapsed="false">
      <c r="A60" s="3" t="s">
        <v>190</v>
      </c>
      <c r="B60" s="3" t="s">
        <v>191</v>
      </c>
      <c r="C60" s="3" t="s">
        <v>240</v>
      </c>
      <c r="D60" s="3" t="s">
        <v>240</v>
      </c>
      <c r="E60" s="3" t="s">
        <v>136</v>
      </c>
      <c r="F60" s="3" t="s">
        <v>6</v>
      </c>
      <c r="G60" s="4" t="n">
        <f aca="false">IFERROR(puntajes_EA!$F$24,"")</f>
        <v>-0.648650202037094</v>
      </c>
      <c r="H60" s="5" t="str">
        <f aca="false">IFERROR(puntajes_EA!$G$24,"N/A")</f>
        <v>Satisfactorio</v>
      </c>
      <c r="I60" s="4" t="str">
        <f aca="false">IF(ISNUMBER(G60),TEXT(G60,"0.00"),"")</f>
        <v>-0.65</v>
      </c>
      <c r="J60" s="3" t="n">
        <v>24</v>
      </c>
      <c r="K60" s="5" t="str">
        <f aca="false">IF(AND(B60=puntajes_EA!$B$24,E60=puntajes_EA!$C$24,I60=IF(ISNUMBER(puntajes_EA!$F$24),TEXT(puntajes_EA!$F$24,"0.00"),""),H60=IFERROR(puntajes_EA!$G$24,"N/A")),"OK","FALLA")</f>
        <v>OK</v>
      </c>
    </row>
    <row r="61" customFormat="false" ht="26.85" hidden="false" customHeight="false" outlineLevel="0" collapsed="false">
      <c r="A61" s="3" t="s">
        <v>190</v>
      </c>
      <c r="B61" s="3" t="s">
        <v>191</v>
      </c>
      <c r="C61" s="3" t="s">
        <v>240</v>
      </c>
      <c r="D61" s="3" t="s">
        <v>240</v>
      </c>
      <c r="E61" s="3" t="s">
        <v>137</v>
      </c>
      <c r="F61" s="3" t="s">
        <v>6</v>
      </c>
      <c r="G61" s="4" t="n">
        <f aca="false">IFERROR(puntajes_EA!$F$25,"")</f>
        <v>0.173452348328189</v>
      </c>
      <c r="H61" s="5" t="str">
        <f aca="false">IFERROR(puntajes_EA!$G$25,"N/A")</f>
        <v>Satisfactorio</v>
      </c>
      <c r="I61" s="4" t="str">
        <f aca="false">IF(ISNUMBER(G61),TEXT(G61,"0.00"),"")</f>
        <v>0.17</v>
      </c>
      <c r="J61" s="3" t="n">
        <v>25</v>
      </c>
      <c r="K61" s="5" t="str">
        <f aca="false">IF(AND(B61=puntajes_EA!$B$25,E61=puntajes_EA!$C$25,I61=IF(ISNUMBER(puntajes_EA!$F$25),TEXT(puntajes_EA!$F$25,"0.00"),""),H61=IFERROR(puntajes_EA!$G$25,"N/A")),"OK","FALLA")</f>
        <v>OK</v>
      </c>
    </row>
    <row r="62" customFormat="false" ht="26.85" hidden="false" customHeight="false" outlineLevel="0" collapsed="false">
      <c r="A62" s="3" t="s">
        <v>190</v>
      </c>
      <c r="B62" s="3" t="s">
        <v>191</v>
      </c>
      <c r="C62" s="3" t="s">
        <v>241</v>
      </c>
      <c r="D62" s="3" t="s">
        <v>250</v>
      </c>
      <c r="E62" s="3" t="s">
        <v>126</v>
      </c>
      <c r="F62" s="3" t="s">
        <v>6</v>
      </c>
      <c r="G62" s="4" t="n">
        <f aca="false">IFERROR(puntajes_EA!$H$14,"")</f>
        <v>0.368622870618908</v>
      </c>
      <c r="H62" s="5" t="str">
        <f aca="false">IFERROR(puntajes_EA!$I$14,"N/A")</f>
        <v>Satisfactorio</v>
      </c>
      <c r="I62" s="4" t="str">
        <f aca="false">IF(ISNUMBER(G62),TEXT(G62,"0.00"),"")</f>
        <v>0.37</v>
      </c>
      <c r="J62" s="3" t="n">
        <v>14</v>
      </c>
      <c r="K62" s="5" t="str">
        <f aca="false">IF(AND(B62=puntajes_EA!$B$14,E62=puntajes_EA!$C$14,I62=IF(ISNUMBER(puntajes_EA!$H$14),TEXT(puntajes_EA!$H$14,"0.00"),""),H62=IFERROR(puntajes_EA!$I$14,"N/A")),"OK","FALLA")</f>
        <v>OK</v>
      </c>
    </row>
    <row r="63" customFormat="false" ht="26.85" hidden="false" customHeight="false" outlineLevel="0" collapsed="false">
      <c r="A63" s="3" t="s">
        <v>190</v>
      </c>
      <c r="B63" s="3" t="s">
        <v>191</v>
      </c>
      <c r="C63" s="3" t="s">
        <v>241</v>
      </c>
      <c r="D63" s="3" t="s">
        <v>250</v>
      </c>
      <c r="E63" s="3" t="s">
        <v>127</v>
      </c>
      <c r="F63" s="3" t="s">
        <v>6</v>
      </c>
      <c r="G63" s="4" t="n">
        <f aca="false">IFERROR(puntajes_EA!$H$15,"")</f>
        <v>-0.163247271273957</v>
      </c>
      <c r="H63" s="5" t="str">
        <f aca="false">IFERROR(puntajes_EA!$I$15,"N/A")</f>
        <v>Satisfactorio</v>
      </c>
      <c r="I63" s="4" t="str">
        <f aca="false">IF(ISNUMBER(G63),TEXT(G63,"0.00"),"")</f>
        <v>-0.16</v>
      </c>
      <c r="J63" s="3" t="n">
        <v>15</v>
      </c>
      <c r="K63" s="5" t="str">
        <f aca="false">IF(AND(B63=puntajes_EA!$B$15,E63=puntajes_EA!$C$15,I63=IF(ISNUMBER(puntajes_EA!$H$15),TEXT(puntajes_EA!$H$15,"0.00"),""),H63=IFERROR(puntajes_EA!$I$15,"N/A")),"OK","FALLA")</f>
        <v>OK</v>
      </c>
    </row>
    <row r="64" customFormat="false" ht="26.85" hidden="false" customHeight="false" outlineLevel="0" collapsed="false">
      <c r="A64" s="3" t="s">
        <v>190</v>
      </c>
      <c r="B64" s="3" t="s">
        <v>191</v>
      </c>
      <c r="C64" s="3" t="s">
        <v>241</v>
      </c>
      <c r="D64" s="3" t="s">
        <v>250</v>
      </c>
      <c r="E64" s="3" t="s">
        <v>128</v>
      </c>
      <c r="F64" s="3" t="s">
        <v>6</v>
      </c>
      <c r="G64" s="4" t="n">
        <f aca="false">IFERROR(puntajes_EA!$H$16,"")</f>
        <v>1.00629256368993</v>
      </c>
      <c r="H64" s="5" t="str">
        <f aca="false">IFERROR(puntajes_EA!$I$16,"N/A")</f>
        <v>Satisfactorio</v>
      </c>
      <c r="I64" s="4" t="str">
        <f aca="false">IF(ISNUMBER(G64),TEXT(G64,"0.00"),"")</f>
        <v>1.01</v>
      </c>
      <c r="J64" s="3" t="n">
        <v>16</v>
      </c>
      <c r="K64" s="5" t="str">
        <f aca="false">IF(AND(B64=puntajes_EA!$B$16,E64=puntajes_EA!$C$16,I64=IF(ISNUMBER(puntajes_EA!$H$16),TEXT(puntajes_EA!$H$16,"0.00"),""),H64=IFERROR(puntajes_EA!$I$16,"N/A")),"OK","FALLA")</f>
        <v>OK</v>
      </c>
    </row>
    <row r="65" customFormat="false" ht="26.85" hidden="false" customHeight="false" outlineLevel="0" collapsed="false">
      <c r="A65" s="3" t="s">
        <v>190</v>
      </c>
      <c r="B65" s="3" t="s">
        <v>191</v>
      </c>
      <c r="C65" s="3" t="s">
        <v>241</v>
      </c>
      <c r="D65" s="3" t="s">
        <v>250</v>
      </c>
      <c r="E65" s="3" t="s">
        <v>129</v>
      </c>
      <c r="F65" s="3" t="s">
        <v>6</v>
      </c>
      <c r="G65" s="4" t="n">
        <f aca="false">IFERROR(puntajes_EA!$H$17,"")</f>
        <v>0.330803121555865</v>
      </c>
      <c r="H65" s="5" t="str">
        <f aca="false">IFERROR(puntajes_EA!$I$17,"N/A")</f>
        <v>Satisfactorio</v>
      </c>
      <c r="I65" s="4" t="str">
        <f aca="false">IF(ISNUMBER(G65),TEXT(G65,"0.00"),"")</f>
        <v>0.33</v>
      </c>
      <c r="J65" s="3" t="n">
        <v>17</v>
      </c>
      <c r="K65" s="5" t="str">
        <f aca="false">IF(AND(B65=puntajes_EA!$B$17,E65=puntajes_EA!$C$17,I65=IF(ISNUMBER(puntajes_EA!$H$17),TEXT(puntajes_EA!$H$17,"0.00"),""),H65=IFERROR(puntajes_EA!$I$17,"N/A")),"OK","FALLA")</f>
        <v>OK</v>
      </c>
    </row>
    <row r="66" customFormat="false" ht="26.85" hidden="false" customHeight="false" outlineLevel="0" collapsed="false">
      <c r="A66" s="3" t="s">
        <v>190</v>
      </c>
      <c r="B66" s="3" t="s">
        <v>191</v>
      </c>
      <c r="C66" s="3" t="s">
        <v>241</v>
      </c>
      <c r="D66" s="3" t="s">
        <v>250</v>
      </c>
      <c r="E66" s="3" t="s">
        <v>130</v>
      </c>
      <c r="F66" s="3" t="s">
        <v>6</v>
      </c>
      <c r="G66" s="4" t="n">
        <f aca="false">IFERROR(puntajes_EA!$H$18,"")</f>
        <v>-0.258514740434213</v>
      </c>
      <c r="H66" s="5" t="str">
        <f aca="false">IFERROR(puntajes_EA!$I$18,"N/A")</f>
        <v>Satisfactorio</v>
      </c>
      <c r="I66" s="4" t="str">
        <f aca="false">IF(ISNUMBER(G66),TEXT(G66,"0.00"),"")</f>
        <v>-0.26</v>
      </c>
      <c r="J66" s="3" t="n">
        <v>18</v>
      </c>
      <c r="K66" s="5" t="str">
        <f aca="false">IF(AND(B66=puntajes_EA!$B$18,E66=puntajes_EA!$C$18,I66=IF(ISNUMBER(puntajes_EA!$H$18),TEXT(puntajes_EA!$H$18,"0.00"),""),H66=IFERROR(puntajes_EA!$I$18,"N/A")),"OK","FALLA")</f>
        <v>OK</v>
      </c>
    </row>
    <row r="67" customFormat="false" ht="26.85" hidden="false" customHeight="false" outlineLevel="0" collapsed="false">
      <c r="A67" s="3" t="s">
        <v>190</v>
      </c>
      <c r="B67" s="3" t="s">
        <v>191</v>
      </c>
      <c r="C67" s="3" t="s">
        <v>241</v>
      </c>
      <c r="D67" s="3" t="s">
        <v>250</v>
      </c>
      <c r="E67" s="3" t="s">
        <v>131</v>
      </c>
      <c r="F67" s="3" t="s">
        <v>6</v>
      </c>
      <c r="G67" s="4" t="n">
        <f aca="false">IFERROR(puntajes_EA!$H$19,"")</f>
        <v>-0.121837039704887</v>
      </c>
      <c r="H67" s="5" t="str">
        <f aca="false">IFERROR(puntajes_EA!$I$19,"N/A")</f>
        <v>Satisfactorio</v>
      </c>
      <c r="I67" s="4" t="str">
        <f aca="false">IF(ISNUMBER(G67),TEXT(G67,"0.00"),"")</f>
        <v>-0.12</v>
      </c>
      <c r="J67" s="3" t="n">
        <v>19</v>
      </c>
      <c r="K67" s="5" t="str">
        <f aca="false">IF(AND(B67=puntajes_EA!$B$19,E67=puntajes_EA!$C$19,I67=IF(ISNUMBER(puntajes_EA!$H$19),TEXT(puntajes_EA!$H$19,"0.00"),""),H67=IFERROR(puntajes_EA!$I$19,"N/A")),"OK","FALLA")</f>
        <v>OK</v>
      </c>
    </row>
    <row r="68" customFormat="false" ht="26.85" hidden="false" customHeight="false" outlineLevel="0" collapsed="false">
      <c r="A68" s="3" t="s">
        <v>190</v>
      </c>
      <c r="B68" s="3" t="s">
        <v>191</v>
      </c>
      <c r="C68" s="3" t="s">
        <v>241</v>
      </c>
      <c r="D68" s="3" t="s">
        <v>250</v>
      </c>
      <c r="E68" s="3" t="s">
        <v>132</v>
      </c>
      <c r="F68" s="3" t="s">
        <v>6</v>
      </c>
      <c r="G68" s="4" t="n">
        <f aca="false">IFERROR(puntajes_EA!$H$20,"")</f>
        <v>0.709958074192691</v>
      </c>
      <c r="H68" s="5" t="str">
        <f aca="false">IFERROR(puntajes_EA!$I$20,"N/A")</f>
        <v>Satisfactorio</v>
      </c>
      <c r="I68" s="4" t="str">
        <f aca="false">IF(ISNUMBER(G68),TEXT(G68,"0.00"),"")</f>
        <v>0.71</v>
      </c>
      <c r="J68" s="3" t="n">
        <v>20</v>
      </c>
      <c r="K68" s="5" t="str">
        <f aca="false">IF(AND(B68=puntajes_EA!$B$20,E68=puntajes_EA!$C$20,I68=IF(ISNUMBER(puntajes_EA!$H$20),TEXT(puntajes_EA!$H$20,"0.00"),""),H68=IFERROR(puntajes_EA!$I$20,"N/A")),"OK","FALLA")</f>
        <v>OK</v>
      </c>
    </row>
    <row r="69" customFormat="false" ht="26.85" hidden="false" customHeight="false" outlineLevel="0" collapsed="false">
      <c r="A69" s="3" t="s">
        <v>190</v>
      </c>
      <c r="B69" s="3" t="s">
        <v>191</v>
      </c>
      <c r="C69" s="3" t="s">
        <v>241</v>
      </c>
      <c r="D69" s="3" t="s">
        <v>250</v>
      </c>
      <c r="E69" s="3" t="s">
        <v>133</v>
      </c>
      <c r="F69" s="3" t="s">
        <v>6</v>
      </c>
      <c r="G69" s="4" t="n">
        <f aca="false">IFERROR(puntajes_EA!$H$21,"")</f>
        <v>-0.12494879120987</v>
      </c>
      <c r="H69" s="5" t="str">
        <f aca="false">IFERROR(puntajes_EA!$I$21,"N/A")</f>
        <v>Satisfactorio</v>
      </c>
      <c r="I69" s="4" t="str">
        <f aca="false">IF(ISNUMBER(G69),TEXT(G69,"0.00"),"")</f>
        <v>-0.12</v>
      </c>
      <c r="J69" s="3" t="n">
        <v>21</v>
      </c>
      <c r="K69" s="5" t="str">
        <f aca="false">IF(AND(B69=puntajes_EA!$B$21,E69=puntajes_EA!$C$21,I69=IF(ISNUMBER(puntajes_EA!$H$21),TEXT(puntajes_EA!$H$21,"0.00"),""),H69=IFERROR(puntajes_EA!$I$21,"N/A")),"OK","FALLA")</f>
        <v>OK</v>
      </c>
    </row>
    <row r="70" customFormat="false" ht="26.85" hidden="false" customHeight="false" outlineLevel="0" collapsed="false">
      <c r="A70" s="3" t="s">
        <v>190</v>
      </c>
      <c r="B70" s="3" t="s">
        <v>191</v>
      </c>
      <c r="C70" s="3" t="s">
        <v>241</v>
      </c>
      <c r="D70" s="3" t="s">
        <v>250</v>
      </c>
      <c r="E70" s="3" t="s">
        <v>134</v>
      </c>
      <c r="F70" s="3" t="s">
        <v>6</v>
      </c>
      <c r="G70" s="4" t="n">
        <f aca="false">IFERROR(puntajes_EA!$H$22,"")</f>
        <v>-0.0404527695677161</v>
      </c>
      <c r="H70" s="5" t="str">
        <f aca="false">IFERROR(puntajes_EA!$I$22,"N/A")</f>
        <v>Satisfactorio</v>
      </c>
      <c r="I70" s="4" t="str">
        <f aca="false">IF(ISNUMBER(G70),TEXT(G70,"0.00"),"")</f>
        <v>-0.04</v>
      </c>
      <c r="J70" s="3" t="n">
        <v>22</v>
      </c>
      <c r="K70" s="5" t="str">
        <f aca="false">IF(AND(B70=puntajes_EA!$B$22,E70=puntajes_EA!$C$22,I70=IF(ISNUMBER(puntajes_EA!$H$22),TEXT(puntajes_EA!$H$22,"0.00"),""),H70=IFERROR(puntajes_EA!$I$22,"N/A")),"OK","FALLA")</f>
        <v>OK</v>
      </c>
    </row>
    <row r="71" customFormat="false" ht="26.85" hidden="false" customHeight="false" outlineLevel="0" collapsed="false">
      <c r="A71" s="3" t="s">
        <v>190</v>
      </c>
      <c r="B71" s="3" t="s">
        <v>191</v>
      </c>
      <c r="C71" s="3" t="s">
        <v>241</v>
      </c>
      <c r="D71" s="3" t="s">
        <v>250</v>
      </c>
      <c r="E71" s="3" t="s">
        <v>135</v>
      </c>
      <c r="F71" s="3" t="s">
        <v>6</v>
      </c>
      <c r="G71" s="4" t="n">
        <f aca="false">IFERROR(puntajes_EA!$H$23,"")</f>
        <v>0.0586445475987322</v>
      </c>
      <c r="H71" s="5" t="str">
        <f aca="false">IFERROR(puntajes_EA!$I$23,"N/A")</f>
        <v>Satisfactorio</v>
      </c>
      <c r="I71" s="4" t="str">
        <f aca="false">IF(ISNUMBER(G71),TEXT(G71,"0.00"),"")</f>
        <v>0.06</v>
      </c>
      <c r="J71" s="3" t="n">
        <v>23</v>
      </c>
      <c r="K71" s="5" t="str">
        <f aca="false">IF(AND(B71=puntajes_EA!$B$23,E71=puntajes_EA!$C$23,I71=IF(ISNUMBER(puntajes_EA!$H$23),TEXT(puntajes_EA!$H$23,"0.00"),""),H71=IFERROR(puntajes_EA!$I$23,"N/A")),"OK","FALLA")</f>
        <v>OK</v>
      </c>
    </row>
    <row r="72" customFormat="false" ht="26.85" hidden="false" customHeight="false" outlineLevel="0" collapsed="false">
      <c r="A72" s="3" t="s">
        <v>190</v>
      </c>
      <c r="B72" s="3" t="s">
        <v>191</v>
      </c>
      <c r="C72" s="3" t="s">
        <v>241</v>
      </c>
      <c r="D72" s="3" t="s">
        <v>250</v>
      </c>
      <c r="E72" s="3" t="s">
        <v>136</v>
      </c>
      <c r="F72" s="3" t="s">
        <v>6</v>
      </c>
      <c r="G72" s="4" t="n">
        <f aca="false">IFERROR(puntajes_EA!$H$24,"")</f>
        <v>-0.151278996254335</v>
      </c>
      <c r="H72" s="5" t="str">
        <f aca="false">IFERROR(puntajes_EA!$I$24,"N/A")</f>
        <v>Satisfactorio</v>
      </c>
      <c r="I72" s="4" t="str">
        <f aca="false">IF(ISNUMBER(G72),TEXT(G72,"0.00"),"")</f>
        <v>-0.15</v>
      </c>
      <c r="J72" s="3" t="n">
        <v>24</v>
      </c>
      <c r="K72" s="5" t="str">
        <f aca="false">IF(AND(B72=puntajes_EA!$B$24,E72=puntajes_EA!$C$24,I72=IF(ISNUMBER(puntajes_EA!$H$24),TEXT(puntajes_EA!$H$24,"0.00"),""),H72=IFERROR(puntajes_EA!$I$24,"N/A")),"OK","FALLA")</f>
        <v>OK</v>
      </c>
    </row>
    <row r="73" customFormat="false" ht="26.85" hidden="false" customHeight="false" outlineLevel="0" collapsed="false">
      <c r="A73" s="3" t="s">
        <v>190</v>
      </c>
      <c r="B73" s="3" t="s">
        <v>191</v>
      </c>
      <c r="C73" s="3" t="s">
        <v>241</v>
      </c>
      <c r="D73" s="3" t="s">
        <v>250</v>
      </c>
      <c r="E73" s="3" t="s">
        <v>137</v>
      </c>
      <c r="F73" s="3" t="s">
        <v>6</v>
      </c>
      <c r="G73" s="4" t="n">
        <f aca="false">IFERROR(puntajes_EA!$H$25,"")</f>
        <v>0.0404527695676957</v>
      </c>
      <c r="H73" s="5" t="str">
        <f aca="false">IFERROR(puntajes_EA!$I$25,"N/A")</f>
        <v>Satisfactorio</v>
      </c>
      <c r="I73" s="4" t="str">
        <f aca="false">IF(ISNUMBER(G73),TEXT(G73,"0.00"),"")</f>
        <v>0.04</v>
      </c>
      <c r="J73" s="3" t="n">
        <v>25</v>
      </c>
      <c r="K73" s="5" t="str">
        <f aca="false">IF(AND(B73=puntajes_EA!$B$25,E73=puntajes_EA!$C$25,I73=IF(ISNUMBER(puntajes_EA!$H$25),TEXT(puntajes_EA!$H$25,"0.00"),""),H73=IFERROR(puntajes_EA!$I$25,"N/A")),"OK","FALLA")</f>
        <v>OK</v>
      </c>
    </row>
    <row r="74" customFormat="false" ht="26.85" hidden="false" customHeight="false" outlineLevel="0" collapsed="false">
      <c r="A74" s="3" t="s">
        <v>190</v>
      </c>
      <c r="B74" s="3" t="s">
        <v>191</v>
      </c>
      <c r="C74" s="3" t="s">
        <v>242</v>
      </c>
      <c r="D74" s="3" t="s">
        <v>242</v>
      </c>
      <c r="E74" s="3" t="s">
        <v>126</v>
      </c>
      <c r="F74" s="3" t="s">
        <v>6</v>
      </c>
      <c r="G74" s="4" t="n">
        <f aca="false">IFERROR(puntajes_EA!$J$14,"")</f>
        <v>0.368010143291711</v>
      </c>
      <c r="H74" s="5" t="str">
        <f aca="false">IFERROR(puntajes_EA!$K$14,"N/A")</f>
        <v>Satisfactorio</v>
      </c>
      <c r="I74" s="4" t="str">
        <f aca="false">IF(ISNUMBER(G74),TEXT(G74,"0.00"),"")</f>
        <v>0.37</v>
      </c>
      <c r="J74" s="3" t="n">
        <v>14</v>
      </c>
      <c r="K74" s="5" t="str">
        <f aca="false">IF(AND(B74=puntajes_EA!$B$14,E74=puntajes_EA!$C$14,I74=IF(ISNUMBER(puntajes_EA!$J$14),TEXT(puntajes_EA!$J$14,"0.00"),""),H74=IFERROR(puntajes_EA!$K$14,"N/A")),"OK","FALLA")</f>
        <v>OK</v>
      </c>
    </row>
    <row r="75" customFormat="false" ht="26.85" hidden="false" customHeight="false" outlineLevel="0" collapsed="false">
      <c r="A75" s="3" t="s">
        <v>190</v>
      </c>
      <c r="B75" s="3" t="s">
        <v>191</v>
      </c>
      <c r="C75" s="3" t="s">
        <v>242</v>
      </c>
      <c r="D75" s="3" t="s">
        <v>242</v>
      </c>
      <c r="E75" s="3" t="s">
        <v>127</v>
      </c>
      <c r="F75" s="3" t="s">
        <v>6</v>
      </c>
      <c r="G75" s="4" t="n">
        <f aca="false">IFERROR(puntajes_EA!$J$15,"")</f>
        <v>-0.160529763910465</v>
      </c>
      <c r="H75" s="5" t="str">
        <f aca="false">IFERROR(puntajes_EA!$K$15,"N/A")</f>
        <v>Satisfactorio</v>
      </c>
      <c r="I75" s="4" t="str">
        <f aca="false">IF(ISNUMBER(G75),TEXT(G75,"0.00"),"")</f>
        <v>-0.16</v>
      </c>
      <c r="J75" s="3" t="n">
        <v>15</v>
      </c>
      <c r="K75" s="5" t="str">
        <f aca="false">IF(AND(B75=puntajes_EA!$B$15,E75=puntajes_EA!$C$15,I75=IF(ISNUMBER(puntajes_EA!$J$15),TEXT(puntajes_EA!$J$15,"0.00"),""),H75=IFERROR(puntajes_EA!$K$15,"N/A")),"OK","FALLA")</f>
        <v>OK</v>
      </c>
    </row>
    <row r="76" customFormat="false" ht="26.85" hidden="false" customHeight="false" outlineLevel="0" collapsed="false">
      <c r="A76" s="3" t="s">
        <v>190</v>
      </c>
      <c r="B76" s="3" t="s">
        <v>191</v>
      </c>
      <c r="C76" s="3" t="s">
        <v>242</v>
      </c>
      <c r="D76" s="3" t="s">
        <v>242</v>
      </c>
      <c r="E76" s="3" t="s">
        <v>128</v>
      </c>
      <c r="F76" s="3" t="s">
        <v>6</v>
      </c>
      <c r="G76" s="4" t="n">
        <f aca="false">IFERROR(puntajes_EA!$J$16,"")</f>
        <v>0.996198331933338</v>
      </c>
      <c r="H76" s="5" t="str">
        <f aca="false">IFERROR(puntajes_EA!$K$16,"N/A")</f>
        <v>Satisfactorio</v>
      </c>
      <c r="I76" s="4" t="str">
        <f aca="false">IF(ISNUMBER(G76),TEXT(G76,"0.00"),"")</f>
        <v>1.00</v>
      </c>
      <c r="J76" s="3" t="n">
        <v>16</v>
      </c>
      <c r="K76" s="5" t="str">
        <f aca="false">IF(AND(B76=puntajes_EA!$B$16,E76=puntajes_EA!$C$16,I76=IF(ISNUMBER(puntajes_EA!$J$16),TEXT(puntajes_EA!$J$16,"0.00"),""),H76=IFERROR(puntajes_EA!$K$16,"N/A")),"OK","FALLA")</f>
        <v>OK</v>
      </c>
    </row>
    <row r="77" customFormat="false" ht="26.85" hidden="false" customHeight="false" outlineLevel="0" collapsed="false">
      <c r="A77" s="3" t="s">
        <v>190</v>
      </c>
      <c r="B77" s="3" t="s">
        <v>191</v>
      </c>
      <c r="C77" s="3" t="s">
        <v>242</v>
      </c>
      <c r="D77" s="3" t="s">
        <v>242</v>
      </c>
      <c r="E77" s="3" t="s">
        <v>129</v>
      </c>
      <c r="F77" s="3" t="s">
        <v>6</v>
      </c>
      <c r="G77" s="4" t="n">
        <f aca="false">IFERROR(puntajes_EA!$J$17,"")</f>
        <v>0.329731853487769</v>
      </c>
      <c r="H77" s="5" t="str">
        <f aca="false">IFERROR(puntajes_EA!$K$17,"N/A")</f>
        <v>Satisfactorio</v>
      </c>
      <c r="I77" s="4" t="str">
        <f aca="false">IF(ISNUMBER(G77),TEXT(G77,"0.00"),"")</f>
        <v>0.33</v>
      </c>
      <c r="J77" s="3" t="n">
        <v>17</v>
      </c>
      <c r="K77" s="5" t="str">
        <f aca="false">IF(AND(B77=puntajes_EA!$B$17,E77=puntajes_EA!$C$17,I77=IF(ISNUMBER(puntajes_EA!$J$17),TEXT(puntajes_EA!$J$17,"0.00"),""),H77=IFERROR(puntajes_EA!$K$17,"N/A")),"OK","FALLA")</f>
        <v>OK</v>
      </c>
    </row>
    <row r="78" customFormat="false" ht="26.85" hidden="false" customHeight="false" outlineLevel="0" collapsed="false">
      <c r="A78" s="3" t="s">
        <v>190</v>
      </c>
      <c r="B78" s="3" t="s">
        <v>191</v>
      </c>
      <c r="C78" s="3" t="s">
        <v>242</v>
      </c>
      <c r="D78" s="3" t="s">
        <v>242</v>
      </c>
      <c r="E78" s="3" t="s">
        <v>130</v>
      </c>
      <c r="F78" s="3" t="s">
        <v>6</v>
      </c>
      <c r="G78" s="4" t="n">
        <f aca="false">IFERROR(puntajes_EA!$J$18,"")</f>
        <v>-0.264432815511743</v>
      </c>
      <c r="H78" s="5" t="str">
        <f aca="false">IFERROR(puntajes_EA!$K$18,"N/A")</f>
        <v>Satisfactorio</v>
      </c>
      <c r="I78" s="4" t="str">
        <f aca="false">IF(ISNUMBER(G78),TEXT(G78,"0.00"),"")</f>
        <v>-0.26</v>
      </c>
      <c r="J78" s="3" t="n">
        <v>18</v>
      </c>
      <c r="K78" s="5" t="str">
        <f aca="false">IF(AND(B78=puntajes_EA!$B$18,E78=puntajes_EA!$C$18,I78=IF(ISNUMBER(puntajes_EA!$J$18),TEXT(puntajes_EA!$J$18,"0.00"),""),H78=IFERROR(puntajes_EA!$K$18,"N/A")),"OK","FALLA")</f>
        <v>OK</v>
      </c>
    </row>
    <row r="79" customFormat="false" ht="26.85" hidden="false" customHeight="false" outlineLevel="0" collapsed="false">
      <c r="A79" s="3" t="s">
        <v>190</v>
      </c>
      <c r="B79" s="3" t="s">
        <v>191</v>
      </c>
      <c r="C79" s="3" t="s">
        <v>242</v>
      </c>
      <c r="D79" s="3" t="s">
        <v>242</v>
      </c>
      <c r="E79" s="3" t="s">
        <v>131</v>
      </c>
      <c r="F79" s="3" t="s">
        <v>6</v>
      </c>
      <c r="G79" s="4" t="n">
        <f aca="false">IFERROR(puntajes_EA!$J$19,"")</f>
        <v>-0.125289967809988</v>
      </c>
      <c r="H79" s="5" t="str">
        <f aca="false">IFERROR(puntajes_EA!$K$19,"N/A")</f>
        <v>Satisfactorio</v>
      </c>
      <c r="I79" s="4" t="str">
        <f aca="false">IF(ISNUMBER(G79),TEXT(G79,"0.00"),"")</f>
        <v>-0.13</v>
      </c>
      <c r="J79" s="3" t="n">
        <v>19</v>
      </c>
      <c r="K79" s="5" t="str">
        <f aca="false">IF(AND(B79=puntajes_EA!$B$19,E79=puntajes_EA!$C$19,I79=IF(ISNUMBER(puntajes_EA!$J$19),TEXT(puntajes_EA!$J$19,"0.00"),""),H79=IFERROR(puntajes_EA!$K$19,"N/A")),"OK","FALLA")</f>
        <v>OK</v>
      </c>
    </row>
    <row r="80" customFormat="false" ht="26.85" hidden="false" customHeight="false" outlineLevel="0" collapsed="false">
      <c r="A80" s="3" t="s">
        <v>190</v>
      </c>
      <c r="B80" s="3" t="s">
        <v>191</v>
      </c>
      <c r="C80" s="3" t="s">
        <v>242</v>
      </c>
      <c r="D80" s="3" t="s">
        <v>242</v>
      </c>
      <c r="E80" s="3" t="s">
        <v>132</v>
      </c>
      <c r="F80" s="3" t="s">
        <v>6</v>
      </c>
      <c r="G80" s="4" t="n">
        <f aca="false">IFERROR(puntajes_EA!$J$20,"")</f>
        <v>0.719284845138089</v>
      </c>
      <c r="H80" s="5" t="str">
        <f aca="false">IFERROR(puntajes_EA!$K$20,"N/A")</f>
        <v>Satisfactorio</v>
      </c>
      <c r="I80" s="4" t="str">
        <f aca="false">IF(ISNUMBER(G80),TEXT(G80,"0.00"),"")</f>
        <v>0.72</v>
      </c>
      <c r="J80" s="3" t="n">
        <v>20</v>
      </c>
      <c r="K80" s="5" t="str">
        <f aca="false">IF(AND(B80=puntajes_EA!$B$20,E80=puntajes_EA!$C$20,I80=IF(ISNUMBER(puntajes_EA!$J$20),TEXT(puntajes_EA!$J$20,"0.00"),""),H80=IFERROR(puntajes_EA!$K$20,"N/A")),"OK","FALLA")</f>
        <v>OK</v>
      </c>
    </row>
    <row r="81" customFormat="false" ht="26.85" hidden="false" customHeight="false" outlineLevel="0" collapsed="false">
      <c r="A81" s="3" t="s">
        <v>190</v>
      </c>
      <c r="B81" s="3" t="s">
        <v>191</v>
      </c>
      <c r="C81" s="3" t="s">
        <v>242</v>
      </c>
      <c r="D81" s="3" t="s">
        <v>242</v>
      </c>
      <c r="E81" s="3" t="s">
        <v>133</v>
      </c>
      <c r="F81" s="3" t="s">
        <v>6</v>
      </c>
      <c r="G81" s="4" t="n">
        <f aca="false">IFERROR(puntajes_EA!$J$21,"")</f>
        <v>-0.128477733773758</v>
      </c>
      <c r="H81" s="5" t="str">
        <f aca="false">IFERROR(puntajes_EA!$K$21,"N/A")</f>
        <v>Satisfactorio</v>
      </c>
      <c r="I81" s="4" t="str">
        <f aca="false">IF(ISNUMBER(G81),TEXT(G81,"0.00"),"")</f>
        <v>-0.13</v>
      </c>
      <c r="J81" s="3" t="n">
        <v>21</v>
      </c>
      <c r="K81" s="5" t="str">
        <f aca="false">IF(AND(B81=puntajes_EA!$B$21,E81=puntajes_EA!$C$21,I81=IF(ISNUMBER(puntajes_EA!$J$21),TEXT(puntajes_EA!$J$21,"0.00"),""),H81=IFERROR(puntajes_EA!$K$21,"N/A")),"OK","FALLA")</f>
        <v>OK</v>
      </c>
    </row>
    <row r="82" customFormat="false" ht="26.85" hidden="false" customHeight="false" outlineLevel="0" collapsed="false">
      <c r="A82" s="3" t="s">
        <v>190</v>
      </c>
      <c r="B82" s="3" t="s">
        <v>191</v>
      </c>
      <c r="C82" s="3" t="s">
        <v>242</v>
      </c>
      <c r="D82" s="3" t="s">
        <v>242</v>
      </c>
      <c r="E82" s="3" t="s">
        <v>134</v>
      </c>
      <c r="F82" s="3" t="s">
        <v>6</v>
      </c>
      <c r="G82" s="4" t="n">
        <f aca="false">IFERROR(puntajes_EA!$J$22,"")</f>
        <v>-0.0390352964154189</v>
      </c>
      <c r="H82" s="5" t="str">
        <f aca="false">IFERROR(puntajes_EA!$K$22,"N/A")</f>
        <v>Satisfactorio</v>
      </c>
      <c r="I82" s="4" t="str">
        <f aca="false">IF(ISNUMBER(G82),TEXT(G82,"0.00"),"")</f>
        <v>-0.04</v>
      </c>
      <c r="J82" s="3" t="n">
        <v>22</v>
      </c>
      <c r="K82" s="5" t="str">
        <f aca="false">IF(AND(B82=puntajes_EA!$B$22,E82=puntajes_EA!$C$22,I82=IF(ISNUMBER(puntajes_EA!$J$22),TEXT(puntajes_EA!$J$22,"0.00"),""),H82=IFERROR(puntajes_EA!$K$22,"N/A")),"OK","FALLA")</f>
        <v>OK</v>
      </c>
    </row>
    <row r="83" customFormat="false" ht="26.85" hidden="false" customHeight="false" outlineLevel="0" collapsed="false">
      <c r="A83" s="3" t="s">
        <v>190</v>
      </c>
      <c r="B83" s="3" t="s">
        <v>191</v>
      </c>
      <c r="C83" s="3" t="s">
        <v>242</v>
      </c>
      <c r="D83" s="3" t="s">
        <v>242</v>
      </c>
      <c r="E83" s="3" t="s">
        <v>135</v>
      </c>
      <c r="F83" s="3" t="s">
        <v>6</v>
      </c>
      <c r="G83" s="4" t="n">
        <f aca="false">IFERROR(puntajes_EA!$J$23,"")</f>
        <v>0.0583353972726264</v>
      </c>
      <c r="H83" s="5" t="str">
        <f aca="false">IFERROR(puntajes_EA!$K$23,"N/A")</f>
        <v>Satisfactorio</v>
      </c>
      <c r="I83" s="4" t="str">
        <f aca="false">IF(ISNUMBER(G83),TEXT(G83,"0.00"),"")</f>
        <v>0.06</v>
      </c>
      <c r="J83" s="3" t="n">
        <v>23</v>
      </c>
      <c r="K83" s="5" t="str">
        <f aca="false">IF(AND(B83=puntajes_EA!$B$23,E83=puntajes_EA!$C$23,I83=IF(ISNUMBER(puntajes_EA!$J$23),TEXT(puntajes_EA!$J$23,"0.00"),""),H83=IFERROR(puntajes_EA!$K$23,"N/A")),"OK","FALLA")</f>
        <v>OK</v>
      </c>
    </row>
    <row r="84" customFormat="false" ht="26.85" hidden="false" customHeight="false" outlineLevel="0" collapsed="false">
      <c r="A84" s="3" t="s">
        <v>190</v>
      </c>
      <c r="B84" s="3" t="s">
        <v>191</v>
      </c>
      <c r="C84" s="3" t="s">
        <v>242</v>
      </c>
      <c r="D84" s="3" t="s">
        <v>242</v>
      </c>
      <c r="E84" s="3" t="s">
        <v>136</v>
      </c>
      <c r="F84" s="3" t="s">
        <v>6</v>
      </c>
      <c r="G84" s="4" t="n">
        <f aca="false">IFERROR(puntajes_EA!$J$24,"")</f>
        <v>-0.147212865452356</v>
      </c>
      <c r="H84" s="5" t="str">
        <f aca="false">IFERROR(puntajes_EA!$K$24,"N/A")</f>
        <v>Satisfactorio</v>
      </c>
      <c r="I84" s="4" t="str">
        <f aca="false">IF(ISNUMBER(G84),TEXT(G84,"0.00"),"")</f>
        <v>-0.15</v>
      </c>
      <c r="J84" s="3" t="n">
        <v>24</v>
      </c>
      <c r="K84" s="5" t="str">
        <f aca="false">IF(AND(B84=puntajes_EA!$B$24,E84=puntajes_EA!$C$24,I84=IF(ISNUMBER(puntajes_EA!$J$24),TEXT(puntajes_EA!$J$24,"0.00"),""),H84=IFERROR(puntajes_EA!$K$24,"N/A")),"OK","FALLA")</f>
        <v>OK</v>
      </c>
    </row>
    <row r="85" customFormat="false" ht="26.85" hidden="false" customHeight="false" outlineLevel="0" collapsed="false">
      <c r="A85" s="3" t="s">
        <v>190</v>
      </c>
      <c r="B85" s="3" t="s">
        <v>191</v>
      </c>
      <c r="C85" s="3" t="s">
        <v>242</v>
      </c>
      <c r="D85" s="3" t="s">
        <v>242</v>
      </c>
      <c r="E85" s="3" t="s">
        <v>137</v>
      </c>
      <c r="F85" s="3" t="s">
        <v>6</v>
      </c>
      <c r="G85" s="4" t="n">
        <f aca="false">IFERROR(puntajes_EA!$J$25,"")</f>
        <v>0.0409772462527103</v>
      </c>
      <c r="H85" s="5" t="str">
        <f aca="false">IFERROR(puntajes_EA!$K$25,"N/A")</f>
        <v>Satisfactorio</v>
      </c>
      <c r="I85" s="4" t="str">
        <f aca="false">IF(ISNUMBER(G85),TEXT(G85,"0.00"),"")</f>
        <v>0.04</v>
      </c>
      <c r="J85" s="3" t="n">
        <v>25</v>
      </c>
      <c r="K85" s="5" t="str">
        <f aca="false">IF(AND(B85=puntajes_EA!$B$25,E85=puntajes_EA!$C$25,I85=IF(ISNUMBER(puntajes_EA!$J$25),TEXT(puntajes_EA!$J$25,"0.00"),""),H85=IFERROR(puntajes_EA!$K$25,"N/A")),"OK","FALLA")</f>
        <v>OK</v>
      </c>
    </row>
    <row r="86" customFormat="false" ht="26.85" hidden="false" customHeight="false" outlineLevel="0" collapsed="false">
      <c r="A86" s="3" t="s">
        <v>190</v>
      </c>
      <c r="B86" s="3" t="s">
        <v>191</v>
      </c>
      <c r="C86" s="3" t="s">
        <v>243</v>
      </c>
      <c r="D86" s="3" t="s">
        <v>243</v>
      </c>
      <c r="E86" s="3" t="s">
        <v>126</v>
      </c>
      <c r="F86" s="3" t="s">
        <v>6</v>
      </c>
      <c r="G86" s="4" t="n">
        <f aca="false">IFERROR(puntajes_EA!$L$14,"")</f>
        <v>0.184005071645855</v>
      </c>
      <c r="H86" s="5" t="str">
        <f aca="false">IFERROR(puntajes_EA!$M$14,"N/A")</f>
        <v>Satisfactorio</v>
      </c>
      <c r="I86" s="4" t="str">
        <f aca="false">IF(ISNUMBER(G86),TEXT(G86,"0.00"),"")</f>
        <v>0.18</v>
      </c>
      <c r="J86" s="3" t="n">
        <v>14</v>
      </c>
      <c r="K86" s="5" t="str">
        <f aca="false">IF(AND(B86=puntajes_EA!$B$14,E86=puntajes_EA!$C$14,I86=IF(ISNUMBER(puntajes_EA!$L$14),TEXT(puntajes_EA!$L$14,"0.00"),""),H86=IFERROR(puntajes_EA!$M$14,"N/A")),"OK","FALLA")</f>
        <v>OK</v>
      </c>
    </row>
    <row r="87" customFormat="false" ht="26.85" hidden="false" customHeight="false" outlineLevel="0" collapsed="false">
      <c r="A87" s="3" t="s">
        <v>190</v>
      </c>
      <c r="B87" s="3" t="s">
        <v>191</v>
      </c>
      <c r="C87" s="3" t="s">
        <v>243</v>
      </c>
      <c r="D87" s="3" t="s">
        <v>243</v>
      </c>
      <c r="E87" s="3" t="s">
        <v>127</v>
      </c>
      <c r="F87" s="3" t="s">
        <v>6</v>
      </c>
      <c r="G87" s="4" t="n">
        <f aca="false">IFERROR(puntajes_EA!$L$15,"")</f>
        <v>-0.0802648819552325</v>
      </c>
      <c r="H87" s="5" t="str">
        <f aca="false">IFERROR(puntajes_EA!$M$15,"N/A")</f>
        <v>Satisfactorio</v>
      </c>
      <c r="I87" s="4" t="str">
        <f aca="false">IF(ISNUMBER(G87),TEXT(G87,"0.00"),"")</f>
        <v>-0.08</v>
      </c>
      <c r="J87" s="3" t="n">
        <v>15</v>
      </c>
      <c r="K87" s="5" t="str">
        <f aca="false">IF(AND(B87=puntajes_EA!$B$15,E87=puntajes_EA!$C$15,I87=IF(ISNUMBER(puntajes_EA!$L$15),TEXT(puntajes_EA!$L$15,"0.00"),""),H87=IFERROR(puntajes_EA!$M$15,"N/A")),"OK","FALLA")</f>
        <v>OK</v>
      </c>
    </row>
    <row r="88" customFormat="false" ht="26.85" hidden="false" customHeight="false" outlineLevel="0" collapsed="false">
      <c r="A88" s="3" t="s">
        <v>190</v>
      </c>
      <c r="B88" s="3" t="s">
        <v>191</v>
      </c>
      <c r="C88" s="3" t="s">
        <v>243</v>
      </c>
      <c r="D88" s="3" t="s">
        <v>243</v>
      </c>
      <c r="E88" s="3" t="s">
        <v>128</v>
      </c>
      <c r="F88" s="3" t="s">
        <v>6</v>
      </c>
      <c r="G88" s="4" t="n">
        <f aca="false">IFERROR(puntajes_EA!$L$16,"")</f>
        <v>0.498099165966669</v>
      </c>
      <c r="H88" s="5" t="str">
        <f aca="false">IFERROR(puntajes_EA!$M$16,"N/A")</f>
        <v>Satisfactorio</v>
      </c>
      <c r="I88" s="4" t="str">
        <f aca="false">IF(ISNUMBER(G88),TEXT(G88,"0.00"),"")</f>
        <v>0.50</v>
      </c>
      <c r="J88" s="3" t="n">
        <v>16</v>
      </c>
      <c r="K88" s="5" t="str">
        <f aca="false">IF(AND(B88=puntajes_EA!$B$16,E88=puntajes_EA!$C$16,I88=IF(ISNUMBER(puntajes_EA!$L$16),TEXT(puntajes_EA!$L$16,"0.00"),""),H88=IFERROR(puntajes_EA!$M$16,"N/A")),"OK","FALLA")</f>
        <v>OK</v>
      </c>
    </row>
    <row r="89" customFormat="false" ht="26.85" hidden="false" customHeight="false" outlineLevel="0" collapsed="false">
      <c r="A89" s="3" t="s">
        <v>190</v>
      </c>
      <c r="B89" s="3" t="s">
        <v>191</v>
      </c>
      <c r="C89" s="3" t="s">
        <v>243</v>
      </c>
      <c r="D89" s="3" t="s">
        <v>243</v>
      </c>
      <c r="E89" s="3" t="s">
        <v>129</v>
      </c>
      <c r="F89" s="3" t="s">
        <v>6</v>
      </c>
      <c r="G89" s="4" t="n">
        <f aca="false">IFERROR(puntajes_EA!$L$17,"")</f>
        <v>0.164865926743885</v>
      </c>
      <c r="H89" s="5" t="str">
        <f aca="false">IFERROR(puntajes_EA!$M$17,"N/A")</f>
        <v>Satisfactorio</v>
      </c>
      <c r="I89" s="4" t="str">
        <f aca="false">IF(ISNUMBER(G89),TEXT(G89,"0.00"),"")</f>
        <v>0.16</v>
      </c>
      <c r="J89" s="3" t="n">
        <v>17</v>
      </c>
      <c r="K89" s="5" t="str">
        <f aca="false">IF(AND(B89=puntajes_EA!$B$17,E89=puntajes_EA!$C$17,I89=IF(ISNUMBER(puntajes_EA!$L$17),TEXT(puntajes_EA!$L$17,"0.00"),""),H89=IFERROR(puntajes_EA!$M$17,"N/A")),"OK","FALLA")</f>
        <v>OK</v>
      </c>
    </row>
    <row r="90" customFormat="false" ht="26.85" hidden="false" customHeight="false" outlineLevel="0" collapsed="false">
      <c r="A90" s="3" t="s">
        <v>190</v>
      </c>
      <c r="B90" s="3" t="s">
        <v>191</v>
      </c>
      <c r="C90" s="3" t="s">
        <v>243</v>
      </c>
      <c r="D90" s="3" t="s">
        <v>243</v>
      </c>
      <c r="E90" s="3" t="s">
        <v>130</v>
      </c>
      <c r="F90" s="3" t="s">
        <v>6</v>
      </c>
      <c r="G90" s="4" t="n">
        <f aca="false">IFERROR(puntajes_EA!$L$18,"")</f>
        <v>-0.132216407755872</v>
      </c>
      <c r="H90" s="5" t="str">
        <f aca="false">IFERROR(puntajes_EA!$M$18,"N/A")</f>
        <v>Satisfactorio</v>
      </c>
      <c r="I90" s="4" t="str">
        <f aca="false">IF(ISNUMBER(G90),TEXT(G90,"0.00"),"")</f>
        <v>-0.13</v>
      </c>
      <c r="J90" s="3" t="n">
        <v>18</v>
      </c>
      <c r="K90" s="5" t="str">
        <f aca="false">IF(AND(B90=puntajes_EA!$B$18,E90=puntajes_EA!$C$18,I90=IF(ISNUMBER(puntajes_EA!$L$18),TEXT(puntajes_EA!$L$18,"0.00"),""),H90=IFERROR(puntajes_EA!$M$18,"N/A")),"OK","FALLA")</f>
        <v>OK</v>
      </c>
    </row>
    <row r="91" customFormat="false" ht="26.85" hidden="false" customHeight="false" outlineLevel="0" collapsed="false">
      <c r="A91" s="3" t="s">
        <v>190</v>
      </c>
      <c r="B91" s="3" t="s">
        <v>191</v>
      </c>
      <c r="C91" s="3" t="s">
        <v>243</v>
      </c>
      <c r="D91" s="3" t="s">
        <v>243</v>
      </c>
      <c r="E91" s="3" t="s">
        <v>131</v>
      </c>
      <c r="F91" s="3" t="s">
        <v>6</v>
      </c>
      <c r="G91" s="4" t="n">
        <f aca="false">IFERROR(puntajes_EA!$L$19,"")</f>
        <v>-0.062644983904994</v>
      </c>
      <c r="H91" s="5" t="str">
        <f aca="false">IFERROR(puntajes_EA!$M$19,"N/A")</f>
        <v>Satisfactorio</v>
      </c>
      <c r="I91" s="4" t="str">
        <f aca="false">IF(ISNUMBER(G91),TEXT(G91,"0.00"),"")</f>
        <v>-0.06</v>
      </c>
      <c r="J91" s="3" t="n">
        <v>19</v>
      </c>
      <c r="K91" s="5" t="str">
        <f aca="false">IF(AND(B91=puntajes_EA!$B$19,E91=puntajes_EA!$C$19,I91=IF(ISNUMBER(puntajes_EA!$L$19),TEXT(puntajes_EA!$L$19,"0.00"),""),H91=IFERROR(puntajes_EA!$M$19,"N/A")),"OK","FALLA")</f>
        <v>OK</v>
      </c>
    </row>
    <row r="92" customFormat="false" ht="26.85" hidden="false" customHeight="false" outlineLevel="0" collapsed="false">
      <c r="A92" s="3" t="s">
        <v>190</v>
      </c>
      <c r="B92" s="3" t="s">
        <v>191</v>
      </c>
      <c r="C92" s="3" t="s">
        <v>243</v>
      </c>
      <c r="D92" s="3" t="s">
        <v>243</v>
      </c>
      <c r="E92" s="3" t="s">
        <v>132</v>
      </c>
      <c r="F92" s="3" t="s">
        <v>6</v>
      </c>
      <c r="G92" s="4" t="n">
        <f aca="false">IFERROR(puntajes_EA!$L$20,"")</f>
        <v>0.359642422569044</v>
      </c>
      <c r="H92" s="5" t="str">
        <f aca="false">IFERROR(puntajes_EA!$M$20,"N/A")</f>
        <v>Satisfactorio</v>
      </c>
      <c r="I92" s="4" t="str">
        <f aca="false">IF(ISNUMBER(G92),TEXT(G92,"0.00"),"")</f>
        <v>0.36</v>
      </c>
      <c r="J92" s="3" t="n">
        <v>20</v>
      </c>
      <c r="K92" s="5" t="str">
        <f aca="false">IF(AND(B92=puntajes_EA!$B$20,E92=puntajes_EA!$C$20,I92=IF(ISNUMBER(puntajes_EA!$L$20),TEXT(puntajes_EA!$L$20,"0.00"),""),H92=IFERROR(puntajes_EA!$M$20,"N/A")),"OK","FALLA")</f>
        <v>OK</v>
      </c>
    </row>
    <row r="93" customFormat="false" ht="26.85" hidden="false" customHeight="false" outlineLevel="0" collapsed="false">
      <c r="A93" s="3" t="s">
        <v>190</v>
      </c>
      <c r="B93" s="3" t="s">
        <v>191</v>
      </c>
      <c r="C93" s="3" t="s">
        <v>243</v>
      </c>
      <c r="D93" s="3" t="s">
        <v>243</v>
      </c>
      <c r="E93" s="3" t="s">
        <v>133</v>
      </c>
      <c r="F93" s="3" t="s">
        <v>6</v>
      </c>
      <c r="G93" s="4" t="n">
        <f aca="false">IFERROR(puntajes_EA!$L$21,"")</f>
        <v>-0.0642388668868791</v>
      </c>
      <c r="H93" s="5" t="str">
        <f aca="false">IFERROR(puntajes_EA!$M$21,"N/A")</f>
        <v>Satisfactorio</v>
      </c>
      <c r="I93" s="4" t="str">
        <f aca="false">IF(ISNUMBER(G93),TEXT(G93,"0.00"),"")</f>
        <v>-0.06</v>
      </c>
      <c r="J93" s="3" t="n">
        <v>21</v>
      </c>
      <c r="K93" s="5" t="str">
        <f aca="false">IF(AND(B93=puntajes_EA!$B$21,E93=puntajes_EA!$C$21,I93=IF(ISNUMBER(puntajes_EA!$L$21),TEXT(puntajes_EA!$L$21,"0.00"),""),H93=IFERROR(puntajes_EA!$M$21,"N/A")),"OK","FALLA")</f>
        <v>OK</v>
      </c>
    </row>
    <row r="94" customFormat="false" ht="26.85" hidden="false" customHeight="false" outlineLevel="0" collapsed="false">
      <c r="A94" s="3" t="s">
        <v>190</v>
      </c>
      <c r="B94" s="3" t="s">
        <v>191</v>
      </c>
      <c r="C94" s="3" t="s">
        <v>243</v>
      </c>
      <c r="D94" s="3" t="s">
        <v>243</v>
      </c>
      <c r="E94" s="3" t="s">
        <v>134</v>
      </c>
      <c r="F94" s="3" t="s">
        <v>6</v>
      </c>
      <c r="G94" s="4" t="n">
        <f aca="false">IFERROR(puntajes_EA!$L$22,"")</f>
        <v>-0.0195176482077095</v>
      </c>
      <c r="H94" s="5" t="str">
        <f aca="false">IFERROR(puntajes_EA!$M$22,"N/A")</f>
        <v>Satisfactorio</v>
      </c>
      <c r="I94" s="4" t="str">
        <f aca="false">IF(ISNUMBER(G94),TEXT(G94,"0.00"),"")</f>
        <v>-0.02</v>
      </c>
      <c r="J94" s="3" t="n">
        <v>22</v>
      </c>
      <c r="K94" s="5" t="str">
        <f aca="false">IF(AND(B94=puntajes_EA!$B$22,E94=puntajes_EA!$C$22,I94=IF(ISNUMBER(puntajes_EA!$L$22),TEXT(puntajes_EA!$L$22,"0.00"),""),H94=IFERROR(puntajes_EA!$M$22,"N/A")),"OK","FALLA")</f>
        <v>OK</v>
      </c>
    </row>
    <row r="95" customFormat="false" ht="26.85" hidden="false" customHeight="false" outlineLevel="0" collapsed="false">
      <c r="A95" s="3" t="s">
        <v>190</v>
      </c>
      <c r="B95" s="3" t="s">
        <v>191</v>
      </c>
      <c r="C95" s="3" t="s">
        <v>243</v>
      </c>
      <c r="D95" s="3" t="s">
        <v>243</v>
      </c>
      <c r="E95" s="3" t="s">
        <v>135</v>
      </c>
      <c r="F95" s="3" t="s">
        <v>6</v>
      </c>
      <c r="G95" s="4" t="n">
        <f aca="false">IFERROR(puntajes_EA!$L$23,"")</f>
        <v>0.0291676986363132</v>
      </c>
      <c r="H95" s="5" t="str">
        <f aca="false">IFERROR(puntajes_EA!$M$23,"N/A")</f>
        <v>Satisfactorio</v>
      </c>
      <c r="I95" s="4" t="str">
        <f aca="false">IF(ISNUMBER(G95),TEXT(G95,"0.00"),"")</f>
        <v>0.03</v>
      </c>
      <c r="J95" s="3" t="n">
        <v>23</v>
      </c>
      <c r="K95" s="5" t="str">
        <f aca="false">IF(AND(B95=puntajes_EA!$B$23,E95=puntajes_EA!$C$23,I95=IF(ISNUMBER(puntajes_EA!$L$23),TEXT(puntajes_EA!$L$23,"0.00"),""),H95=IFERROR(puntajes_EA!$M$23,"N/A")),"OK","FALLA")</f>
        <v>OK</v>
      </c>
    </row>
    <row r="96" customFormat="false" ht="26.85" hidden="false" customHeight="false" outlineLevel="0" collapsed="false">
      <c r="A96" s="3" t="s">
        <v>190</v>
      </c>
      <c r="B96" s="3" t="s">
        <v>191</v>
      </c>
      <c r="C96" s="3" t="s">
        <v>243</v>
      </c>
      <c r="D96" s="3" t="s">
        <v>243</v>
      </c>
      <c r="E96" s="3" t="s">
        <v>136</v>
      </c>
      <c r="F96" s="3" t="s">
        <v>6</v>
      </c>
      <c r="G96" s="4" t="n">
        <f aca="false">IFERROR(puntajes_EA!$L$24,"")</f>
        <v>-0.0736064327261779</v>
      </c>
      <c r="H96" s="5" t="str">
        <f aca="false">IFERROR(puntajes_EA!$M$24,"N/A")</f>
        <v>Satisfactorio</v>
      </c>
      <c r="I96" s="4" t="str">
        <f aca="false">IF(ISNUMBER(G96),TEXT(G96,"0.00"),"")</f>
        <v>-0.07</v>
      </c>
      <c r="J96" s="3" t="n">
        <v>24</v>
      </c>
      <c r="K96" s="5" t="str">
        <f aca="false">IF(AND(B96=puntajes_EA!$B$24,E96=puntajes_EA!$C$24,I96=IF(ISNUMBER(puntajes_EA!$L$24),TEXT(puntajes_EA!$L$24,"0.00"),""),H96=IFERROR(puntajes_EA!$M$24,"N/A")),"OK","FALLA")</f>
        <v>OK</v>
      </c>
    </row>
    <row r="97" customFormat="false" ht="26.85" hidden="false" customHeight="false" outlineLevel="0" collapsed="false">
      <c r="A97" s="3" t="s">
        <v>190</v>
      </c>
      <c r="B97" s="3" t="s">
        <v>191</v>
      </c>
      <c r="C97" s="3" t="s">
        <v>243</v>
      </c>
      <c r="D97" s="3" t="s">
        <v>243</v>
      </c>
      <c r="E97" s="3" t="s">
        <v>137</v>
      </c>
      <c r="F97" s="3" t="s">
        <v>6</v>
      </c>
      <c r="G97" s="4" t="n">
        <f aca="false">IFERROR(puntajes_EA!$L$25,"")</f>
        <v>0.0204886231263552</v>
      </c>
      <c r="H97" s="5" t="str">
        <f aca="false">IFERROR(puntajes_EA!$M$25,"N/A")</f>
        <v>Satisfactorio</v>
      </c>
      <c r="I97" s="4" t="str">
        <f aca="false">IF(ISNUMBER(G97),TEXT(G97,"0.00"),"")</f>
        <v>0.02</v>
      </c>
      <c r="J97" s="3" t="n">
        <v>25</v>
      </c>
      <c r="K97" s="5" t="str">
        <f aca="false">IF(AND(B97=puntajes_EA!$B$25,E97=puntajes_EA!$C$25,I97=IF(ISNUMBER(puntajes_EA!$L$25),TEXT(puntajes_EA!$L$25,"0.00"),""),H97=IFERROR(puntajes_EA!$M$25,"N/A")),"OK","FALLA")</f>
        <v>OK</v>
      </c>
    </row>
    <row r="98" customFormat="false" ht="26.85" hidden="false" customHeight="false" outlineLevel="0" collapsed="false">
      <c r="A98" s="3" t="s">
        <v>192</v>
      </c>
      <c r="B98" s="3" t="s">
        <v>193</v>
      </c>
      <c r="C98" s="3" t="s">
        <v>240</v>
      </c>
      <c r="D98" s="3" t="s">
        <v>240</v>
      </c>
      <c r="E98" s="3" t="s">
        <v>126</v>
      </c>
      <c r="F98" s="3" t="s">
        <v>6</v>
      </c>
      <c r="G98" s="4" t="n">
        <f aca="false">IFERROR(puntajes_EA!$F$26,"")</f>
        <v>1.05399875148948</v>
      </c>
      <c r="H98" s="5" t="str">
        <f aca="false">IFERROR(puntajes_EA!$G$26,"N/A")</f>
        <v>Satisfactorio</v>
      </c>
      <c r="I98" s="4" t="str">
        <f aca="false">IF(ISNUMBER(G98),TEXT(G98,"0.00"),"")</f>
        <v>1.05</v>
      </c>
      <c r="J98" s="3" t="n">
        <v>26</v>
      </c>
      <c r="K98" s="5" t="str">
        <f aca="false">IF(AND(B98=puntajes_EA!$B$26,E98=puntajes_EA!$C$26,I98=IF(ISNUMBER(puntajes_EA!$F$26),TEXT(puntajes_EA!$F$26,"0.00"),""),H98=IFERROR(puntajes_EA!$G$26,"N/A")),"OK","FALLA")</f>
        <v>OK</v>
      </c>
    </row>
    <row r="99" customFormat="false" ht="26.85" hidden="false" customHeight="false" outlineLevel="0" collapsed="false">
      <c r="A99" s="3" t="s">
        <v>192</v>
      </c>
      <c r="B99" s="3" t="s">
        <v>193</v>
      </c>
      <c r="C99" s="3" t="s">
        <v>240</v>
      </c>
      <c r="D99" s="3" t="s">
        <v>240</v>
      </c>
      <c r="E99" s="3" t="s">
        <v>127</v>
      </c>
      <c r="F99" s="3" t="s">
        <v>6</v>
      </c>
      <c r="G99" s="4" t="n">
        <f aca="false">IFERROR(puntajes_EA!$F$27,"")</f>
        <v>-0.466770875659251</v>
      </c>
      <c r="H99" s="5" t="str">
        <f aca="false">IFERROR(puntajes_EA!$G$27,"N/A")</f>
        <v>Satisfactorio</v>
      </c>
      <c r="I99" s="4" t="str">
        <f aca="false">IF(ISNUMBER(G99),TEXT(G99,"0.00"),"")</f>
        <v>-0.47</v>
      </c>
      <c r="J99" s="3" t="n">
        <v>27</v>
      </c>
      <c r="K99" s="5" t="str">
        <f aca="false">IF(AND(B99=puntajes_EA!$B$27,E99=puntajes_EA!$C$27,I99=IF(ISNUMBER(puntajes_EA!$F$27),TEXT(puntajes_EA!$F$27,"0.00"),""),H99=IFERROR(puntajes_EA!$G$27,"N/A")),"OK","FALLA")</f>
        <v>OK</v>
      </c>
    </row>
    <row r="100" customFormat="false" ht="26.85" hidden="false" customHeight="false" outlineLevel="0" collapsed="false">
      <c r="A100" s="3" t="s">
        <v>192</v>
      </c>
      <c r="B100" s="3" t="s">
        <v>193</v>
      </c>
      <c r="C100" s="3" t="s">
        <v>240</v>
      </c>
      <c r="D100" s="3" t="s">
        <v>240</v>
      </c>
      <c r="E100" s="3" t="s">
        <v>128</v>
      </c>
      <c r="F100" s="3" t="s">
        <v>6</v>
      </c>
      <c r="G100" s="4" t="n">
        <f aca="false">IFERROR(puntajes_EA!$F$28,"")</f>
        <v>2.87727970861264</v>
      </c>
      <c r="H100" s="5" t="str">
        <f aca="false">IFERROR(puntajes_EA!$G$28,"N/A")</f>
        <v>Cuestionable</v>
      </c>
      <c r="I100" s="4" t="str">
        <f aca="false">IF(ISNUMBER(G100),TEXT(G100,"0.00"),"")</f>
        <v>2.88</v>
      </c>
      <c r="J100" s="3" t="n">
        <v>28</v>
      </c>
      <c r="K100" s="5" t="str">
        <f aca="false">IF(AND(B100=puntajes_EA!$B$28,E100=puntajes_EA!$C$28,I100=IF(ISNUMBER(puntajes_EA!$F$28),TEXT(puntajes_EA!$F$28,"0.00"),""),H100=IFERROR(puntajes_EA!$G$28,"N/A")),"OK","FALLA")</f>
        <v>OK</v>
      </c>
    </row>
    <row r="101" customFormat="false" ht="26.85" hidden="false" customHeight="false" outlineLevel="0" collapsed="false">
      <c r="A101" s="3" t="s">
        <v>192</v>
      </c>
      <c r="B101" s="3" t="s">
        <v>193</v>
      </c>
      <c r="C101" s="3" t="s">
        <v>240</v>
      </c>
      <c r="D101" s="3" t="s">
        <v>240</v>
      </c>
      <c r="E101" s="3" t="s">
        <v>129</v>
      </c>
      <c r="F101" s="3" t="s">
        <v>6</v>
      </c>
      <c r="G101" s="4" t="n">
        <f aca="false">IFERROR(puntajes_EA!$F$29,"")</f>
        <v>0.945861217247052</v>
      </c>
      <c r="H101" s="5" t="str">
        <f aca="false">IFERROR(puntajes_EA!$G$29,"N/A")</f>
        <v>Satisfactorio</v>
      </c>
      <c r="I101" s="4" t="str">
        <f aca="false">IF(ISNUMBER(G101),TEXT(G101,"0.00"),"")</f>
        <v>0.95</v>
      </c>
      <c r="J101" s="3" t="n">
        <v>29</v>
      </c>
      <c r="K101" s="5" t="str">
        <f aca="false">IF(AND(B101=puntajes_EA!$B$29,E101=puntajes_EA!$C$29,I101=IF(ISNUMBER(puntajes_EA!$F$29),TEXT(puntajes_EA!$F$29,"0.00"),""),H101=IFERROR(puntajes_EA!$G$29,"N/A")),"OK","FALLA")</f>
        <v>OK</v>
      </c>
    </row>
    <row r="102" customFormat="false" ht="26.85" hidden="false" customHeight="false" outlineLevel="0" collapsed="false">
      <c r="A102" s="3" t="s">
        <v>192</v>
      </c>
      <c r="B102" s="3" t="s">
        <v>193</v>
      </c>
      <c r="C102" s="3" t="s">
        <v>240</v>
      </c>
      <c r="D102" s="3" t="s">
        <v>240</v>
      </c>
      <c r="E102" s="3" t="s">
        <v>130</v>
      </c>
      <c r="F102" s="3" t="s">
        <v>6</v>
      </c>
      <c r="G102" s="4" t="n">
        <f aca="false">IFERROR(puntajes_EA!$F$30,"")</f>
        <v>-0.739167955590517</v>
      </c>
      <c r="H102" s="5" t="str">
        <f aca="false">IFERROR(puntajes_EA!$G$30,"N/A")</f>
        <v>Satisfactorio</v>
      </c>
      <c r="I102" s="4" t="str">
        <f aca="false">IF(ISNUMBER(G102),TEXT(G102,"0.00"),"")</f>
        <v>-0.74</v>
      </c>
      <c r="J102" s="3" t="n">
        <v>30</v>
      </c>
      <c r="K102" s="5" t="str">
        <f aca="false">IF(AND(B102=puntajes_EA!$B$30,E102=puntajes_EA!$C$30,I102=IF(ISNUMBER(puntajes_EA!$F$30),TEXT(puntajes_EA!$F$30,"0.00"),""),H102=IFERROR(puntajes_EA!$G$30,"N/A")),"OK","FALLA")</f>
        <v>OK</v>
      </c>
    </row>
    <row r="103" customFormat="false" ht="26.85" hidden="false" customHeight="false" outlineLevel="0" collapsed="false">
      <c r="A103" s="3" t="s">
        <v>192</v>
      </c>
      <c r="B103" s="3" t="s">
        <v>193</v>
      </c>
      <c r="C103" s="3" t="s">
        <v>240</v>
      </c>
      <c r="D103" s="3" t="s">
        <v>240</v>
      </c>
      <c r="E103" s="3" t="s">
        <v>131</v>
      </c>
      <c r="F103" s="3" t="s">
        <v>6</v>
      </c>
      <c r="G103" s="4" t="n">
        <f aca="false">IFERROR(puntajes_EA!$F$31,"")</f>
        <v>-0.348367119811413</v>
      </c>
      <c r="H103" s="5" t="str">
        <f aca="false">IFERROR(puntajes_EA!$G$31,"N/A")</f>
        <v>Satisfactorio</v>
      </c>
      <c r="I103" s="4" t="str">
        <f aca="false">IF(ISNUMBER(G103),TEXT(G103,"0.00"),"")</f>
        <v>-0.35</v>
      </c>
      <c r="J103" s="3" t="n">
        <v>31</v>
      </c>
      <c r="K103" s="5" t="str">
        <f aca="false">IF(AND(B103=puntajes_EA!$B$31,E103=puntajes_EA!$C$31,I103=IF(ISNUMBER(puntajes_EA!$F$31),TEXT(puntajes_EA!$F$31,"0.00"),""),H103=IFERROR(puntajes_EA!$G$31,"N/A")),"OK","FALLA")</f>
        <v>OK</v>
      </c>
    </row>
    <row r="104" customFormat="false" ht="26.85" hidden="false" customHeight="false" outlineLevel="0" collapsed="false">
      <c r="A104" s="3" t="s">
        <v>192</v>
      </c>
      <c r="B104" s="3" t="s">
        <v>193</v>
      </c>
      <c r="C104" s="3" t="s">
        <v>240</v>
      </c>
      <c r="D104" s="3" t="s">
        <v>240</v>
      </c>
      <c r="E104" s="3" t="s">
        <v>132</v>
      </c>
      <c r="F104" s="3" t="s">
        <v>6</v>
      </c>
      <c r="G104" s="4" t="n">
        <f aca="false">IFERROR(puntajes_EA!$F$32,"")</f>
        <v>2.02997421877975</v>
      </c>
      <c r="H104" s="5" t="str">
        <f aca="false">IFERROR(puntajes_EA!$G$32,"N/A")</f>
        <v>Cuestionable</v>
      </c>
      <c r="I104" s="4" t="str">
        <f aca="false">IF(ISNUMBER(G104),TEXT(G104,"0.00"),"")</f>
        <v>2.03</v>
      </c>
      <c r="J104" s="3" t="n">
        <v>32</v>
      </c>
      <c r="K104" s="5" t="str">
        <f aca="false">IF(AND(B104=puntajes_EA!$B$32,E104=puntajes_EA!$C$32,I104=IF(ISNUMBER(puntajes_EA!$F$32),TEXT(puntajes_EA!$F$32,"0.00"),""),H104=IFERROR(puntajes_EA!$G$32,"N/A")),"OK","FALLA")</f>
        <v>OK</v>
      </c>
    </row>
    <row r="105" customFormat="false" ht="26.85" hidden="false" customHeight="false" outlineLevel="0" collapsed="false">
      <c r="A105" s="3" t="s">
        <v>192</v>
      </c>
      <c r="B105" s="3" t="s">
        <v>193</v>
      </c>
      <c r="C105" s="3" t="s">
        <v>240</v>
      </c>
      <c r="D105" s="3" t="s">
        <v>240</v>
      </c>
      <c r="E105" s="3" t="s">
        <v>133</v>
      </c>
      <c r="F105" s="3" t="s">
        <v>6</v>
      </c>
      <c r="G105" s="4" t="n">
        <f aca="false">IFERROR(puntajes_EA!$F$33,"")</f>
        <v>-0.35726451186875</v>
      </c>
      <c r="H105" s="5" t="str">
        <f aca="false">IFERROR(puntajes_EA!$G$33,"N/A")</f>
        <v>Satisfactorio</v>
      </c>
      <c r="I105" s="4" t="str">
        <f aca="false">IF(ISNUMBER(G105),TEXT(G105,"0.00"),"")</f>
        <v>-0.36</v>
      </c>
      <c r="J105" s="3" t="n">
        <v>33</v>
      </c>
      <c r="K105" s="5" t="str">
        <f aca="false">IF(AND(B105=puntajes_EA!$B$33,E105=puntajes_EA!$C$33,I105=IF(ISNUMBER(puntajes_EA!$F$33),TEXT(puntajes_EA!$F$33,"0.00"),""),H105=IFERROR(puntajes_EA!$G$33,"N/A")),"OK","FALLA")</f>
        <v>OK</v>
      </c>
    </row>
    <row r="106" customFormat="false" ht="26.85" hidden="false" customHeight="false" outlineLevel="0" collapsed="false">
      <c r="A106" s="3" t="s">
        <v>192</v>
      </c>
      <c r="B106" s="3" t="s">
        <v>193</v>
      </c>
      <c r="C106" s="3" t="s">
        <v>240</v>
      </c>
      <c r="D106" s="3" t="s">
        <v>240</v>
      </c>
      <c r="E106" s="3" t="s">
        <v>134</v>
      </c>
      <c r="F106" s="3" t="s">
        <v>6</v>
      </c>
      <c r="G106" s="4" t="n">
        <f aca="false">IFERROR(puntajes_EA!$F$34,"")</f>
        <v>-0.115666096753784</v>
      </c>
      <c r="H106" s="5" t="str">
        <f aca="false">IFERROR(puntajes_EA!$G$34,"N/A")</f>
        <v>Satisfactorio</v>
      </c>
      <c r="I106" s="4" t="str">
        <f aca="false">IF(ISNUMBER(G106),TEXT(G106,"0.00"),"")</f>
        <v>-0.12</v>
      </c>
      <c r="J106" s="3" t="n">
        <v>34</v>
      </c>
      <c r="K106" s="5" t="str">
        <f aca="false">IF(AND(B106=puntajes_EA!$B$34,E106=puntajes_EA!$C$34,I106=IF(ISNUMBER(puntajes_EA!$F$34),TEXT(puntajes_EA!$F$34,"0.00"),""),H106=IFERROR(puntajes_EA!$G$34,"N/A")),"OK","FALLA")</f>
        <v>OK</v>
      </c>
    </row>
    <row r="107" customFormat="false" ht="26.85" hidden="false" customHeight="false" outlineLevel="0" collapsed="false">
      <c r="A107" s="3" t="s">
        <v>192</v>
      </c>
      <c r="B107" s="3" t="s">
        <v>193</v>
      </c>
      <c r="C107" s="3" t="s">
        <v>240</v>
      </c>
      <c r="D107" s="3" t="s">
        <v>240</v>
      </c>
      <c r="E107" s="3" t="s">
        <v>135</v>
      </c>
      <c r="F107" s="3" t="s">
        <v>6</v>
      </c>
      <c r="G107" s="4" t="n">
        <f aca="false">IFERROR(puntajes_EA!$F$35,"")</f>
        <v>0.167681619555914</v>
      </c>
      <c r="H107" s="5" t="str">
        <f aca="false">IFERROR(puntajes_EA!$G$35,"N/A")</f>
        <v>Satisfactorio</v>
      </c>
      <c r="I107" s="4" t="str">
        <f aca="false">IF(ISNUMBER(G107),TEXT(G107,"0.00"),"")</f>
        <v>0.17</v>
      </c>
      <c r="J107" s="3" t="n">
        <v>35</v>
      </c>
      <c r="K107" s="5" t="str">
        <f aca="false">IF(AND(B107=puntajes_EA!$B$35,E107=puntajes_EA!$C$35,I107=IF(ISNUMBER(puntajes_EA!$F$35),TEXT(puntajes_EA!$F$35,"0.00"),""),H107=IFERROR(puntajes_EA!$G$35,"N/A")),"OK","FALLA")</f>
        <v>OK</v>
      </c>
    </row>
    <row r="108" customFormat="false" ht="26.85" hidden="false" customHeight="false" outlineLevel="0" collapsed="false">
      <c r="A108" s="3" t="s">
        <v>192</v>
      </c>
      <c r="B108" s="3" t="s">
        <v>193</v>
      </c>
      <c r="C108" s="3" t="s">
        <v>240</v>
      </c>
      <c r="D108" s="3" t="s">
        <v>240</v>
      </c>
      <c r="E108" s="3" t="s">
        <v>136</v>
      </c>
      <c r="F108" s="3" t="s">
        <v>6</v>
      </c>
      <c r="G108" s="4" t="n">
        <f aca="false">IFERROR(puntajes_EA!$F$36,"")</f>
        <v>-0.432550136975879</v>
      </c>
      <c r="H108" s="5" t="str">
        <f aca="false">IFERROR(puntajes_EA!$G$36,"N/A")</f>
        <v>Satisfactorio</v>
      </c>
      <c r="I108" s="4" t="str">
        <f aca="false">IF(ISNUMBER(G108),TEXT(G108,"0.00"),"")</f>
        <v>-0.43</v>
      </c>
      <c r="J108" s="3" t="n">
        <v>36</v>
      </c>
      <c r="K108" s="5" t="str">
        <f aca="false">IF(AND(B108=puntajes_EA!$B$36,E108=puntajes_EA!$C$36,I108=IF(ISNUMBER(puntajes_EA!$F$36),TEXT(puntajes_EA!$F$36,"0.00"),""),H108=IFERROR(puntajes_EA!$G$36,"N/A")),"OK","FALLA")</f>
        <v>OK</v>
      </c>
    </row>
    <row r="109" customFormat="false" ht="26.85" hidden="false" customHeight="false" outlineLevel="0" collapsed="false">
      <c r="A109" s="3" t="s">
        <v>192</v>
      </c>
      <c r="B109" s="3" t="s">
        <v>193</v>
      </c>
      <c r="C109" s="3" t="s">
        <v>240</v>
      </c>
      <c r="D109" s="3" t="s">
        <v>240</v>
      </c>
      <c r="E109" s="3" t="s">
        <v>137</v>
      </c>
      <c r="F109" s="3" t="s">
        <v>6</v>
      </c>
      <c r="G109" s="4" t="n">
        <f aca="false">IFERROR(puntajes_EA!$F$37,"")</f>
        <v>0.115666096753726</v>
      </c>
      <c r="H109" s="5" t="str">
        <f aca="false">IFERROR(puntajes_EA!$G$37,"N/A")</f>
        <v>Satisfactorio</v>
      </c>
      <c r="I109" s="4" t="str">
        <f aca="false">IF(ISNUMBER(G109),TEXT(G109,"0.00"),"")</f>
        <v>0.12</v>
      </c>
      <c r="J109" s="3" t="n">
        <v>37</v>
      </c>
      <c r="K109" s="5" t="str">
        <f aca="false">IF(AND(B109=puntajes_EA!$B$37,E109=puntajes_EA!$C$37,I109=IF(ISNUMBER(puntajes_EA!$F$37),TEXT(puntajes_EA!$F$37,"0.00"),""),H109=IFERROR(puntajes_EA!$G$37,"N/A")),"OK","FALLA")</f>
        <v>OK</v>
      </c>
    </row>
    <row r="110" customFormat="false" ht="26.85" hidden="false" customHeight="false" outlineLevel="0" collapsed="false">
      <c r="A110" s="3" t="s">
        <v>192</v>
      </c>
      <c r="B110" s="3" t="s">
        <v>193</v>
      </c>
      <c r="C110" s="3" t="s">
        <v>241</v>
      </c>
      <c r="D110" s="3" t="s">
        <v>250</v>
      </c>
      <c r="E110" s="3" t="s">
        <v>126</v>
      </c>
      <c r="F110" s="3" t="s">
        <v>6</v>
      </c>
      <c r="G110" s="4" t="n">
        <f aca="false">IFERROR(puntajes_EA!$H$26,"")</f>
        <v>0.355239388730632</v>
      </c>
      <c r="H110" s="5" t="str">
        <f aca="false">IFERROR(puntajes_EA!$I$26,"N/A")</f>
        <v>Satisfactorio</v>
      </c>
      <c r="I110" s="4" t="str">
        <f aca="false">IF(ISNUMBER(G110),TEXT(G110,"0.00"),"")</f>
        <v>0.36</v>
      </c>
      <c r="J110" s="3" t="n">
        <v>26</v>
      </c>
      <c r="K110" s="5" t="str">
        <f aca="false">IF(AND(B110=puntajes_EA!$B$26,E110=puntajes_EA!$C$26,I110=IF(ISNUMBER(puntajes_EA!$H$26),TEXT(puntajes_EA!$H$26,"0.00"),""),H110=IFERROR(puntajes_EA!$I$26,"N/A")),"OK","FALLA")</f>
        <v>OK</v>
      </c>
    </row>
    <row r="111" customFormat="false" ht="26.85" hidden="false" customHeight="false" outlineLevel="0" collapsed="false">
      <c r="A111" s="3" t="s">
        <v>192</v>
      </c>
      <c r="B111" s="3" t="s">
        <v>193</v>
      </c>
      <c r="C111" s="3" t="s">
        <v>241</v>
      </c>
      <c r="D111" s="3" t="s">
        <v>250</v>
      </c>
      <c r="E111" s="3" t="s">
        <v>127</v>
      </c>
      <c r="F111" s="3" t="s">
        <v>6</v>
      </c>
      <c r="G111" s="4" t="n">
        <f aca="false">IFERROR(puntajes_EA!$H$27,"")</f>
        <v>-0.157320300723439</v>
      </c>
      <c r="H111" s="5" t="str">
        <f aca="false">IFERROR(puntajes_EA!$I$27,"N/A")</f>
        <v>Satisfactorio</v>
      </c>
      <c r="I111" s="4" t="str">
        <f aca="false">IF(ISNUMBER(G111),TEXT(G111,"0.00"),"")</f>
        <v>-0.16</v>
      </c>
      <c r="J111" s="3" t="n">
        <v>27</v>
      </c>
      <c r="K111" s="5" t="str">
        <f aca="false">IF(AND(B111=puntajes_EA!$B$27,E111=puntajes_EA!$C$27,I111=IF(ISNUMBER(puntajes_EA!$H$27),TEXT(puntajes_EA!$H$27,"0.00"),""),H111=IFERROR(puntajes_EA!$I$27,"N/A")),"OK","FALLA")</f>
        <v>OK</v>
      </c>
    </row>
    <row r="112" customFormat="false" ht="26.85" hidden="false" customHeight="false" outlineLevel="0" collapsed="false">
      <c r="A112" s="3" t="s">
        <v>192</v>
      </c>
      <c r="B112" s="3" t="s">
        <v>193</v>
      </c>
      <c r="C112" s="3" t="s">
        <v>241</v>
      </c>
      <c r="D112" s="3" t="s">
        <v>250</v>
      </c>
      <c r="E112" s="3" t="s">
        <v>128</v>
      </c>
      <c r="F112" s="3" t="s">
        <v>6</v>
      </c>
      <c r="G112" s="4" t="n">
        <f aca="false">IFERROR(puntajes_EA!$H$28,"")</f>
        <v>0.969757396249448</v>
      </c>
      <c r="H112" s="5" t="str">
        <f aca="false">IFERROR(puntajes_EA!$I$28,"N/A")</f>
        <v>Satisfactorio</v>
      </c>
      <c r="I112" s="4" t="str">
        <f aca="false">IF(ISNUMBER(G112),TEXT(G112,"0.00"),"")</f>
        <v>0.97</v>
      </c>
      <c r="J112" s="3" t="n">
        <v>28</v>
      </c>
      <c r="K112" s="5" t="str">
        <f aca="false">IF(AND(B112=puntajes_EA!$B$28,E112=puntajes_EA!$C$28,I112=IF(ISNUMBER(puntajes_EA!$H$28),TEXT(puntajes_EA!$H$28,"0.00"),""),H112=IFERROR(puntajes_EA!$I$28,"N/A")),"OK","FALLA")</f>
        <v>OK</v>
      </c>
    </row>
    <row r="113" customFormat="false" ht="26.85" hidden="false" customHeight="false" outlineLevel="0" collapsed="false">
      <c r="A113" s="3" t="s">
        <v>192</v>
      </c>
      <c r="B113" s="3" t="s">
        <v>193</v>
      </c>
      <c r="C113" s="3" t="s">
        <v>241</v>
      </c>
      <c r="D113" s="3" t="s">
        <v>250</v>
      </c>
      <c r="E113" s="3" t="s">
        <v>129</v>
      </c>
      <c r="F113" s="3" t="s">
        <v>6</v>
      </c>
      <c r="G113" s="4" t="n">
        <f aca="false">IFERROR(puntajes_EA!$H$29,"")</f>
        <v>0.318792750147019</v>
      </c>
      <c r="H113" s="5" t="str">
        <f aca="false">IFERROR(puntajes_EA!$I$29,"N/A")</f>
        <v>Satisfactorio</v>
      </c>
      <c r="I113" s="4" t="str">
        <f aca="false">IF(ISNUMBER(G113),TEXT(G113,"0.00"),"")</f>
        <v>0.32</v>
      </c>
      <c r="J113" s="3" t="n">
        <v>29</v>
      </c>
      <c r="K113" s="5" t="str">
        <f aca="false">IF(AND(B113=puntajes_EA!$B$29,E113=puntajes_EA!$C$29,I113=IF(ISNUMBER(puntajes_EA!$H$29),TEXT(puntajes_EA!$H$29,"0.00"),""),H113=IFERROR(puntajes_EA!$I$29,"N/A")),"OK","FALLA")</f>
        <v>OK</v>
      </c>
    </row>
    <row r="114" customFormat="false" ht="26.85" hidden="false" customHeight="false" outlineLevel="0" collapsed="false">
      <c r="A114" s="3" t="s">
        <v>192</v>
      </c>
      <c r="B114" s="3" t="s">
        <v>193</v>
      </c>
      <c r="C114" s="3" t="s">
        <v>241</v>
      </c>
      <c r="D114" s="3" t="s">
        <v>250</v>
      </c>
      <c r="E114" s="3" t="s">
        <v>130</v>
      </c>
      <c r="F114" s="3" t="s">
        <v>6</v>
      </c>
      <c r="G114" s="4" t="n">
        <f aca="false">IFERROR(puntajes_EA!$H$30,"")</f>
        <v>-0.249128921967104</v>
      </c>
      <c r="H114" s="5" t="str">
        <f aca="false">IFERROR(puntajes_EA!$I$30,"N/A")</f>
        <v>Satisfactorio</v>
      </c>
      <c r="I114" s="4" t="str">
        <f aca="false">IF(ISNUMBER(G114),TEXT(G114,"0.00"),"")</f>
        <v>-0.25</v>
      </c>
      <c r="J114" s="3" t="n">
        <v>30</v>
      </c>
      <c r="K114" s="5" t="str">
        <f aca="false">IF(AND(B114=puntajes_EA!$B$30,E114=puntajes_EA!$C$30,I114=IF(ISNUMBER(puntajes_EA!$H$30),TEXT(puntajes_EA!$H$30,"0.00"),""),H114=IFERROR(puntajes_EA!$I$30,"N/A")),"OK","FALLA")</f>
        <v>OK</v>
      </c>
    </row>
    <row r="115" customFormat="false" ht="26.85" hidden="false" customHeight="false" outlineLevel="0" collapsed="false">
      <c r="A115" s="3" t="s">
        <v>192</v>
      </c>
      <c r="B115" s="3" t="s">
        <v>193</v>
      </c>
      <c r="C115" s="3" t="s">
        <v>241</v>
      </c>
      <c r="D115" s="3" t="s">
        <v>250</v>
      </c>
      <c r="E115" s="3" t="s">
        <v>131</v>
      </c>
      <c r="F115" s="3" t="s">
        <v>6</v>
      </c>
      <c r="G115" s="4" t="n">
        <f aca="false">IFERROR(puntajes_EA!$H$31,"")</f>
        <v>-0.11741353822362</v>
      </c>
      <c r="H115" s="5" t="str">
        <f aca="false">IFERROR(puntajes_EA!$I$31,"N/A")</f>
        <v>Satisfactorio</v>
      </c>
      <c r="I115" s="4" t="str">
        <f aca="false">IF(ISNUMBER(G115),TEXT(G115,"0.00"),"")</f>
        <v>-0.12</v>
      </c>
      <c r="J115" s="3" t="n">
        <v>31</v>
      </c>
      <c r="K115" s="5" t="str">
        <f aca="false">IF(AND(B115=puntajes_EA!$B$31,E115=puntajes_EA!$C$31,I115=IF(ISNUMBER(puntajes_EA!$H$31),TEXT(puntajes_EA!$H$31,"0.00"),""),H115=IFERROR(puntajes_EA!$I$31,"N/A")),"OK","FALLA")</f>
        <v>OK</v>
      </c>
    </row>
    <row r="116" customFormat="false" ht="26.85" hidden="false" customHeight="false" outlineLevel="0" collapsed="false">
      <c r="A116" s="3" t="s">
        <v>192</v>
      </c>
      <c r="B116" s="3" t="s">
        <v>193</v>
      </c>
      <c r="C116" s="3" t="s">
        <v>241</v>
      </c>
      <c r="D116" s="3" t="s">
        <v>250</v>
      </c>
      <c r="E116" s="3" t="s">
        <v>132</v>
      </c>
      <c r="F116" s="3" t="s">
        <v>6</v>
      </c>
      <c r="G116" s="4" t="n">
        <f aca="false">IFERROR(puntajes_EA!$H$32,"")</f>
        <v>0.684181835698751</v>
      </c>
      <c r="H116" s="5" t="str">
        <f aca="false">IFERROR(puntajes_EA!$I$32,"N/A")</f>
        <v>Satisfactorio</v>
      </c>
      <c r="I116" s="4" t="str">
        <f aca="false">IF(ISNUMBER(G116),TEXT(G116,"0.00"),"")</f>
        <v>0.68</v>
      </c>
      <c r="J116" s="3" t="n">
        <v>32</v>
      </c>
      <c r="K116" s="5" t="str">
        <f aca="false">IF(AND(B116=puntajes_EA!$B$32,E116=puntajes_EA!$C$32,I116=IF(ISNUMBER(puntajes_EA!$H$32),TEXT(puntajes_EA!$H$32,"0.00"),""),H116=IFERROR(puntajes_EA!$I$32,"N/A")),"OK","FALLA")</f>
        <v>OK</v>
      </c>
    </row>
    <row r="117" customFormat="false" ht="26.85" hidden="false" customHeight="false" outlineLevel="0" collapsed="false">
      <c r="A117" s="3" t="s">
        <v>192</v>
      </c>
      <c r="B117" s="3" t="s">
        <v>193</v>
      </c>
      <c r="C117" s="3" t="s">
        <v>241</v>
      </c>
      <c r="D117" s="3" t="s">
        <v>250</v>
      </c>
      <c r="E117" s="3" t="s">
        <v>133</v>
      </c>
      <c r="F117" s="3" t="s">
        <v>6</v>
      </c>
      <c r="G117" s="4" t="n">
        <f aca="false">IFERROR(puntajes_EA!$H$33,"")</f>
        <v>-0.1204123122841</v>
      </c>
      <c r="H117" s="5" t="str">
        <f aca="false">IFERROR(puntajes_EA!$I$33,"N/A")</f>
        <v>Satisfactorio</v>
      </c>
      <c r="I117" s="4" t="str">
        <f aca="false">IF(ISNUMBER(G117),TEXT(G117,"0.00"),"")</f>
        <v>-0.12</v>
      </c>
      <c r="J117" s="3" t="n">
        <v>33</v>
      </c>
      <c r="K117" s="5" t="str">
        <f aca="false">IF(AND(B117=puntajes_EA!$B$33,E117=puntajes_EA!$C$33,I117=IF(ISNUMBER(puntajes_EA!$H$33),TEXT(puntajes_EA!$H$33,"0.00"),""),H117=IFERROR(puntajes_EA!$I$33,"N/A")),"OK","FALLA")</f>
        <v>OK</v>
      </c>
    </row>
    <row r="118" customFormat="false" ht="26.85" hidden="false" customHeight="false" outlineLevel="0" collapsed="false">
      <c r="A118" s="3" t="s">
        <v>192</v>
      </c>
      <c r="B118" s="3" t="s">
        <v>193</v>
      </c>
      <c r="C118" s="3" t="s">
        <v>241</v>
      </c>
      <c r="D118" s="3" t="s">
        <v>250</v>
      </c>
      <c r="E118" s="3" t="s">
        <v>134</v>
      </c>
      <c r="F118" s="3" t="s">
        <v>6</v>
      </c>
      <c r="G118" s="4" t="n">
        <f aca="false">IFERROR(puntajes_EA!$H$34,"")</f>
        <v>-0.038984062789075</v>
      </c>
      <c r="H118" s="5" t="str">
        <f aca="false">IFERROR(puntajes_EA!$I$34,"N/A")</f>
        <v>Satisfactorio</v>
      </c>
      <c r="I118" s="4" t="str">
        <f aca="false">IF(ISNUMBER(G118),TEXT(G118,"0.00"),"")</f>
        <v>-0.04</v>
      </c>
      <c r="J118" s="3" t="n">
        <v>34</v>
      </c>
      <c r="K118" s="5" t="str">
        <f aca="false">IF(AND(B118=puntajes_EA!$B$34,E118=puntajes_EA!$C$34,I118=IF(ISNUMBER(puntajes_EA!$H$34),TEXT(puntajes_EA!$H$34,"0.00"),""),H118=IFERROR(puntajes_EA!$I$34,"N/A")),"OK","FALLA")</f>
        <v>OK</v>
      </c>
    </row>
    <row r="119" customFormat="false" ht="26.85" hidden="false" customHeight="false" outlineLevel="0" collapsed="false">
      <c r="A119" s="3" t="s">
        <v>192</v>
      </c>
      <c r="B119" s="3" t="s">
        <v>193</v>
      </c>
      <c r="C119" s="3" t="s">
        <v>241</v>
      </c>
      <c r="D119" s="3" t="s">
        <v>250</v>
      </c>
      <c r="E119" s="3" t="s">
        <v>135</v>
      </c>
      <c r="F119" s="3" t="s">
        <v>6</v>
      </c>
      <c r="G119" s="4" t="n">
        <f aca="false">IFERROR(puntajes_EA!$H$35,"")</f>
        <v>0.0565153572983148</v>
      </c>
      <c r="H119" s="5" t="str">
        <f aca="false">IFERROR(puntajes_EA!$I$35,"N/A")</f>
        <v>Satisfactorio</v>
      </c>
      <c r="I119" s="4" t="str">
        <f aca="false">IF(ISNUMBER(G119),TEXT(G119,"0.00"),"")</f>
        <v>0.06</v>
      </c>
      <c r="J119" s="3" t="n">
        <v>35</v>
      </c>
      <c r="K119" s="5" t="str">
        <f aca="false">IF(AND(B119=puntajes_EA!$B$35,E119=puntajes_EA!$C$35,I119=IF(ISNUMBER(puntajes_EA!$H$35),TEXT(puntajes_EA!$H$35,"0.00"),""),H119=IFERROR(puntajes_EA!$I$35,"N/A")),"OK","FALLA")</f>
        <v>OK</v>
      </c>
    </row>
    <row r="120" customFormat="false" ht="26.85" hidden="false" customHeight="false" outlineLevel="0" collapsed="false">
      <c r="A120" s="3" t="s">
        <v>192</v>
      </c>
      <c r="B120" s="3" t="s">
        <v>193</v>
      </c>
      <c r="C120" s="3" t="s">
        <v>241</v>
      </c>
      <c r="D120" s="3" t="s">
        <v>250</v>
      </c>
      <c r="E120" s="3" t="s">
        <v>136</v>
      </c>
      <c r="F120" s="3" t="s">
        <v>6</v>
      </c>
      <c r="G120" s="4" t="n">
        <f aca="false">IFERROR(puntajes_EA!$H$36,"")</f>
        <v>-0.145786554336537</v>
      </c>
      <c r="H120" s="5" t="str">
        <f aca="false">IFERROR(puntajes_EA!$I$36,"N/A")</f>
        <v>Satisfactorio</v>
      </c>
      <c r="I120" s="4" t="str">
        <f aca="false">IF(ISNUMBER(G120),TEXT(G120,"0.00"),"")</f>
        <v>-0.15</v>
      </c>
      <c r="J120" s="3" t="n">
        <v>36</v>
      </c>
      <c r="K120" s="5" t="str">
        <f aca="false">IF(AND(B120=puntajes_EA!$B$36,E120=puntajes_EA!$C$36,I120=IF(ISNUMBER(puntajes_EA!$H$36),TEXT(puntajes_EA!$H$36,"0.00"),""),H120=IFERROR(puntajes_EA!$I$36,"N/A")),"OK","FALLA")</f>
        <v>OK</v>
      </c>
    </row>
    <row r="121" customFormat="false" ht="26.85" hidden="false" customHeight="false" outlineLevel="0" collapsed="false">
      <c r="A121" s="3" t="s">
        <v>192</v>
      </c>
      <c r="B121" s="3" t="s">
        <v>193</v>
      </c>
      <c r="C121" s="3" t="s">
        <v>241</v>
      </c>
      <c r="D121" s="3" t="s">
        <v>250</v>
      </c>
      <c r="E121" s="3" t="s">
        <v>137</v>
      </c>
      <c r="F121" s="3" t="s">
        <v>6</v>
      </c>
      <c r="G121" s="4" t="n">
        <f aca="false">IFERROR(puntajes_EA!$H$37,"")</f>
        <v>0.0389840627890553</v>
      </c>
      <c r="H121" s="5" t="str">
        <f aca="false">IFERROR(puntajes_EA!$I$37,"N/A")</f>
        <v>Satisfactorio</v>
      </c>
      <c r="I121" s="4" t="str">
        <f aca="false">IF(ISNUMBER(G121),TEXT(G121,"0.00"),"")</f>
        <v>0.04</v>
      </c>
      <c r="J121" s="3" t="n">
        <v>37</v>
      </c>
      <c r="K121" s="5" t="str">
        <f aca="false">IF(AND(B121=puntajes_EA!$B$37,E121=puntajes_EA!$C$37,I121=IF(ISNUMBER(puntajes_EA!$H$37),TEXT(puntajes_EA!$H$37,"0.00"),""),H121=IFERROR(puntajes_EA!$I$37,"N/A")),"OK","FALLA")</f>
        <v>OK</v>
      </c>
    </row>
    <row r="122" customFormat="false" ht="26.85" hidden="false" customHeight="false" outlineLevel="0" collapsed="false">
      <c r="A122" s="3" t="s">
        <v>192</v>
      </c>
      <c r="B122" s="3" t="s">
        <v>193</v>
      </c>
      <c r="C122" s="3" t="s">
        <v>242</v>
      </c>
      <c r="D122" s="3" t="s">
        <v>242</v>
      </c>
      <c r="E122" s="3" t="s">
        <v>126</v>
      </c>
      <c r="F122" s="3" t="s">
        <v>6</v>
      </c>
      <c r="G122" s="4" t="n">
        <f aca="false">IFERROR(puntajes_EA!$J$26,"")</f>
        <v>0.366398799359529</v>
      </c>
      <c r="H122" s="5" t="str">
        <f aca="false">IFERROR(puntajes_EA!$K$26,"N/A")</f>
        <v>Satisfactorio</v>
      </c>
      <c r="I122" s="4" t="str">
        <f aca="false">IF(ISNUMBER(G122),TEXT(G122,"0.00"),"")</f>
        <v>0.37</v>
      </c>
      <c r="J122" s="3" t="n">
        <v>26</v>
      </c>
      <c r="K122" s="5" t="str">
        <f aca="false">IF(AND(B122=puntajes_EA!$B$26,E122=puntajes_EA!$C$26,I122=IF(ISNUMBER(puntajes_EA!$J$26),TEXT(puntajes_EA!$J$26,"0.00"),""),H122=IFERROR(puntajes_EA!$K$26,"N/A")),"OK","FALLA")</f>
        <v>OK</v>
      </c>
    </row>
    <row r="123" customFormat="false" ht="26.85" hidden="false" customHeight="false" outlineLevel="0" collapsed="false">
      <c r="A123" s="3" t="s">
        <v>192</v>
      </c>
      <c r="B123" s="3" t="s">
        <v>193</v>
      </c>
      <c r="C123" s="3" t="s">
        <v>242</v>
      </c>
      <c r="D123" s="3" t="s">
        <v>242</v>
      </c>
      <c r="E123" s="3" t="s">
        <v>127</v>
      </c>
      <c r="F123" s="3" t="s">
        <v>6</v>
      </c>
      <c r="G123" s="4" t="n">
        <f aca="false">IFERROR(puntajes_EA!$J$27,"")</f>
        <v>-0.159847687324662</v>
      </c>
      <c r="H123" s="5" t="str">
        <f aca="false">IFERROR(puntajes_EA!$K$27,"N/A")</f>
        <v>Satisfactorio</v>
      </c>
      <c r="I123" s="4" t="str">
        <f aca="false">IF(ISNUMBER(G123),TEXT(G123,"0.00"),"")</f>
        <v>-0.16</v>
      </c>
      <c r="J123" s="3" t="n">
        <v>27</v>
      </c>
      <c r="K123" s="5" t="str">
        <f aca="false">IF(AND(B123=puntajes_EA!$B$27,E123=puntajes_EA!$C$27,I123=IF(ISNUMBER(puntajes_EA!$J$27),TEXT(puntajes_EA!$J$27,"0.00"),""),H123=IFERROR(puntajes_EA!$K$27,"N/A")),"OK","FALLA")</f>
        <v>OK</v>
      </c>
    </row>
    <row r="124" customFormat="false" ht="26.85" hidden="false" customHeight="false" outlineLevel="0" collapsed="false">
      <c r="A124" s="3" t="s">
        <v>192</v>
      </c>
      <c r="B124" s="3" t="s">
        <v>193</v>
      </c>
      <c r="C124" s="3" t="s">
        <v>242</v>
      </c>
      <c r="D124" s="3" t="s">
        <v>242</v>
      </c>
      <c r="E124" s="3" t="s">
        <v>128</v>
      </c>
      <c r="F124" s="3" t="s">
        <v>6</v>
      </c>
      <c r="G124" s="4" t="n">
        <f aca="false">IFERROR(puntajes_EA!$J$28,"")</f>
        <v>0.991908800119046</v>
      </c>
      <c r="H124" s="5" t="str">
        <f aca="false">IFERROR(puntajes_EA!$K$28,"N/A")</f>
        <v>Satisfactorio</v>
      </c>
      <c r="I124" s="4" t="str">
        <f aca="false">IF(ISNUMBER(G124),TEXT(G124,"0.00"),"")</f>
        <v>0.99</v>
      </c>
      <c r="J124" s="3" t="n">
        <v>28</v>
      </c>
      <c r="K124" s="5" t="str">
        <f aca="false">IF(AND(B124=puntajes_EA!$B$28,E124=puntajes_EA!$C$28,I124=IF(ISNUMBER(puntajes_EA!$J$28),TEXT(puntajes_EA!$J$28,"0.00"),""),H124=IFERROR(puntajes_EA!$K$28,"N/A")),"OK","FALLA")</f>
        <v>OK</v>
      </c>
    </row>
    <row r="125" customFormat="false" ht="26.85" hidden="false" customHeight="false" outlineLevel="0" collapsed="false">
      <c r="A125" s="3" t="s">
        <v>192</v>
      </c>
      <c r="B125" s="3" t="s">
        <v>193</v>
      </c>
      <c r="C125" s="3" t="s">
        <v>242</v>
      </c>
      <c r="D125" s="3" t="s">
        <v>242</v>
      </c>
      <c r="E125" s="3" t="s">
        <v>129</v>
      </c>
      <c r="F125" s="3" t="s">
        <v>6</v>
      </c>
      <c r="G125" s="4" t="n">
        <f aca="false">IFERROR(puntajes_EA!$J$29,"")</f>
        <v>0.328292637634044</v>
      </c>
      <c r="H125" s="5" t="str">
        <f aca="false">IFERROR(puntajes_EA!$K$29,"N/A")</f>
        <v>Satisfactorio</v>
      </c>
      <c r="I125" s="4" t="str">
        <f aca="false">IF(ISNUMBER(G125),TEXT(G125,"0.00"),"")</f>
        <v>0.33</v>
      </c>
      <c r="J125" s="3" t="n">
        <v>29</v>
      </c>
      <c r="K125" s="5" t="str">
        <f aca="false">IF(AND(B125=puntajes_EA!$B$29,E125=puntajes_EA!$C$29,I125=IF(ISNUMBER(puntajes_EA!$J$29),TEXT(puntajes_EA!$J$29,"0.00"),""),H125=IFERROR(puntajes_EA!$K$29,"N/A")),"OK","FALLA")</f>
        <v>OK</v>
      </c>
    </row>
    <row r="126" customFormat="false" ht="26.85" hidden="false" customHeight="false" outlineLevel="0" collapsed="false">
      <c r="A126" s="3" t="s">
        <v>192</v>
      </c>
      <c r="B126" s="3" t="s">
        <v>193</v>
      </c>
      <c r="C126" s="3" t="s">
        <v>242</v>
      </c>
      <c r="D126" s="3" t="s">
        <v>242</v>
      </c>
      <c r="E126" s="3" t="s">
        <v>130</v>
      </c>
      <c r="F126" s="3" t="s">
        <v>6</v>
      </c>
      <c r="G126" s="4" t="n">
        <f aca="false">IFERROR(puntajes_EA!$J$30,"")</f>
        <v>-0.263217729398851</v>
      </c>
      <c r="H126" s="5" t="str">
        <f aca="false">IFERROR(puntajes_EA!$K$30,"N/A")</f>
        <v>Satisfactorio</v>
      </c>
      <c r="I126" s="4" t="str">
        <f aca="false">IF(ISNUMBER(G126),TEXT(G126,"0.00"),"")</f>
        <v>-0.26</v>
      </c>
      <c r="J126" s="3" t="n">
        <v>30</v>
      </c>
      <c r="K126" s="5" t="str">
        <f aca="false">IF(AND(B126=puntajes_EA!$B$30,E126=puntajes_EA!$C$30,I126=IF(ISNUMBER(puntajes_EA!$J$30),TEXT(puntajes_EA!$J$30,"0.00"),""),H126=IFERROR(puntajes_EA!$K$30,"N/A")),"OK","FALLA")</f>
        <v>OK</v>
      </c>
    </row>
    <row r="127" customFormat="false" ht="26.85" hidden="false" customHeight="false" outlineLevel="0" collapsed="false">
      <c r="A127" s="3" t="s">
        <v>192</v>
      </c>
      <c r="B127" s="3" t="s">
        <v>193</v>
      </c>
      <c r="C127" s="3" t="s">
        <v>242</v>
      </c>
      <c r="D127" s="3" t="s">
        <v>242</v>
      </c>
      <c r="E127" s="3" t="s">
        <v>131</v>
      </c>
      <c r="F127" s="3" t="s">
        <v>6</v>
      </c>
      <c r="G127" s="4" t="n">
        <f aca="false">IFERROR(puntajes_EA!$J$31,"")</f>
        <v>-0.124708146091411</v>
      </c>
      <c r="H127" s="5" t="str">
        <f aca="false">IFERROR(puntajes_EA!$K$31,"N/A")</f>
        <v>Satisfactorio</v>
      </c>
      <c r="I127" s="4" t="str">
        <f aca="false">IF(ISNUMBER(G127),TEXT(G127,"0.00"),"")</f>
        <v>-0.12</v>
      </c>
      <c r="J127" s="3" t="n">
        <v>31</v>
      </c>
      <c r="K127" s="5" t="str">
        <f aca="false">IF(AND(B127=puntajes_EA!$B$31,E127=puntajes_EA!$C$31,I127=IF(ISNUMBER(puntajes_EA!$J$31),TEXT(puntajes_EA!$J$31,"0.00"),""),H127=IFERROR(puntajes_EA!$K$31,"N/A")),"OK","FALLA")</f>
        <v>OK</v>
      </c>
    </row>
    <row r="128" customFormat="false" ht="26.85" hidden="false" customHeight="false" outlineLevel="0" collapsed="false">
      <c r="A128" s="3" t="s">
        <v>192</v>
      </c>
      <c r="B128" s="3" t="s">
        <v>193</v>
      </c>
      <c r="C128" s="3" t="s">
        <v>242</v>
      </c>
      <c r="D128" s="3" t="s">
        <v>242</v>
      </c>
      <c r="E128" s="3" t="s">
        <v>132</v>
      </c>
      <c r="F128" s="3" t="s">
        <v>6</v>
      </c>
      <c r="G128" s="4" t="n">
        <f aca="false">IFERROR(puntajes_EA!$J$32,"")</f>
        <v>0.71604200379847</v>
      </c>
      <c r="H128" s="5" t="str">
        <f aca="false">IFERROR(puntajes_EA!$K$32,"N/A")</f>
        <v>Satisfactorio</v>
      </c>
      <c r="I128" s="4" t="str">
        <f aca="false">IF(ISNUMBER(G128),TEXT(G128,"0.00"),"")</f>
        <v>0.72</v>
      </c>
      <c r="J128" s="3" t="n">
        <v>32</v>
      </c>
      <c r="K128" s="5" t="str">
        <f aca="false">IF(AND(B128=puntajes_EA!$B$32,E128=puntajes_EA!$C$32,I128=IF(ISNUMBER(puntajes_EA!$J$32),TEXT(puntajes_EA!$J$32,"0.00"),""),H128=IFERROR(puntajes_EA!$K$32,"N/A")),"OK","FALLA")</f>
        <v>OK</v>
      </c>
    </row>
    <row r="129" customFormat="false" ht="26.85" hidden="false" customHeight="false" outlineLevel="0" collapsed="false">
      <c r="A129" s="3" t="s">
        <v>192</v>
      </c>
      <c r="B129" s="3" t="s">
        <v>193</v>
      </c>
      <c r="C129" s="3" t="s">
        <v>242</v>
      </c>
      <c r="D129" s="3" t="s">
        <v>242</v>
      </c>
      <c r="E129" s="3" t="s">
        <v>133</v>
      </c>
      <c r="F129" s="3" t="s">
        <v>6</v>
      </c>
      <c r="G129" s="4" t="n">
        <f aca="false">IFERROR(puntajes_EA!$J$33,"")</f>
        <v>-0.127881220970999</v>
      </c>
      <c r="H129" s="5" t="str">
        <f aca="false">IFERROR(puntajes_EA!$K$33,"N/A")</f>
        <v>Satisfactorio</v>
      </c>
      <c r="I129" s="4" t="str">
        <f aca="false">IF(ISNUMBER(G129),TEXT(G129,"0.00"),"")</f>
        <v>-0.13</v>
      </c>
      <c r="J129" s="3" t="n">
        <v>33</v>
      </c>
      <c r="K129" s="5" t="str">
        <f aca="false">IF(AND(B129=puntajes_EA!$B$33,E129=puntajes_EA!$C$33,I129=IF(ISNUMBER(puntajes_EA!$J$33),TEXT(puntajes_EA!$J$33,"0.00"),""),H129=IFERROR(puntajes_EA!$K$33,"N/A")),"OK","FALLA")</f>
        <v>OK</v>
      </c>
    </row>
    <row r="130" customFormat="false" ht="26.85" hidden="false" customHeight="false" outlineLevel="0" collapsed="false">
      <c r="A130" s="3" t="s">
        <v>192</v>
      </c>
      <c r="B130" s="3" t="s">
        <v>193</v>
      </c>
      <c r="C130" s="3" t="s">
        <v>242</v>
      </c>
      <c r="D130" s="3" t="s">
        <v>242</v>
      </c>
      <c r="E130" s="3" t="s">
        <v>134</v>
      </c>
      <c r="F130" s="3" t="s">
        <v>6</v>
      </c>
      <c r="G130" s="4" t="n">
        <f aca="false">IFERROR(puntajes_EA!$J$34,"")</f>
        <v>-0.0388755479576856</v>
      </c>
      <c r="H130" s="5" t="str">
        <f aca="false">IFERROR(puntajes_EA!$K$34,"N/A")</f>
        <v>Satisfactorio</v>
      </c>
      <c r="I130" s="4" t="str">
        <f aca="false">IF(ISNUMBER(G130),TEXT(G130,"0.00"),"")</f>
        <v>-0.04</v>
      </c>
      <c r="J130" s="3" t="n">
        <v>34</v>
      </c>
      <c r="K130" s="5" t="str">
        <f aca="false">IF(AND(B130=puntajes_EA!$B$34,E130=puntajes_EA!$C$34,I130=IF(ISNUMBER(puntajes_EA!$J$34),TEXT(puntajes_EA!$J$34,"0.00"),""),H130=IFERROR(puntajes_EA!$K$34,"N/A")),"OK","FALLA")</f>
        <v>OK</v>
      </c>
    </row>
    <row r="131" customFormat="false" ht="26.85" hidden="false" customHeight="false" outlineLevel="0" collapsed="false">
      <c r="A131" s="3" t="s">
        <v>192</v>
      </c>
      <c r="B131" s="3" t="s">
        <v>193</v>
      </c>
      <c r="C131" s="3" t="s">
        <v>242</v>
      </c>
      <c r="D131" s="3" t="s">
        <v>242</v>
      </c>
      <c r="E131" s="3" t="s">
        <v>135</v>
      </c>
      <c r="F131" s="3" t="s">
        <v>6</v>
      </c>
      <c r="G131" s="4" t="n">
        <f aca="false">IFERROR(puntajes_EA!$J$35,"")</f>
        <v>0.058081805481463</v>
      </c>
      <c r="H131" s="5" t="str">
        <f aca="false">IFERROR(puntajes_EA!$K$35,"N/A")</f>
        <v>Satisfactorio</v>
      </c>
      <c r="I131" s="4" t="str">
        <f aca="false">IF(ISNUMBER(G131),TEXT(G131,"0.00"),"")</f>
        <v>0.06</v>
      </c>
      <c r="J131" s="3" t="n">
        <v>35</v>
      </c>
      <c r="K131" s="5" t="str">
        <f aca="false">IF(AND(B131=puntajes_EA!$B$35,E131=puntajes_EA!$C$35,I131=IF(ISNUMBER(puntajes_EA!$J$35),TEXT(puntajes_EA!$J$35,"0.00"),""),H131=IFERROR(puntajes_EA!$K$35,"N/A")),"OK","FALLA")</f>
        <v>OK</v>
      </c>
    </row>
    <row r="132" customFormat="false" ht="26.85" hidden="false" customHeight="false" outlineLevel="0" collapsed="false">
      <c r="A132" s="3" t="s">
        <v>192</v>
      </c>
      <c r="B132" s="3" t="s">
        <v>193</v>
      </c>
      <c r="C132" s="3" t="s">
        <v>242</v>
      </c>
      <c r="D132" s="3" t="s">
        <v>242</v>
      </c>
      <c r="E132" s="3" t="s">
        <v>136</v>
      </c>
      <c r="F132" s="3" t="s">
        <v>6</v>
      </c>
      <c r="G132" s="4" t="n">
        <f aca="false">IFERROR(puntajes_EA!$J$36,"")</f>
        <v>-0.146600239266924</v>
      </c>
      <c r="H132" s="5" t="str">
        <f aca="false">IFERROR(puntajes_EA!$K$36,"N/A")</f>
        <v>Satisfactorio</v>
      </c>
      <c r="I132" s="4" t="str">
        <f aca="false">IF(ISNUMBER(G132),TEXT(G132,"0.00"),"")</f>
        <v>-0.15</v>
      </c>
      <c r="J132" s="3" t="n">
        <v>36</v>
      </c>
      <c r="K132" s="5" t="str">
        <f aca="false">IF(AND(B132=puntajes_EA!$B$36,E132=puntajes_EA!$C$36,I132=IF(ISNUMBER(puntajes_EA!$J$36),TEXT(puntajes_EA!$J$36,"0.00"),""),H132=IFERROR(puntajes_EA!$K$36,"N/A")),"OK","FALLA")</f>
        <v>OK</v>
      </c>
    </row>
    <row r="133" customFormat="false" ht="26.85" hidden="false" customHeight="false" outlineLevel="0" collapsed="false">
      <c r="A133" s="3" t="s">
        <v>192</v>
      </c>
      <c r="B133" s="3" t="s">
        <v>193</v>
      </c>
      <c r="C133" s="3" t="s">
        <v>242</v>
      </c>
      <c r="D133" s="3" t="s">
        <v>242</v>
      </c>
      <c r="E133" s="3" t="s">
        <v>137</v>
      </c>
      <c r="F133" s="3" t="s">
        <v>6</v>
      </c>
      <c r="G133" s="4" t="n">
        <f aca="false">IFERROR(puntajes_EA!$J$37,"")</f>
        <v>0.0407925657029517</v>
      </c>
      <c r="H133" s="5" t="str">
        <f aca="false">IFERROR(puntajes_EA!$K$37,"N/A")</f>
        <v>Satisfactorio</v>
      </c>
      <c r="I133" s="4" t="str">
        <f aca="false">IF(ISNUMBER(G133),TEXT(G133,"0.00"),"")</f>
        <v>0.04</v>
      </c>
      <c r="J133" s="3" t="n">
        <v>37</v>
      </c>
      <c r="K133" s="5" t="str">
        <f aca="false">IF(AND(B133=puntajes_EA!$B$37,E133=puntajes_EA!$C$37,I133=IF(ISNUMBER(puntajes_EA!$J$37),TEXT(puntajes_EA!$J$37,"0.00"),""),H133=IFERROR(puntajes_EA!$K$37,"N/A")),"OK","FALLA")</f>
        <v>OK</v>
      </c>
    </row>
    <row r="134" customFormat="false" ht="26.85" hidden="false" customHeight="false" outlineLevel="0" collapsed="false">
      <c r="A134" s="3" t="s">
        <v>192</v>
      </c>
      <c r="B134" s="3" t="s">
        <v>193</v>
      </c>
      <c r="C134" s="3" t="s">
        <v>243</v>
      </c>
      <c r="D134" s="3" t="s">
        <v>243</v>
      </c>
      <c r="E134" s="3" t="s">
        <v>126</v>
      </c>
      <c r="F134" s="3" t="s">
        <v>6</v>
      </c>
      <c r="G134" s="4" t="n">
        <f aca="false">IFERROR(puntajes_EA!$L$26,"")</f>
        <v>0.183199399679764</v>
      </c>
      <c r="H134" s="5" t="str">
        <f aca="false">IFERROR(puntajes_EA!$M$26,"N/A")</f>
        <v>Satisfactorio</v>
      </c>
      <c r="I134" s="4" t="str">
        <f aca="false">IF(ISNUMBER(G134),TEXT(G134,"0.00"),"")</f>
        <v>0.18</v>
      </c>
      <c r="J134" s="3" t="n">
        <v>26</v>
      </c>
      <c r="K134" s="5" t="str">
        <f aca="false">IF(AND(B134=puntajes_EA!$B$26,E134=puntajes_EA!$C$26,I134=IF(ISNUMBER(puntajes_EA!$L$26),TEXT(puntajes_EA!$L$26,"0.00"),""),H134=IFERROR(puntajes_EA!$M$26,"N/A")),"OK","FALLA")</f>
        <v>OK</v>
      </c>
    </row>
    <row r="135" customFormat="false" ht="26.85" hidden="false" customHeight="false" outlineLevel="0" collapsed="false">
      <c r="A135" s="3" t="s">
        <v>192</v>
      </c>
      <c r="B135" s="3" t="s">
        <v>193</v>
      </c>
      <c r="C135" s="3" t="s">
        <v>243</v>
      </c>
      <c r="D135" s="3" t="s">
        <v>243</v>
      </c>
      <c r="E135" s="3" t="s">
        <v>127</v>
      </c>
      <c r="F135" s="3" t="s">
        <v>6</v>
      </c>
      <c r="G135" s="4" t="n">
        <f aca="false">IFERROR(puntajes_EA!$L$27,"")</f>
        <v>-0.0799238436623308</v>
      </c>
      <c r="H135" s="5" t="str">
        <f aca="false">IFERROR(puntajes_EA!$M$27,"N/A")</f>
        <v>Satisfactorio</v>
      </c>
      <c r="I135" s="4" t="str">
        <f aca="false">IF(ISNUMBER(G135),TEXT(G135,"0.00"),"")</f>
        <v>-0.08</v>
      </c>
      <c r="J135" s="3" t="n">
        <v>27</v>
      </c>
      <c r="K135" s="5" t="str">
        <f aca="false">IF(AND(B135=puntajes_EA!$B$27,E135=puntajes_EA!$C$27,I135=IF(ISNUMBER(puntajes_EA!$L$27),TEXT(puntajes_EA!$L$27,"0.00"),""),H135=IFERROR(puntajes_EA!$M$27,"N/A")),"OK","FALLA")</f>
        <v>OK</v>
      </c>
    </row>
    <row r="136" customFormat="false" ht="26.85" hidden="false" customHeight="false" outlineLevel="0" collapsed="false">
      <c r="A136" s="3" t="s">
        <v>192</v>
      </c>
      <c r="B136" s="3" t="s">
        <v>193</v>
      </c>
      <c r="C136" s="3" t="s">
        <v>243</v>
      </c>
      <c r="D136" s="3" t="s">
        <v>243</v>
      </c>
      <c r="E136" s="3" t="s">
        <v>128</v>
      </c>
      <c r="F136" s="3" t="s">
        <v>6</v>
      </c>
      <c r="G136" s="4" t="n">
        <f aca="false">IFERROR(puntajes_EA!$L$28,"")</f>
        <v>0.495954400059523</v>
      </c>
      <c r="H136" s="5" t="str">
        <f aca="false">IFERROR(puntajes_EA!$M$28,"N/A")</f>
        <v>Satisfactorio</v>
      </c>
      <c r="I136" s="4" t="str">
        <f aca="false">IF(ISNUMBER(G136),TEXT(G136,"0.00"),"")</f>
        <v>0.50</v>
      </c>
      <c r="J136" s="3" t="n">
        <v>28</v>
      </c>
      <c r="K136" s="5" t="str">
        <f aca="false">IF(AND(B136=puntajes_EA!$B$28,E136=puntajes_EA!$C$28,I136=IF(ISNUMBER(puntajes_EA!$L$28),TEXT(puntajes_EA!$L$28,"0.00"),""),H136=IFERROR(puntajes_EA!$M$28,"N/A")),"OK","FALLA")</f>
        <v>OK</v>
      </c>
    </row>
    <row r="137" customFormat="false" ht="26.85" hidden="false" customHeight="false" outlineLevel="0" collapsed="false">
      <c r="A137" s="3" t="s">
        <v>192</v>
      </c>
      <c r="B137" s="3" t="s">
        <v>193</v>
      </c>
      <c r="C137" s="3" t="s">
        <v>243</v>
      </c>
      <c r="D137" s="3" t="s">
        <v>243</v>
      </c>
      <c r="E137" s="3" t="s">
        <v>129</v>
      </c>
      <c r="F137" s="3" t="s">
        <v>6</v>
      </c>
      <c r="G137" s="4" t="n">
        <f aca="false">IFERROR(puntajes_EA!$L$29,"")</f>
        <v>0.164146318817022</v>
      </c>
      <c r="H137" s="5" t="str">
        <f aca="false">IFERROR(puntajes_EA!$M$29,"N/A")</f>
        <v>Satisfactorio</v>
      </c>
      <c r="I137" s="4" t="str">
        <f aca="false">IF(ISNUMBER(G137),TEXT(G137,"0.00"),"")</f>
        <v>0.16</v>
      </c>
      <c r="J137" s="3" t="n">
        <v>29</v>
      </c>
      <c r="K137" s="5" t="str">
        <f aca="false">IF(AND(B137=puntajes_EA!$B$29,E137=puntajes_EA!$C$29,I137=IF(ISNUMBER(puntajes_EA!$L$29),TEXT(puntajes_EA!$L$29,"0.00"),""),H137=IFERROR(puntajes_EA!$M$29,"N/A")),"OK","FALLA")</f>
        <v>OK</v>
      </c>
    </row>
    <row r="138" customFormat="false" ht="26.85" hidden="false" customHeight="false" outlineLevel="0" collapsed="false">
      <c r="A138" s="3" t="s">
        <v>192</v>
      </c>
      <c r="B138" s="3" t="s">
        <v>193</v>
      </c>
      <c r="C138" s="3" t="s">
        <v>243</v>
      </c>
      <c r="D138" s="3" t="s">
        <v>243</v>
      </c>
      <c r="E138" s="3" t="s">
        <v>130</v>
      </c>
      <c r="F138" s="3" t="s">
        <v>6</v>
      </c>
      <c r="G138" s="4" t="n">
        <f aca="false">IFERROR(puntajes_EA!$L$30,"")</f>
        <v>-0.131608864699425</v>
      </c>
      <c r="H138" s="5" t="str">
        <f aca="false">IFERROR(puntajes_EA!$M$30,"N/A")</f>
        <v>Satisfactorio</v>
      </c>
      <c r="I138" s="4" t="str">
        <f aca="false">IF(ISNUMBER(G138),TEXT(G138,"0.00"),"")</f>
        <v>-0.13</v>
      </c>
      <c r="J138" s="3" t="n">
        <v>30</v>
      </c>
      <c r="K138" s="5" t="str">
        <f aca="false">IF(AND(B138=puntajes_EA!$B$30,E138=puntajes_EA!$C$30,I138=IF(ISNUMBER(puntajes_EA!$L$30),TEXT(puntajes_EA!$L$30,"0.00"),""),H138=IFERROR(puntajes_EA!$M$30,"N/A")),"OK","FALLA")</f>
        <v>OK</v>
      </c>
    </row>
    <row r="139" customFormat="false" ht="26.85" hidden="false" customHeight="false" outlineLevel="0" collapsed="false">
      <c r="A139" s="3" t="s">
        <v>192</v>
      </c>
      <c r="B139" s="3" t="s">
        <v>193</v>
      </c>
      <c r="C139" s="3" t="s">
        <v>243</v>
      </c>
      <c r="D139" s="3" t="s">
        <v>243</v>
      </c>
      <c r="E139" s="3" t="s">
        <v>131</v>
      </c>
      <c r="F139" s="3" t="s">
        <v>6</v>
      </c>
      <c r="G139" s="4" t="n">
        <f aca="false">IFERROR(puntajes_EA!$L$31,"")</f>
        <v>-0.0623540730457056</v>
      </c>
      <c r="H139" s="5" t="str">
        <f aca="false">IFERROR(puntajes_EA!$M$31,"N/A")</f>
        <v>Satisfactorio</v>
      </c>
      <c r="I139" s="4" t="str">
        <f aca="false">IF(ISNUMBER(G139),TEXT(G139,"0.00"),"")</f>
        <v>-0.06</v>
      </c>
      <c r="J139" s="3" t="n">
        <v>31</v>
      </c>
      <c r="K139" s="5" t="str">
        <f aca="false">IF(AND(B139=puntajes_EA!$B$31,E139=puntajes_EA!$C$31,I139=IF(ISNUMBER(puntajes_EA!$L$31),TEXT(puntajes_EA!$L$31,"0.00"),""),H139=IFERROR(puntajes_EA!$M$31,"N/A")),"OK","FALLA")</f>
        <v>OK</v>
      </c>
    </row>
    <row r="140" customFormat="false" ht="26.85" hidden="false" customHeight="false" outlineLevel="0" collapsed="false">
      <c r="A140" s="3" t="s">
        <v>192</v>
      </c>
      <c r="B140" s="3" t="s">
        <v>193</v>
      </c>
      <c r="C140" s="3" t="s">
        <v>243</v>
      </c>
      <c r="D140" s="3" t="s">
        <v>243</v>
      </c>
      <c r="E140" s="3" t="s">
        <v>132</v>
      </c>
      <c r="F140" s="3" t="s">
        <v>6</v>
      </c>
      <c r="G140" s="4" t="n">
        <f aca="false">IFERROR(puntajes_EA!$L$32,"")</f>
        <v>0.358021001899235</v>
      </c>
      <c r="H140" s="5" t="str">
        <f aca="false">IFERROR(puntajes_EA!$M$32,"N/A")</f>
        <v>Satisfactorio</v>
      </c>
      <c r="I140" s="4" t="str">
        <f aca="false">IF(ISNUMBER(G140),TEXT(G140,"0.00"),"")</f>
        <v>0.36</v>
      </c>
      <c r="J140" s="3" t="n">
        <v>32</v>
      </c>
      <c r="K140" s="5" t="str">
        <f aca="false">IF(AND(B140=puntajes_EA!$B$32,E140=puntajes_EA!$C$32,I140=IF(ISNUMBER(puntajes_EA!$L$32),TEXT(puntajes_EA!$L$32,"0.00"),""),H140=IFERROR(puntajes_EA!$M$32,"N/A")),"OK","FALLA")</f>
        <v>OK</v>
      </c>
    </row>
    <row r="141" customFormat="false" ht="26.85" hidden="false" customHeight="false" outlineLevel="0" collapsed="false">
      <c r="A141" s="3" t="s">
        <v>192</v>
      </c>
      <c r="B141" s="3" t="s">
        <v>193</v>
      </c>
      <c r="C141" s="3" t="s">
        <v>243</v>
      </c>
      <c r="D141" s="3" t="s">
        <v>243</v>
      </c>
      <c r="E141" s="3" t="s">
        <v>133</v>
      </c>
      <c r="F141" s="3" t="s">
        <v>6</v>
      </c>
      <c r="G141" s="4" t="n">
        <f aca="false">IFERROR(puntajes_EA!$L$33,"")</f>
        <v>-0.0639406104854994</v>
      </c>
      <c r="H141" s="5" t="str">
        <f aca="false">IFERROR(puntajes_EA!$M$33,"N/A")</f>
        <v>Satisfactorio</v>
      </c>
      <c r="I141" s="4" t="str">
        <f aca="false">IF(ISNUMBER(G141),TEXT(G141,"0.00"),"")</f>
        <v>-0.06</v>
      </c>
      <c r="J141" s="3" t="n">
        <v>33</v>
      </c>
      <c r="K141" s="5" t="str">
        <f aca="false">IF(AND(B141=puntajes_EA!$B$33,E141=puntajes_EA!$C$33,I141=IF(ISNUMBER(puntajes_EA!$L$33),TEXT(puntajes_EA!$L$33,"0.00"),""),H141=IFERROR(puntajes_EA!$M$33,"N/A")),"OK","FALLA")</f>
        <v>OK</v>
      </c>
    </row>
    <row r="142" customFormat="false" ht="26.85" hidden="false" customHeight="false" outlineLevel="0" collapsed="false">
      <c r="A142" s="3" t="s">
        <v>192</v>
      </c>
      <c r="B142" s="3" t="s">
        <v>193</v>
      </c>
      <c r="C142" s="3" t="s">
        <v>243</v>
      </c>
      <c r="D142" s="3" t="s">
        <v>243</v>
      </c>
      <c r="E142" s="3" t="s">
        <v>134</v>
      </c>
      <c r="F142" s="3" t="s">
        <v>6</v>
      </c>
      <c r="G142" s="4" t="n">
        <f aca="false">IFERROR(puntajes_EA!$L$34,"")</f>
        <v>-0.0194377739788428</v>
      </c>
      <c r="H142" s="5" t="str">
        <f aca="false">IFERROR(puntajes_EA!$M$34,"N/A")</f>
        <v>Satisfactorio</v>
      </c>
      <c r="I142" s="4" t="str">
        <f aca="false">IF(ISNUMBER(G142),TEXT(G142,"0.00"),"")</f>
        <v>-0.02</v>
      </c>
      <c r="J142" s="3" t="n">
        <v>34</v>
      </c>
      <c r="K142" s="5" t="str">
        <f aca="false">IF(AND(B142=puntajes_EA!$B$34,E142=puntajes_EA!$C$34,I142=IF(ISNUMBER(puntajes_EA!$L$34),TEXT(puntajes_EA!$L$34,"0.00"),""),H142=IFERROR(puntajes_EA!$M$34,"N/A")),"OK","FALLA")</f>
        <v>OK</v>
      </c>
    </row>
    <row r="143" customFormat="false" ht="26.85" hidden="false" customHeight="false" outlineLevel="0" collapsed="false">
      <c r="A143" s="3" t="s">
        <v>192</v>
      </c>
      <c r="B143" s="3" t="s">
        <v>193</v>
      </c>
      <c r="C143" s="3" t="s">
        <v>243</v>
      </c>
      <c r="D143" s="3" t="s">
        <v>243</v>
      </c>
      <c r="E143" s="3" t="s">
        <v>135</v>
      </c>
      <c r="F143" s="3" t="s">
        <v>6</v>
      </c>
      <c r="G143" s="4" t="n">
        <f aca="false">IFERROR(puntajes_EA!$L$35,"")</f>
        <v>0.0290409027407315</v>
      </c>
      <c r="H143" s="5" t="str">
        <f aca="false">IFERROR(puntajes_EA!$M$35,"N/A")</f>
        <v>Satisfactorio</v>
      </c>
      <c r="I143" s="4" t="str">
        <f aca="false">IF(ISNUMBER(G143),TEXT(G143,"0.00"),"")</f>
        <v>0.03</v>
      </c>
      <c r="J143" s="3" t="n">
        <v>35</v>
      </c>
      <c r="K143" s="5" t="str">
        <f aca="false">IF(AND(B143=puntajes_EA!$B$35,E143=puntajes_EA!$C$35,I143=IF(ISNUMBER(puntajes_EA!$L$35),TEXT(puntajes_EA!$L$35,"0.00"),""),H143=IFERROR(puntajes_EA!$M$35,"N/A")),"OK","FALLA")</f>
        <v>OK</v>
      </c>
    </row>
    <row r="144" customFormat="false" ht="26.85" hidden="false" customHeight="false" outlineLevel="0" collapsed="false">
      <c r="A144" s="3" t="s">
        <v>192</v>
      </c>
      <c r="B144" s="3" t="s">
        <v>193</v>
      </c>
      <c r="C144" s="3" t="s">
        <v>243</v>
      </c>
      <c r="D144" s="3" t="s">
        <v>243</v>
      </c>
      <c r="E144" s="3" t="s">
        <v>136</v>
      </c>
      <c r="F144" s="3" t="s">
        <v>6</v>
      </c>
      <c r="G144" s="4" t="n">
        <f aca="false">IFERROR(puntajes_EA!$L$36,"")</f>
        <v>-0.0733001196334619</v>
      </c>
      <c r="H144" s="5" t="str">
        <f aca="false">IFERROR(puntajes_EA!$M$36,"N/A")</f>
        <v>Satisfactorio</v>
      </c>
      <c r="I144" s="4" t="str">
        <f aca="false">IF(ISNUMBER(G144),TEXT(G144,"0.00"),"")</f>
        <v>-0.07</v>
      </c>
      <c r="J144" s="3" t="n">
        <v>36</v>
      </c>
      <c r="K144" s="5" t="str">
        <f aca="false">IF(AND(B144=puntajes_EA!$B$36,E144=puntajes_EA!$C$36,I144=IF(ISNUMBER(puntajes_EA!$L$36),TEXT(puntajes_EA!$L$36,"0.00"),""),H144=IFERROR(puntajes_EA!$M$36,"N/A")),"OK","FALLA")</f>
        <v>OK</v>
      </c>
    </row>
    <row r="145" customFormat="false" ht="26.85" hidden="false" customHeight="false" outlineLevel="0" collapsed="false">
      <c r="A145" s="3" t="s">
        <v>192</v>
      </c>
      <c r="B145" s="3" t="s">
        <v>193</v>
      </c>
      <c r="C145" s="3" t="s">
        <v>243</v>
      </c>
      <c r="D145" s="3" t="s">
        <v>243</v>
      </c>
      <c r="E145" s="3" t="s">
        <v>137</v>
      </c>
      <c r="F145" s="3" t="s">
        <v>6</v>
      </c>
      <c r="G145" s="4" t="n">
        <f aca="false">IFERROR(puntajes_EA!$L$37,"")</f>
        <v>0.0203962828514759</v>
      </c>
      <c r="H145" s="5" t="str">
        <f aca="false">IFERROR(puntajes_EA!$M$37,"N/A")</f>
        <v>Satisfactorio</v>
      </c>
      <c r="I145" s="4" t="str">
        <f aca="false">IF(ISNUMBER(G145),TEXT(G145,"0.00"),"")</f>
        <v>0.02</v>
      </c>
      <c r="J145" s="3" t="n">
        <v>37</v>
      </c>
      <c r="K145" s="5" t="str">
        <f aca="false">IF(AND(B145=puntajes_EA!$B$37,E145=puntajes_EA!$C$37,I145=IF(ISNUMBER(puntajes_EA!$L$37),TEXT(puntajes_EA!$L$37,"0.00"),""),H145=IFERROR(puntajes_EA!$M$37,"N/A")),"OK","FALLA")</f>
        <v>OK</v>
      </c>
    </row>
    <row r="146" customFormat="false" ht="26.85" hidden="false" customHeight="false" outlineLevel="0" collapsed="false">
      <c r="A146" s="3" t="s">
        <v>194</v>
      </c>
      <c r="B146" s="3" t="s">
        <v>195</v>
      </c>
      <c r="C146" s="3" t="s">
        <v>240</v>
      </c>
      <c r="D146" s="3" t="s">
        <v>240</v>
      </c>
      <c r="E146" s="3" t="s">
        <v>126</v>
      </c>
      <c r="F146" s="3" t="s">
        <v>6</v>
      </c>
      <c r="G146" s="4" t="n">
        <f aca="false">IFERROR(puntajes_EA!$F$38,"")</f>
        <v>0.756850694291301</v>
      </c>
      <c r="H146" s="5" t="str">
        <f aca="false">IFERROR(puntajes_EA!$G$38,"N/A")</f>
        <v>Satisfactorio</v>
      </c>
      <c r="I146" s="4" t="str">
        <f aca="false">IF(ISNUMBER(G146),TEXT(G146,"0.00"),"")</f>
        <v>0.76</v>
      </c>
      <c r="J146" s="3" t="n">
        <v>38</v>
      </c>
      <c r="K146" s="5" t="str">
        <f aca="false">IF(AND(B146=puntajes_EA!$B$38,E146=puntajes_EA!$C$38,I146=IF(ISNUMBER(puntajes_EA!$F$38),TEXT(puntajes_EA!$F$38,"0.00"),""),H146=IFERROR(puntajes_EA!$G$38,"N/A")),"OK","FALLA")</f>
        <v>OK</v>
      </c>
    </row>
    <row r="147" customFormat="false" ht="26.85" hidden="false" customHeight="false" outlineLevel="0" collapsed="false">
      <c r="A147" s="3" t="s">
        <v>194</v>
      </c>
      <c r="B147" s="3" t="s">
        <v>195</v>
      </c>
      <c r="C147" s="3" t="s">
        <v>240</v>
      </c>
      <c r="D147" s="3" t="s">
        <v>240</v>
      </c>
      <c r="E147" s="3" t="s">
        <v>127</v>
      </c>
      <c r="F147" s="3" t="s">
        <v>6</v>
      </c>
      <c r="G147" s="4" t="n">
        <f aca="false">IFERROR(puntajes_EA!$F$39,"")</f>
        <v>-0.742423790352039</v>
      </c>
      <c r="H147" s="5" t="str">
        <f aca="false">IFERROR(puntajes_EA!$G$39,"N/A")</f>
        <v>Satisfactorio</v>
      </c>
      <c r="I147" s="4" t="str">
        <f aca="false">IF(ISNUMBER(G147),TEXT(G147,"0.00"),"")</f>
        <v>-0.74</v>
      </c>
      <c r="J147" s="3" t="n">
        <v>39</v>
      </c>
      <c r="K147" s="5" t="str">
        <f aca="false">IF(AND(B147=puntajes_EA!$B$39,E147=puntajes_EA!$C$39,I147=IF(ISNUMBER(puntajes_EA!$F$39),TEXT(puntajes_EA!$F$39,"0.00"),""),H147=IFERROR(puntajes_EA!$G$39,"N/A")),"OK","FALLA")</f>
        <v>OK</v>
      </c>
    </row>
    <row r="148" customFormat="false" ht="26.85" hidden="false" customHeight="false" outlineLevel="0" collapsed="false">
      <c r="A148" s="3" t="s">
        <v>194</v>
      </c>
      <c r="B148" s="3" t="s">
        <v>195</v>
      </c>
      <c r="C148" s="3" t="s">
        <v>240</v>
      </c>
      <c r="D148" s="3" t="s">
        <v>240</v>
      </c>
      <c r="E148" s="3" t="s">
        <v>128</v>
      </c>
      <c r="F148" s="3" t="s">
        <v>6</v>
      </c>
      <c r="G148" s="4" t="n">
        <f aca="false">IFERROR(puntajes_EA!$F$40,"")</f>
        <v>2.55436069748359</v>
      </c>
      <c r="H148" s="5" t="str">
        <f aca="false">IFERROR(puntajes_EA!$G$40,"N/A")</f>
        <v>Cuestionable</v>
      </c>
      <c r="I148" s="4" t="str">
        <f aca="false">IF(ISNUMBER(G148),TEXT(G148,"0.00"),"")</f>
        <v>2.55</v>
      </c>
      <c r="J148" s="3" t="n">
        <v>40</v>
      </c>
      <c r="K148" s="5" t="str">
        <f aca="false">IF(AND(B148=puntajes_EA!$B$40,E148=puntajes_EA!$C$40,I148=IF(ISNUMBER(puntajes_EA!$F$40),TEXT(puntajes_EA!$F$40,"0.00"),""),H148=IFERROR(puntajes_EA!$G$40,"N/A")),"OK","FALLA")</f>
        <v>OK</v>
      </c>
    </row>
    <row r="149" customFormat="false" ht="26.85" hidden="false" customHeight="false" outlineLevel="0" collapsed="false">
      <c r="A149" s="3" t="s">
        <v>194</v>
      </c>
      <c r="B149" s="3" t="s">
        <v>195</v>
      </c>
      <c r="C149" s="3" t="s">
        <v>240</v>
      </c>
      <c r="D149" s="3" t="s">
        <v>240</v>
      </c>
      <c r="E149" s="3" t="s">
        <v>129</v>
      </c>
      <c r="F149" s="3" t="s">
        <v>6</v>
      </c>
      <c r="G149" s="4" t="n">
        <f aca="false">IFERROR(puntajes_EA!$F$41,"")</f>
        <v>0.65024161752674</v>
      </c>
      <c r="H149" s="5" t="str">
        <f aca="false">IFERROR(puntajes_EA!$G$41,"N/A")</f>
        <v>Satisfactorio</v>
      </c>
      <c r="I149" s="4" t="str">
        <f aca="false">IF(ISNUMBER(G149),TEXT(G149,"0.00"),"")</f>
        <v>0.65</v>
      </c>
      <c r="J149" s="3" t="n">
        <v>41</v>
      </c>
      <c r="K149" s="5" t="str">
        <f aca="false">IF(AND(B149=puntajes_EA!$B$41,E149=puntajes_EA!$C$41,I149=IF(ISNUMBER(puntajes_EA!$F$41),TEXT(puntajes_EA!$F$41,"0.00"),""),H149=IFERROR(puntajes_EA!$G$41,"N/A")),"OK","FALLA")</f>
        <v>OK</v>
      </c>
    </row>
    <row r="150" customFormat="false" ht="26.85" hidden="false" customHeight="false" outlineLevel="0" collapsed="false">
      <c r="A150" s="3" t="s">
        <v>194</v>
      </c>
      <c r="B150" s="3" t="s">
        <v>195</v>
      </c>
      <c r="C150" s="3" t="s">
        <v>240</v>
      </c>
      <c r="D150" s="3" t="s">
        <v>240</v>
      </c>
      <c r="E150" s="3" t="s">
        <v>130</v>
      </c>
      <c r="F150" s="3" t="s">
        <v>6</v>
      </c>
      <c r="G150" s="4" t="n">
        <f aca="false">IFERROR(puntajes_EA!$F$42,"")</f>
        <v>-1.01097070524407</v>
      </c>
      <c r="H150" s="5" t="str">
        <f aca="false">IFERROR(puntajes_EA!$G$42,"N/A")</f>
        <v>Satisfactorio</v>
      </c>
      <c r="I150" s="4" t="str">
        <f aca="false">IF(ISNUMBER(G150),TEXT(G150,"0.00"),"")</f>
        <v>-1.01</v>
      </c>
      <c r="J150" s="3" t="n">
        <v>42</v>
      </c>
      <c r="K150" s="5" t="str">
        <f aca="false">IF(AND(B150=puntajes_EA!$B$42,E150=puntajes_EA!$C$42,I150=IF(ISNUMBER(puntajes_EA!$F$42),TEXT(puntajes_EA!$F$42,"0.00"),""),H150=IFERROR(puntajes_EA!$G$42,"N/A")),"OK","FALLA")</f>
        <v>OK</v>
      </c>
    </row>
    <row r="151" customFormat="false" ht="26.85" hidden="false" customHeight="false" outlineLevel="0" collapsed="false">
      <c r="A151" s="3" t="s">
        <v>194</v>
      </c>
      <c r="B151" s="3" t="s">
        <v>195</v>
      </c>
      <c r="C151" s="3" t="s">
        <v>240</v>
      </c>
      <c r="D151" s="3" t="s">
        <v>240</v>
      </c>
      <c r="E151" s="3" t="s">
        <v>131</v>
      </c>
      <c r="F151" s="3" t="s">
        <v>6</v>
      </c>
      <c r="G151" s="4" t="n">
        <f aca="false">IFERROR(puntajes_EA!$F$43,"")</f>
        <v>-0.625693598704648</v>
      </c>
      <c r="H151" s="5" t="str">
        <f aca="false">IFERROR(puntajes_EA!$G$43,"N/A")</f>
        <v>Satisfactorio</v>
      </c>
      <c r="I151" s="4" t="str">
        <f aca="false">IF(ISNUMBER(G151),TEXT(G151,"0.00"),"")</f>
        <v>-0.63</v>
      </c>
      <c r="J151" s="3" t="n">
        <v>43</v>
      </c>
      <c r="K151" s="5" t="str">
        <f aca="false">IF(AND(B151=puntajes_EA!$B$43,E151=puntajes_EA!$C$43,I151=IF(ISNUMBER(puntajes_EA!$F$43),TEXT(puntajes_EA!$F$43,"0.00"),""),H151=IFERROR(puntajes_EA!$G$43,"N/A")),"OK","FALLA")</f>
        <v>OK</v>
      </c>
    </row>
    <row r="152" customFormat="false" ht="26.85" hidden="false" customHeight="false" outlineLevel="0" collapsed="false">
      <c r="A152" s="3" t="s">
        <v>194</v>
      </c>
      <c r="B152" s="3" t="s">
        <v>195</v>
      </c>
      <c r="C152" s="3" t="s">
        <v>240</v>
      </c>
      <c r="D152" s="3" t="s">
        <v>240</v>
      </c>
      <c r="E152" s="3" t="s">
        <v>132</v>
      </c>
      <c r="F152" s="3" t="s">
        <v>6</v>
      </c>
      <c r="G152" s="4" t="n">
        <f aca="false">IFERROR(puntajes_EA!$F$44,"")</f>
        <v>1.7190313491546</v>
      </c>
      <c r="H152" s="5" t="str">
        <f aca="false">IFERROR(puntajes_EA!$G$44,"N/A")</f>
        <v>Satisfactorio</v>
      </c>
      <c r="I152" s="4" t="str">
        <f aca="false">IF(ISNUMBER(G152),TEXT(G152,"0.00"),"")</f>
        <v>1.72</v>
      </c>
      <c r="J152" s="3" t="n">
        <v>44</v>
      </c>
      <c r="K152" s="5" t="str">
        <f aca="false">IF(AND(B152=puntajes_EA!$B$44,E152=puntajes_EA!$C$44,I152=IF(ISNUMBER(puntajes_EA!$F$44),TEXT(puntajes_EA!$F$44,"0.00"),""),H152=IFERROR(puntajes_EA!$G$44,"N/A")),"OK","FALLA")</f>
        <v>OK</v>
      </c>
    </row>
    <row r="153" customFormat="false" ht="26.85" hidden="false" customHeight="false" outlineLevel="0" collapsed="false">
      <c r="A153" s="3" t="s">
        <v>194</v>
      </c>
      <c r="B153" s="3" t="s">
        <v>195</v>
      </c>
      <c r="C153" s="3" t="s">
        <v>240</v>
      </c>
      <c r="D153" s="3" t="s">
        <v>240</v>
      </c>
      <c r="E153" s="3" t="s">
        <v>133</v>
      </c>
      <c r="F153" s="3" t="s">
        <v>6</v>
      </c>
      <c r="G153" s="4" t="n">
        <f aca="false">IFERROR(puntajes_EA!$F$45,"")</f>
        <v>-0.634465231602423</v>
      </c>
      <c r="H153" s="5" t="str">
        <f aca="false">IFERROR(puntajes_EA!$G$45,"N/A")</f>
        <v>Satisfactorio</v>
      </c>
      <c r="I153" s="4" t="str">
        <f aca="false">IF(ISNUMBER(G153),TEXT(G153,"0.00"),"")</f>
        <v>-0.63</v>
      </c>
      <c r="J153" s="3" t="n">
        <v>45</v>
      </c>
      <c r="K153" s="5" t="str">
        <f aca="false">IF(AND(B153=puntajes_EA!$B$45,E153=puntajes_EA!$C$45,I153=IF(ISNUMBER(puntajes_EA!$F$45),TEXT(puntajes_EA!$F$45,"0.00"),""),H153=IFERROR(puntajes_EA!$G$45,"N/A")),"OK","FALLA")</f>
        <v>OK</v>
      </c>
    </row>
    <row r="154" customFormat="false" ht="26.85" hidden="false" customHeight="false" outlineLevel="0" collapsed="false">
      <c r="A154" s="3" t="s">
        <v>194</v>
      </c>
      <c r="B154" s="3" t="s">
        <v>195</v>
      </c>
      <c r="C154" s="3" t="s">
        <v>240</v>
      </c>
      <c r="D154" s="3" t="s">
        <v>240</v>
      </c>
      <c r="E154" s="3" t="s">
        <v>134</v>
      </c>
      <c r="F154" s="3" t="s">
        <v>6</v>
      </c>
      <c r="G154" s="4" t="n">
        <f aca="false">IFERROR(puntajes_EA!$F$46,"")</f>
        <v>-0.396281661358937</v>
      </c>
      <c r="H154" s="5" t="str">
        <f aca="false">IFERROR(puntajes_EA!$G$46,"N/A")</f>
        <v>Satisfactorio</v>
      </c>
      <c r="I154" s="4" t="str">
        <f aca="false">IF(ISNUMBER(G154),TEXT(G154,"0.00"),"")</f>
        <v>-0.40</v>
      </c>
      <c r="J154" s="3" t="n">
        <v>46</v>
      </c>
      <c r="K154" s="5" t="str">
        <f aca="false">IF(AND(B154=puntajes_EA!$B$46,E154=puntajes_EA!$C$46,I154=IF(ISNUMBER(puntajes_EA!$F$46),TEXT(puntajes_EA!$F$46,"0.00"),""),H154=IFERROR(puntajes_EA!$G$46,"N/A")),"OK","FALLA")</f>
        <v>OK</v>
      </c>
    </row>
    <row r="155" customFormat="false" ht="26.85" hidden="false" customHeight="false" outlineLevel="0" collapsed="false">
      <c r="A155" s="3" t="s">
        <v>194</v>
      </c>
      <c r="B155" s="3" t="s">
        <v>195</v>
      </c>
      <c r="C155" s="3" t="s">
        <v>240</v>
      </c>
      <c r="D155" s="3" t="s">
        <v>240</v>
      </c>
      <c r="E155" s="3" t="s">
        <v>135</v>
      </c>
      <c r="F155" s="3" t="s">
        <v>6</v>
      </c>
      <c r="G155" s="4" t="n">
        <f aca="false">IFERROR(puntajes_EA!$F$47,"")</f>
        <v>-0.116938890592549</v>
      </c>
      <c r="H155" s="5" t="str">
        <f aca="false">IFERROR(puntajes_EA!$G$47,"N/A")</f>
        <v>Satisfactorio</v>
      </c>
      <c r="I155" s="4" t="str">
        <f aca="false">IF(ISNUMBER(G155),TEXT(G155,"0.00"),"")</f>
        <v>-0.12</v>
      </c>
      <c r="J155" s="3" t="n">
        <v>47</v>
      </c>
      <c r="K155" s="5" t="str">
        <f aca="false">IF(AND(B155=puntajes_EA!$B$47,E155=puntajes_EA!$C$47,I155=IF(ISNUMBER(puntajes_EA!$F$47),TEXT(puntajes_EA!$F$47,"0.00"),""),H155=IFERROR(puntajes_EA!$G$47,"N/A")),"OK","FALLA")</f>
        <v>OK</v>
      </c>
    </row>
    <row r="156" customFormat="false" ht="26.85" hidden="false" customHeight="false" outlineLevel="0" collapsed="false">
      <c r="A156" s="3" t="s">
        <v>194</v>
      </c>
      <c r="B156" s="3" t="s">
        <v>195</v>
      </c>
      <c r="C156" s="3" t="s">
        <v>240</v>
      </c>
      <c r="D156" s="3" t="s">
        <v>240</v>
      </c>
      <c r="E156" s="3" t="s">
        <v>136</v>
      </c>
      <c r="F156" s="3" t="s">
        <v>6</v>
      </c>
      <c r="G156" s="4" t="n">
        <f aca="false">IFERROR(puntajes_EA!$F$48,"")</f>
        <v>-0.708686740743928</v>
      </c>
      <c r="H156" s="5" t="str">
        <f aca="false">IFERROR(puntajes_EA!$G$48,"N/A")</f>
        <v>Satisfactorio</v>
      </c>
      <c r="I156" s="4" t="str">
        <f aca="false">IF(ISNUMBER(G156),TEXT(G156,"0.00"),"")</f>
        <v>-0.71</v>
      </c>
      <c r="J156" s="3" t="n">
        <v>48</v>
      </c>
      <c r="K156" s="5" t="str">
        <f aca="false">IF(AND(B156=puntajes_EA!$B$48,E156=puntajes_EA!$C$48,I156=IF(ISNUMBER(puntajes_EA!$F$48),TEXT(puntajes_EA!$F$48,"0.00"),""),H156=IFERROR(puntajes_EA!$G$48,"N/A")),"OK","FALLA")</f>
        <v>OK</v>
      </c>
    </row>
    <row r="157" customFormat="false" ht="26.85" hidden="false" customHeight="false" outlineLevel="0" collapsed="false">
      <c r="A157" s="3" t="s">
        <v>194</v>
      </c>
      <c r="B157" s="3" t="s">
        <v>195</v>
      </c>
      <c r="C157" s="3" t="s">
        <v>240</v>
      </c>
      <c r="D157" s="3" t="s">
        <v>240</v>
      </c>
      <c r="E157" s="3" t="s">
        <v>137</v>
      </c>
      <c r="F157" s="3" t="s">
        <v>6</v>
      </c>
      <c r="G157" s="4" t="n">
        <f aca="false">IFERROR(puntajes_EA!$F$49,"")</f>
        <v>-0.168219206000295</v>
      </c>
      <c r="H157" s="5" t="str">
        <f aca="false">IFERROR(puntajes_EA!$G$49,"N/A")</f>
        <v>Satisfactorio</v>
      </c>
      <c r="I157" s="4" t="str">
        <f aca="false">IF(ISNUMBER(G157),TEXT(G157,"0.00"),"")</f>
        <v>-0.17</v>
      </c>
      <c r="J157" s="3" t="n">
        <v>49</v>
      </c>
      <c r="K157" s="5" t="str">
        <f aca="false">IF(AND(B157=puntajes_EA!$B$49,E157=puntajes_EA!$C$49,I157=IF(ISNUMBER(puntajes_EA!$F$49),TEXT(puntajes_EA!$F$49,"0.00"),""),H157=IFERROR(puntajes_EA!$G$49,"N/A")),"OK","FALLA")</f>
        <v>OK</v>
      </c>
    </row>
    <row r="158" customFormat="false" ht="26.85" hidden="false" customHeight="false" outlineLevel="0" collapsed="false">
      <c r="A158" s="3" t="s">
        <v>194</v>
      </c>
      <c r="B158" s="3" t="s">
        <v>195</v>
      </c>
      <c r="C158" s="3" t="s">
        <v>241</v>
      </c>
      <c r="D158" s="3" t="s">
        <v>250</v>
      </c>
      <c r="E158" s="3" t="s">
        <v>126</v>
      </c>
      <c r="F158" s="3" t="s">
        <v>6</v>
      </c>
      <c r="G158" s="4" t="n">
        <f aca="false">IFERROR(puntajes_EA!$H$38,"")</f>
        <v>0.25826756629995</v>
      </c>
      <c r="H158" s="5" t="str">
        <f aca="false">IFERROR(puntajes_EA!$I$38,"N/A")</f>
        <v>Satisfactorio</v>
      </c>
      <c r="I158" s="4" t="str">
        <f aca="false">IF(ISNUMBER(G158),TEXT(G158,"0.00"),"")</f>
        <v>0.26</v>
      </c>
      <c r="J158" s="3" t="n">
        <v>38</v>
      </c>
      <c r="K158" s="5" t="str">
        <f aca="false">IF(AND(B158=puntajes_EA!$B$38,E158=puntajes_EA!$C$38,I158=IF(ISNUMBER(puntajes_EA!$H$38),TEXT(puntajes_EA!$H$38,"0.00"),""),H158=IFERROR(puntajes_EA!$I$38,"N/A")),"OK","FALLA")</f>
        <v>OK</v>
      </c>
    </row>
    <row r="159" customFormat="false" ht="26.85" hidden="false" customHeight="false" outlineLevel="0" collapsed="false">
      <c r="A159" s="3" t="s">
        <v>194</v>
      </c>
      <c r="B159" s="3" t="s">
        <v>195</v>
      </c>
      <c r="C159" s="3" t="s">
        <v>241</v>
      </c>
      <c r="D159" s="3" t="s">
        <v>250</v>
      </c>
      <c r="E159" s="3" t="s">
        <v>127</v>
      </c>
      <c r="F159" s="3" t="s">
        <v>6</v>
      </c>
      <c r="G159" s="4" t="n">
        <f aca="false">IFERROR(puntajes_EA!$H$39,"")</f>
        <v>-0.253344532737663</v>
      </c>
      <c r="H159" s="5" t="str">
        <f aca="false">IFERROR(puntajes_EA!$I$39,"N/A")</f>
        <v>Satisfactorio</v>
      </c>
      <c r="I159" s="4" t="str">
        <f aca="false">IF(ISNUMBER(G159),TEXT(G159,"0.00"),"")</f>
        <v>-0.25</v>
      </c>
      <c r="J159" s="3" t="n">
        <v>39</v>
      </c>
      <c r="K159" s="5" t="str">
        <f aca="false">IF(AND(B159=puntajes_EA!$B$39,E159=puntajes_EA!$C$39,I159=IF(ISNUMBER(puntajes_EA!$H$39),TEXT(puntajes_EA!$H$39,"0.00"),""),H159=IFERROR(puntajes_EA!$I$39,"N/A")),"OK","FALLA")</f>
        <v>OK</v>
      </c>
    </row>
    <row r="160" customFormat="false" ht="26.85" hidden="false" customHeight="false" outlineLevel="0" collapsed="false">
      <c r="A160" s="3" t="s">
        <v>194</v>
      </c>
      <c r="B160" s="3" t="s">
        <v>195</v>
      </c>
      <c r="C160" s="3" t="s">
        <v>241</v>
      </c>
      <c r="D160" s="3" t="s">
        <v>250</v>
      </c>
      <c r="E160" s="3" t="s">
        <v>128</v>
      </c>
      <c r="F160" s="3" t="s">
        <v>6</v>
      </c>
      <c r="G160" s="4" t="n">
        <f aca="false">IFERROR(puntajes_EA!$H$40,"")</f>
        <v>0.871649488819014</v>
      </c>
      <c r="H160" s="5" t="str">
        <f aca="false">IFERROR(puntajes_EA!$I$40,"N/A")</f>
        <v>Satisfactorio</v>
      </c>
      <c r="I160" s="4" t="str">
        <f aca="false">IF(ISNUMBER(G160),TEXT(G160,"0.00"),"")</f>
        <v>0.87</v>
      </c>
      <c r="J160" s="3" t="n">
        <v>40</v>
      </c>
      <c r="K160" s="5" t="str">
        <f aca="false">IF(AND(B160=puntajes_EA!$B$40,E160=puntajes_EA!$C$40,I160=IF(ISNUMBER(puntajes_EA!$H$40),TEXT(puntajes_EA!$H$40,"0.00"),""),H160=IFERROR(puntajes_EA!$I$40,"N/A")),"OK","FALLA")</f>
        <v>OK</v>
      </c>
    </row>
    <row r="161" customFormat="false" ht="26.85" hidden="false" customHeight="false" outlineLevel="0" collapsed="false">
      <c r="A161" s="3" t="s">
        <v>194</v>
      </c>
      <c r="B161" s="3" t="s">
        <v>195</v>
      </c>
      <c r="C161" s="3" t="s">
        <v>241</v>
      </c>
      <c r="D161" s="3" t="s">
        <v>250</v>
      </c>
      <c r="E161" s="3" t="s">
        <v>129</v>
      </c>
      <c r="F161" s="3" t="s">
        <v>6</v>
      </c>
      <c r="G161" s="4" t="n">
        <f aca="false">IFERROR(puntajes_EA!$H$41,"")</f>
        <v>0.221888308132988</v>
      </c>
      <c r="H161" s="5" t="str">
        <f aca="false">IFERROR(puntajes_EA!$I$41,"N/A")</f>
        <v>Satisfactorio</v>
      </c>
      <c r="I161" s="4" t="str">
        <f aca="false">IF(ISNUMBER(G161),TEXT(G161,"0.00"),"")</f>
        <v>0.22</v>
      </c>
      <c r="J161" s="3" t="n">
        <v>41</v>
      </c>
      <c r="K161" s="5" t="str">
        <f aca="false">IF(AND(B161=puntajes_EA!$B$41,E161=puntajes_EA!$C$41,I161=IF(ISNUMBER(puntajes_EA!$H$41),TEXT(puntajes_EA!$H$41,"0.00"),""),H161=IFERROR(puntajes_EA!$I$41,"N/A")),"OK","FALLA")</f>
        <v>OK</v>
      </c>
    </row>
    <row r="162" customFormat="false" ht="26.85" hidden="false" customHeight="false" outlineLevel="0" collapsed="false">
      <c r="A162" s="3" t="s">
        <v>194</v>
      </c>
      <c r="B162" s="3" t="s">
        <v>195</v>
      </c>
      <c r="C162" s="3" t="s">
        <v>241</v>
      </c>
      <c r="D162" s="3" t="s">
        <v>250</v>
      </c>
      <c r="E162" s="3" t="s">
        <v>130</v>
      </c>
      <c r="F162" s="3" t="s">
        <v>6</v>
      </c>
      <c r="G162" s="4" t="n">
        <f aca="false">IFERROR(puntajes_EA!$H$42,"")</f>
        <v>-0.344983423564697</v>
      </c>
      <c r="H162" s="5" t="str">
        <f aca="false">IFERROR(puntajes_EA!$I$42,"N/A")</f>
        <v>Satisfactorio</v>
      </c>
      <c r="I162" s="4" t="str">
        <f aca="false">IF(ISNUMBER(G162),TEXT(G162,"0.00"),"")</f>
        <v>-0.34</v>
      </c>
      <c r="J162" s="3" t="n">
        <v>42</v>
      </c>
      <c r="K162" s="5" t="str">
        <f aca="false">IF(AND(B162=puntajes_EA!$B$42,E162=puntajes_EA!$C$42,I162=IF(ISNUMBER(puntajes_EA!$H$42),TEXT(puntajes_EA!$H$42,"0.00"),""),H162=IFERROR(puntajes_EA!$I$42,"N/A")),"OK","FALLA")</f>
        <v>OK</v>
      </c>
    </row>
    <row r="163" customFormat="false" ht="26.85" hidden="false" customHeight="false" outlineLevel="0" collapsed="false">
      <c r="A163" s="3" t="s">
        <v>194</v>
      </c>
      <c r="B163" s="3" t="s">
        <v>195</v>
      </c>
      <c r="C163" s="3" t="s">
        <v>241</v>
      </c>
      <c r="D163" s="3" t="s">
        <v>250</v>
      </c>
      <c r="E163" s="3" t="s">
        <v>131</v>
      </c>
      <c r="F163" s="3" t="s">
        <v>6</v>
      </c>
      <c r="G163" s="4" t="n">
        <f aca="false">IFERROR(puntajes_EA!$H$43,"")</f>
        <v>-0.213511547529493</v>
      </c>
      <c r="H163" s="5" t="str">
        <f aca="false">IFERROR(puntajes_EA!$I$43,"N/A")</f>
        <v>Satisfactorio</v>
      </c>
      <c r="I163" s="4" t="str">
        <f aca="false">IF(ISNUMBER(G163),TEXT(G163,"0.00"),"")</f>
        <v>-0.21</v>
      </c>
      <c r="J163" s="3" t="n">
        <v>43</v>
      </c>
      <c r="K163" s="5" t="str">
        <f aca="false">IF(AND(B163=puntajes_EA!$B$43,E163=puntajes_EA!$C$43,I163=IF(ISNUMBER(puntajes_EA!$H$43),TEXT(puntajes_EA!$H$43,"0.00"),""),H163=IFERROR(puntajes_EA!$I$43,"N/A")),"OK","FALLA")</f>
        <v>OK</v>
      </c>
    </row>
    <row r="164" customFormat="false" ht="26.85" hidden="false" customHeight="false" outlineLevel="0" collapsed="false">
      <c r="A164" s="3" t="s">
        <v>194</v>
      </c>
      <c r="B164" s="3" t="s">
        <v>195</v>
      </c>
      <c r="C164" s="3" t="s">
        <v>241</v>
      </c>
      <c r="D164" s="3" t="s">
        <v>250</v>
      </c>
      <c r="E164" s="3" t="s">
        <v>132</v>
      </c>
      <c r="F164" s="3" t="s">
        <v>6</v>
      </c>
      <c r="G164" s="4" t="n">
        <f aca="false">IFERROR(puntajes_EA!$H$44,"")</f>
        <v>0.586601883684868</v>
      </c>
      <c r="H164" s="5" t="str">
        <f aca="false">IFERROR(puntajes_EA!$I$44,"N/A")</f>
        <v>Satisfactorio</v>
      </c>
      <c r="I164" s="4" t="str">
        <f aca="false">IF(ISNUMBER(G164),TEXT(G164,"0.00"),"")</f>
        <v>0.59</v>
      </c>
      <c r="J164" s="3" t="n">
        <v>44</v>
      </c>
      <c r="K164" s="5" t="str">
        <f aca="false">IF(AND(B164=puntajes_EA!$B$44,E164=puntajes_EA!$C$44,I164=IF(ISNUMBER(puntajes_EA!$H$44),TEXT(puntajes_EA!$H$44,"0.00"),""),H164=IFERROR(puntajes_EA!$I$44,"N/A")),"OK","FALLA")</f>
        <v>OK</v>
      </c>
    </row>
    <row r="165" customFormat="false" ht="26.85" hidden="false" customHeight="false" outlineLevel="0" collapsed="false">
      <c r="A165" s="3" t="s">
        <v>194</v>
      </c>
      <c r="B165" s="3" t="s">
        <v>195</v>
      </c>
      <c r="C165" s="3" t="s">
        <v>241</v>
      </c>
      <c r="D165" s="3" t="s">
        <v>250</v>
      </c>
      <c r="E165" s="3" t="s">
        <v>133</v>
      </c>
      <c r="F165" s="3" t="s">
        <v>6</v>
      </c>
      <c r="G165" s="4" t="n">
        <f aca="false">IFERROR(puntajes_EA!$H$45,"")</f>
        <v>-0.216504777631641</v>
      </c>
      <c r="H165" s="5" t="str">
        <f aca="false">IFERROR(puntajes_EA!$I$45,"N/A")</f>
        <v>Satisfactorio</v>
      </c>
      <c r="I165" s="4" t="str">
        <f aca="false">IF(ISNUMBER(G165),TEXT(G165,"0.00"),"")</f>
        <v>-0.22</v>
      </c>
      <c r="J165" s="3" t="n">
        <v>45</v>
      </c>
      <c r="K165" s="5" t="str">
        <f aca="false">IF(AND(B165=puntajes_EA!$B$45,E165=puntajes_EA!$C$45,I165=IF(ISNUMBER(puntajes_EA!$H$45),TEXT(puntajes_EA!$H$45,"0.00"),""),H165=IFERROR(puntajes_EA!$I$45,"N/A")),"OK","FALLA")</f>
        <v>OK</v>
      </c>
    </row>
    <row r="166" customFormat="false" ht="26.85" hidden="false" customHeight="false" outlineLevel="0" collapsed="false">
      <c r="A166" s="3" t="s">
        <v>194</v>
      </c>
      <c r="B166" s="3" t="s">
        <v>195</v>
      </c>
      <c r="C166" s="3" t="s">
        <v>241</v>
      </c>
      <c r="D166" s="3" t="s">
        <v>250</v>
      </c>
      <c r="E166" s="3" t="s">
        <v>134</v>
      </c>
      <c r="F166" s="3" t="s">
        <v>6</v>
      </c>
      <c r="G166" s="4" t="n">
        <f aca="false">IFERROR(puntajes_EA!$H$46,"")</f>
        <v>-0.13522706792825</v>
      </c>
      <c r="H166" s="5" t="str">
        <f aca="false">IFERROR(puntajes_EA!$I$46,"N/A")</f>
        <v>Satisfactorio</v>
      </c>
      <c r="I166" s="4" t="str">
        <f aca="false">IF(ISNUMBER(G166),TEXT(G166,"0.00"),"")</f>
        <v>-0.14</v>
      </c>
      <c r="J166" s="3" t="n">
        <v>46</v>
      </c>
      <c r="K166" s="5" t="str">
        <f aca="false">IF(AND(B166=puntajes_EA!$B$46,E166=puntajes_EA!$C$46,I166=IF(ISNUMBER(puntajes_EA!$H$46),TEXT(puntajes_EA!$H$46,"0.00"),""),H166=IFERROR(puntajes_EA!$I$46,"N/A")),"OK","FALLA")</f>
        <v>OK</v>
      </c>
    </row>
    <row r="167" customFormat="false" ht="26.85" hidden="false" customHeight="false" outlineLevel="0" collapsed="false">
      <c r="A167" s="3" t="s">
        <v>194</v>
      </c>
      <c r="B167" s="3" t="s">
        <v>195</v>
      </c>
      <c r="C167" s="3" t="s">
        <v>241</v>
      </c>
      <c r="D167" s="3" t="s">
        <v>250</v>
      </c>
      <c r="E167" s="3" t="s">
        <v>135</v>
      </c>
      <c r="F167" s="3" t="s">
        <v>6</v>
      </c>
      <c r="G167" s="4" t="n">
        <f aca="false">IFERROR(puntajes_EA!$H$47,"")</f>
        <v>-0.0399042015908222</v>
      </c>
      <c r="H167" s="5" t="str">
        <f aca="false">IFERROR(puntajes_EA!$I$47,"N/A")</f>
        <v>Satisfactorio</v>
      </c>
      <c r="I167" s="4" t="str">
        <f aca="false">IF(ISNUMBER(G167),TEXT(G167,"0.00"),"")</f>
        <v>-0.04</v>
      </c>
      <c r="J167" s="3" t="n">
        <v>47</v>
      </c>
      <c r="K167" s="5" t="str">
        <f aca="false">IF(AND(B167=puntajes_EA!$B$47,E167=puntajes_EA!$C$47,I167=IF(ISNUMBER(puntajes_EA!$H$47),TEXT(puntajes_EA!$H$47,"0.00"),""),H167=IFERROR(puntajes_EA!$I$47,"N/A")),"OK","FALLA")</f>
        <v>OK</v>
      </c>
    </row>
    <row r="168" customFormat="false" ht="26.85" hidden="false" customHeight="false" outlineLevel="0" collapsed="false">
      <c r="A168" s="3" t="s">
        <v>194</v>
      </c>
      <c r="B168" s="3" t="s">
        <v>195</v>
      </c>
      <c r="C168" s="3" t="s">
        <v>241</v>
      </c>
      <c r="D168" s="3" t="s">
        <v>250</v>
      </c>
      <c r="E168" s="3" t="s">
        <v>136</v>
      </c>
      <c r="F168" s="3" t="s">
        <v>6</v>
      </c>
      <c r="G168" s="4" t="n">
        <f aca="false">IFERROR(puntajes_EA!$H$48,"")</f>
        <v>-0.241832109267421</v>
      </c>
      <c r="H168" s="5" t="str">
        <f aca="false">IFERROR(puntajes_EA!$I$48,"N/A")</f>
        <v>Satisfactorio</v>
      </c>
      <c r="I168" s="4" t="str">
        <f aca="false">IF(ISNUMBER(G168),TEXT(G168,"0.00"),"")</f>
        <v>-0.24</v>
      </c>
      <c r="J168" s="3" t="n">
        <v>48</v>
      </c>
      <c r="K168" s="5" t="str">
        <f aca="false">IF(AND(B168=puntajes_EA!$B$48,E168=puntajes_EA!$C$48,I168=IF(ISNUMBER(puntajes_EA!$H$48),TEXT(puntajes_EA!$H$48,"0.00"),""),H168=IFERROR(puntajes_EA!$I$48,"N/A")),"OK","FALLA")</f>
        <v>OK</v>
      </c>
    </row>
    <row r="169" customFormat="false" ht="26.85" hidden="false" customHeight="false" outlineLevel="0" collapsed="false">
      <c r="A169" s="3" t="s">
        <v>194</v>
      </c>
      <c r="B169" s="3" t="s">
        <v>195</v>
      </c>
      <c r="C169" s="3" t="s">
        <v>241</v>
      </c>
      <c r="D169" s="3" t="s">
        <v>250</v>
      </c>
      <c r="E169" s="3" t="s">
        <v>137</v>
      </c>
      <c r="F169" s="3" t="s">
        <v>6</v>
      </c>
      <c r="G169" s="4" t="n">
        <f aca="false">IFERROR(puntajes_EA!$H$49,"")</f>
        <v>-0.0574030852667546</v>
      </c>
      <c r="H169" s="5" t="str">
        <f aca="false">IFERROR(puntajes_EA!$I$49,"N/A")</f>
        <v>Satisfactorio</v>
      </c>
      <c r="I169" s="4" t="str">
        <f aca="false">IF(ISNUMBER(G169),TEXT(G169,"0.00"),"")</f>
        <v>-0.06</v>
      </c>
      <c r="J169" s="3" t="n">
        <v>49</v>
      </c>
      <c r="K169" s="5" t="str">
        <f aca="false">IF(AND(B169=puntajes_EA!$B$49,E169=puntajes_EA!$C$49,I169=IF(ISNUMBER(puntajes_EA!$H$49),TEXT(puntajes_EA!$H$49,"0.00"),""),H169=IFERROR(puntajes_EA!$I$49,"N/A")),"OK","FALLA")</f>
        <v>OK</v>
      </c>
    </row>
    <row r="170" customFormat="false" ht="26.85" hidden="false" customHeight="false" outlineLevel="0" collapsed="false">
      <c r="A170" s="3" t="s">
        <v>194</v>
      </c>
      <c r="B170" s="3" t="s">
        <v>195</v>
      </c>
      <c r="C170" s="3" t="s">
        <v>242</v>
      </c>
      <c r="D170" s="3" t="s">
        <v>242</v>
      </c>
      <c r="E170" s="3" t="s">
        <v>126</v>
      </c>
      <c r="F170" s="3" t="s">
        <v>6</v>
      </c>
      <c r="G170" s="4" t="n">
        <f aca="false">IFERROR(puntajes_EA!$J$38,"")</f>
        <v>0.266813491185681</v>
      </c>
      <c r="H170" s="5" t="str">
        <f aca="false">IFERROR(puntajes_EA!$K$38,"N/A")</f>
        <v>Satisfactorio</v>
      </c>
      <c r="I170" s="4" t="str">
        <f aca="false">IF(ISNUMBER(G170),TEXT(G170,"0.00"),"")</f>
        <v>0.27</v>
      </c>
      <c r="J170" s="3" t="n">
        <v>38</v>
      </c>
      <c r="K170" s="5" t="str">
        <f aca="false">IF(AND(B170=puntajes_EA!$B$38,E170=puntajes_EA!$C$38,I170=IF(ISNUMBER(puntajes_EA!$J$38),TEXT(puntajes_EA!$J$38,"0.00"),""),H170=IFERROR(puntajes_EA!$K$38,"N/A")),"OK","FALLA")</f>
        <v>OK</v>
      </c>
    </row>
    <row r="171" customFormat="false" ht="26.85" hidden="false" customHeight="false" outlineLevel="0" collapsed="false">
      <c r="A171" s="3" t="s">
        <v>194</v>
      </c>
      <c r="B171" s="3" t="s">
        <v>195</v>
      </c>
      <c r="C171" s="3" t="s">
        <v>242</v>
      </c>
      <c r="D171" s="3" t="s">
        <v>242</v>
      </c>
      <c r="E171" s="3" t="s">
        <v>127</v>
      </c>
      <c r="F171" s="3" t="s">
        <v>6</v>
      </c>
      <c r="G171" s="4" t="n">
        <f aca="false">IFERROR(puntajes_EA!$J$39,"")</f>
        <v>-0.257834499226145</v>
      </c>
      <c r="H171" s="5" t="str">
        <f aca="false">IFERROR(puntajes_EA!$K$39,"N/A")</f>
        <v>Satisfactorio</v>
      </c>
      <c r="I171" s="4" t="str">
        <f aca="false">IF(ISNUMBER(G171),TEXT(G171,"0.00"),"")</f>
        <v>-0.26</v>
      </c>
      <c r="J171" s="3" t="n">
        <v>39</v>
      </c>
      <c r="K171" s="5" t="str">
        <f aca="false">IF(AND(B171=puntajes_EA!$B$39,E171=puntajes_EA!$C$39,I171=IF(ISNUMBER(puntajes_EA!$J$39),TEXT(puntajes_EA!$J$39,"0.00"),""),H171=IFERROR(puntajes_EA!$K$39,"N/A")),"OK","FALLA")</f>
        <v>OK</v>
      </c>
    </row>
    <row r="172" customFormat="false" ht="26.85" hidden="false" customHeight="false" outlineLevel="0" collapsed="false">
      <c r="A172" s="3" t="s">
        <v>194</v>
      </c>
      <c r="B172" s="3" t="s">
        <v>195</v>
      </c>
      <c r="C172" s="3" t="s">
        <v>242</v>
      </c>
      <c r="D172" s="3" t="s">
        <v>242</v>
      </c>
      <c r="E172" s="3" t="s">
        <v>128</v>
      </c>
      <c r="F172" s="3" t="s">
        <v>6</v>
      </c>
      <c r="G172" s="4" t="n">
        <f aca="false">IFERROR(puntajes_EA!$J$40,"")</f>
        <v>0.893011687054268</v>
      </c>
      <c r="H172" s="5" t="str">
        <f aca="false">IFERROR(puntajes_EA!$K$40,"N/A")</f>
        <v>Satisfactorio</v>
      </c>
      <c r="I172" s="4" t="str">
        <f aca="false">IF(ISNUMBER(G172),TEXT(G172,"0.00"),"")</f>
        <v>0.89</v>
      </c>
      <c r="J172" s="3" t="n">
        <v>40</v>
      </c>
      <c r="K172" s="5" t="str">
        <f aca="false">IF(AND(B172=puntajes_EA!$B$40,E172=puntajes_EA!$C$40,I172=IF(ISNUMBER(puntajes_EA!$J$40),TEXT(puntajes_EA!$J$40,"0.00"),""),H172=IFERROR(puntajes_EA!$K$40,"N/A")),"OK","FALLA")</f>
        <v>OK</v>
      </c>
    </row>
    <row r="173" customFormat="false" ht="26.85" hidden="false" customHeight="false" outlineLevel="0" collapsed="false">
      <c r="A173" s="3" t="s">
        <v>194</v>
      </c>
      <c r="B173" s="3" t="s">
        <v>195</v>
      </c>
      <c r="C173" s="3" t="s">
        <v>242</v>
      </c>
      <c r="D173" s="3" t="s">
        <v>242</v>
      </c>
      <c r="E173" s="3" t="s">
        <v>129</v>
      </c>
      <c r="F173" s="3" t="s">
        <v>6</v>
      </c>
      <c r="G173" s="4" t="n">
        <f aca="false">IFERROR(puntajes_EA!$J$41,"")</f>
        <v>0.228871871975236</v>
      </c>
      <c r="H173" s="5" t="str">
        <f aca="false">IFERROR(puntajes_EA!$K$41,"N/A")</f>
        <v>Satisfactorio</v>
      </c>
      <c r="I173" s="4" t="str">
        <f aca="false">IF(ISNUMBER(G173),TEXT(G173,"0.00"),"")</f>
        <v>0.23</v>
      </c>
      <c r="J173" s="3" t="n">
        <v>41</v>
      </c>
      <c r="K173" s="5" t="str">
        <f aca="false">IF(AND(B173=puntajes_EA!$B$41,E173=puntajes_EA!$C$41,I173=IF(ISNUMBER(puntajes_EA!$J$41),TEXT(puntajes_EA!$J$41,"0.00"),""),H173=IFERROR(puntajes_EA!$K$41,"N/A")),"OK","FALLA")</f>
        <v>OK</v>
      </c>
    </row>
    <row r="174" customFormat="false" ht="26.85" hidden="false" customHeight="false" outlineLevel="0" collapsed="false">
      <c r="A174" s="3" t="s">
        <v>194</v>
      </c>
      <c r="B174" s="3" t="s">
        <v>195</v>
      </c>
      <c r="C174" s="3" t="s">
        <v>242</v>
      </c>
      <c r="D174" s="3" t="s">
        <v>242</v>
      </c>
      <c r="E174" s="3" t="s">
        <v>130</v>
      </c>
      <c r="F174" s="3" t="s">
        <v>6</v>
      </c>
      <c r="G174" s="4" t="n">
        <f aca="false">IFERROR(puntajes_EA!$J$42,"")</f>
        <v>-0.365081090129675</v>
      </c>
      <c r="H174" s="5" t="str">
        <f aca="false">IFERROR(puntajes_EA!$K$42,"N/A")</f>
        <v>Satisfactorio</v>
      </c>
      <c r="I174" s="4" t="str">
        <f aca="false">IF(ISNUMBER(G174),TEXT(G174,"0.00"),"")</f>
        <v>-0.37</v>
      </c>
      <c r="J174" s="3" t="n">
        <v>42</v>
      </c>
      <c r="K174" s="5" t="str">
        <f aca="false">IF(AND(B174=puntajes_EA!$B$42,E174=puntajes_EA!$C$42,I174=IF(ISNUMBER(puntajes_EA!$J$42),TEXT(puntajes_EA!$J$42,"0.00"),""),H174=IFERROR(puntajes_EA!$K$42,"N/A")),"OK","FALLA")</f>
        <v>OK</v>
      </c>
    </row>
    <row r="175" customFormat="false" ht="26.85" hidden="false" customHeight="false" outlineLevel="0" collapsed="false">
      <c r="A175" s="3" t="s">
        <v>194</v>
      </c>
      <c r="B175" s="3" t="s">
        <v>195</v>
      </c>
      <c r="C175" s="3" t="s">
        <v>242</v>
      </c>
      <c r="D175" s="3" t="s">
        <v>242</v>
      </c>
      <c r="E175" s="3" t="s">
        <v>131</v>
      </c>
      <c r="F175" s="3" t="s">
        <v>6</v>
      </c>
      <c r="G175" s="4" t="n">
        <f aca="false">IFERROR(puntajes_EA!$J$43,"")</f>
        <v>-0.227141788921872</v>
      </c>
      <c r="H175" s="5" t="str">
        <f aca="false">IFERROR(puntajes_EA!$K$43,"N/A")</f>
        <v>Satisfactorio</v>
      </c>
      <c r="I175" s="4" t="str">
        <f aca="false">IF(ISNUMBER(G175),TEXT(G175,"0.00"),"")</f>
        <v>-0.23</v>
      </c>
      <c r="J175" s="3" t="n">
        <v>43</v>
      </c>
      <c r="K175" s="5" t="str">
        <f aca="false">IF(AND(B175=puntajes_EA!$B$43,E175=puntajes_EA!$C$43,I175=IF(ISNUMBER(puntajes_EA!$J$43),TEXT(puntajes_EA!$J$43,"0.00"),""),H175=IFERROR(puntajes_EA!$K$43,"N/A")),"OK","FALLA")</f>
        <v>OK</v>
      </c>
    </row>
    <row r="176" customFormat="false" ht="26.85" hidden="false" customHeight="false" outlineLevel="0" collapsed="false">
      <c r="A176" s="3" t="s">
        <v>194</v>
      </c>
      <c r="B176" s="3" t="s">
        <v>195</v>
      </c>
      <c r="C176" s="3" t="s">
        <v>242</v>
      </c>
      <c r="D176" s="3" t="s">
        <v>242</v>
      </c>
      <c r="E176" s="3" t="s">
        <v>132</v>
      </c>
      <c r="F176" s="3" t="s">
        <v>6</v>
      </c>
      <c r="G176" s="4" t="n">
        <f aca="false">IFERROR(puntajes_EA!$J$44,"")</f>
        <v>0.614911309621813</v>
      </c>
      <c r="H176" s="5" t="str">
        <f aca="false">IFERROR(puntajes_EA!$K$44,"N/A")</f>
        <v>Satisfactorio</v>
      </c>
      <c r="I176" s="4" t="str">
        <f aca="false">IF(ISNUMBER(G176),TEXT(G176,"0.00"),"")</f>
        <v>0.61</v>
      </c>
      <c r="J176" s="3" t="n">
        <v>44</v>
      </c>
      <c r="K176" s="5" t="str">
        <f aca="false">IF(AND(B176=puntajes_EA!$B$44,E176=puntajes_EA!$C$44,I176=IF(ISNUMBER(puntajes_EA!$J$44),TEXT(puntajes_EA!$J$44,"0.00"),""),H176=IFERROR(puntajes_EA!$K$44,"N/A")),"OK","FALLA")</f>
        <v>OK</v>
      </c>
    </row>
    <row r="177" customFormat="false" ht="26.85" hidden="false" customHeight="false" outlineLevel="0" collapsed="false">
      <c r="A177" s="3" t="s">
        <v>194</v>
      </c>
      <c r="B177" s="3" t="s">
        <v>195</v>
      </c>
      <c r="C177" s="3" t="s">
        <v>242</v>
      </c>
      <c r="D177" s="3" t="s">
        <v>242</v>
      </c>
      <c r="E177" s="3" t="s">
        <v>133</v>
      </c>
      <c r="F177" s="3" t="s">
        <v>6</v>
      </c>
      <c r="G177" s="4" t="n">
        <f aca="false">IFERROR(puntajes_EA!$J$45,"")</f>
        <v>-0.230304491584109</v>
      </c>
      <c r="H177" s="5" t="str">
        <f aca="false">IFERROR(puntajes_EA!$K$45,"N/A")</f>
        <v>Satisfactorio</v>
      </c>
      <c r="I177" s="4" t="str">
        <f aca="false">IF(ISNUMBER(G177),TEXT(G177,"0.00"),"")</f>
        <v>-0.23</v>
      </c>
      <c r="J177" s="3" t="n">
        <v>45</v>
      </c>
      <c r="K177" s="5" t="str">
        <f aca="false">IF(AND(B177=puntajes_EA!$B$45,E177=puntajes_EA!$C$45,I177=IF(ISNUMBER(puntajes_EA!$J$45),TEXT(puntajes_EA!$J$45,"0.00"),""),H177=IFERROR(puntajes_EA!$K$45,"N/A")),"OK","FALLA")</f>
        <v>OK</v>
      </c>
    </row>
    <row r="178" customFormat="false" ht="26.85" hidden="false" customHeight="false" outlineLevel="0" collapsed="false">
      <c r="A178" s="3" t="s">
        <v>194</v>
      </c>
      <c r="B178" s="3" t="s">
        <v>195</v>
      </c>
      <c r="C178" s="3" t="s">
        <v>242</v>
      </c>
      <c r="D178" s="3" t="s">
        <v>242</v>
      </c>
      <c r="E178" s="3" t="s">
        <v>134</v>
      </c>
      <c r="F178" s="3" t="s">
        <v>6</v>
      </c>
      <c r="G178" s="4" t="n">
        <f aca="false">IFERROR(puntajes_EA!$J$46,"")</f>
        <v>-0.135071734512911</v>
      </c>
      <c r="H178" s="5" t="str">
        <f aca="false">IFERROR(puntajes_EA!$K$46,"N/A")</f>
        <v>Satisfactorio</v>
      </c>
      <c r="I178" s="4" t="str">
        <f aca="false">IF(ISNUMBER(G178),TEXT(G178,"0.00"),"")</f>
        <v>-0.14</v>
      </c>
      <c r="J178" s="3" t="n">
        <v>46</v>
      </c>
      <c r="K178" s="5" t="str">
        <f aca="false">IF(AND(B178=puntajes_EA!$B$46,E178=puntajes_EA!$C$46,I178=IF(ISNUMBER(puntajes_EA!$J$46),TEXT(puntajes_EA!$J$46,"0.00"),""),H178=IFERROR(puntajes_EA!$K$46,"N/A")),"OK","FALLA")</f>
        <v>OK</v>
      </c>
    </row>
    <row r="179" customFormat="false" ht="26.85" hidden="false" customHeight="false" outlineLevel="0" collapsed="false">
      <c r="A179" s="3" t="s">
        <v>194</v>
      </c>
      <c r="B179" s="3" t="s">
        <v>195</v>
      </c>
      <c r="C179" s="3" t="s">
        <v>242</v>
      </c>
      <c r="D179" s="3" t="s">
        <v>242</v>
      </c>
      <c r="E179" s="3" t="s">
        <v>135</v>
      </c>
      <c r="F179" s="3" t="s">
        <v>6</v>
      </c>
      <c r="G179" s="4" t="n">
        <f aca="false">IFERROR(puntajes_EA!$J$47,"")</f>
        <v>-0.041076927313786</v>
      </c>
      <c r="H179" s="5" t="str">
        <f aca="false">IFERROR(puntajes_EA!$K$47,"N/A")</f>
        <v>Satisfactorio</v>
      </c>
      <c r="I179" s="4" t="str">
        <f aca="false">IF(ISNUMBER(G179),TEXT(G179,"0.00"),"")</f>
        <v>-0.04</v>
      </c>
      <c r="J179" s="3" t="n">
        <v>47</v>
      </c>
      <c r="K179" s="5" t="str">
        <f aca="false">IF(AND(B179=puntajes_EA!$B$47,E179=puntajes_EA!$C$47,I179=IF(ISNUMBER(puntajes_EA!$J$47),TEXT(puntajes_EA!$J$47,"0.00"),""),H179=IFERROR(puntajes_EA!$K$47,"N/A")),"OK","FALLA")</f>
        <v>OK</v>
      </c>
    </row>
    <row r="180" customFormat="false" ht="26.85" hidden="false" customHeight="false" outlineLevel="0" collapsed="false">
      <c r="A180" s="3" t="s">
        <v>194</v>
      </c>
      <c r="B180" s="3" t="s">
        <v>195</v>
      </c>
      <c r="C180" s="3" t="s">
        <v>242</v>
      </c>
      <c r="D180" s="3" t="s">
        <v>242</v>
      </c>
      <c r="E180" s="3" t="s">
        <v>136</v>
      </c>
      <c r="F180" s="3" t="s">
        <v>6</v>
      </c>
      <c r="G180" s="4" t="n">
        <f aca="false">IFERROR(puntajes_EA!$J$48,"")</f>
        <v>-0.243579670004726</v>
      </c>
      <c r="H180" s="5" t="str">
        <f aca="false">IFERROR(puntajes_EA!$K$48,"N/A")</f>
        <v>Satisfactorio</v>
      </c>
      <c r="I180" s="4" t="str">
        <f aca="false">IF(ISNUMBER(G180),TEXT(G180,"0.00"),"")</f>
        <v>-0.24</v>
      </c>
      <c r="J180" s="3" t="n">
        <v>48</v>
      </c>
      <c r="K180" s="5" t="str">
        <f aca="false">IF(AND(B180=puntajes_EA!$B$48,E180=puntajes_EA!$C$48,I180=IF(ISNUMBER(puntajes_EA!$J$48),TEXT(puntajes_EA!$J$48,"0.00"),""),H180=IFERROR(puntajes_EA!$K$48,"N/A")),"OK","FALLA")</f>
        <v>OK</v>
      </c>
    </row>
    <row r="181" customFormat="false" ht="26.85" hidden="false" customHeight="false" outlineLevel="0" collapsed="false">
      <c r="A181" s="3" t="s">
        <v>194</v>
      </c>
      <c r="B181" s="3" t="s">
        <v>195</v>
      </c>
      <c r="C181" s="3" t="s">
        <v>242</v>
      </c>
      <c r="D181" s="3" t="s">
        <v>242</v>
      </c>
      <c r="E181" s="3" t="s">
        <v>137</v>
      </c>
      <c r="F181" s="3" t="s">
        <v>6</v>
      </c>
      <c r="G181" s="4" t="n">
        <f aca="false">IFERROR(puntajes_EA!$J$49,"")</f>
        <v>-0.0601632462313216</v>
      </c>
      <c r="H181" s="5" t="str">
        <f aca="false">IFERROR(puntajes_EA!$K$49,"N/A")</f>
        <v>Satisfactorio</v>
      </c>
      <c r="I181" s="4" t="str">
        <f aca="false">IF(ISNUMBER(G181),TEXT(G181,"0.00"),"")</f>
        <v>-0.06</v>
      </c>
      <c r="J181" s="3" t="n">
        <v>49</v>
      </c>
      <c r="K181" s="5" t="str">
        <f aca="false">IF(AND(B181=puntajes_EA!$B$49,E181=puntajes_EA!$C$49,I181=IF(ISNUMBER(puntajes_EA!$J$49),TEXT(puntajes_EA!$J$49,"0.00"),""),H181=IFERROR(puntajes_EA!$K$49,"N/A")),"OK","FALLA")</f>
        <v>OK</v>
      </c>
    </row>
    <row r="182" customFormat="false" ht="26.85" hidden="false" customHeight="false" outlineLevel="0" collapsed="false">
      <c r="A182" s="3" t="s">
        <v>194</v>
      </c>
      <c r="B182" s="3" t="s">
        <v>195</v>
      </c>
      <c r="C182" s="3" t="s">
        <v>243</v>
      </c>
      <c r="D182" s="3" t="s">
        <v>243</v>
      </c>
      <c r="E182" s="3" t="s">
        <v>126</v>
      </c>
      <c r="F182" s="3" t="s">
        <v>6</v>
      </c>
      <c r="G182" s="4" t="n">
        <f aca="false">IFERROR(puntajes_EA!$L$38,"")</f>
        <v>0.133406745592841</v>
      </c>
      <c r="H182" s="5" t="str">
        <f aca="false">IFERROR(puntajes_EA!$M$38,"N/A")</f>
        <v>Satisfactorio</v>
      </c>
      <c r="I182" s="4" t="str">
        <f aca="false">IF(ISNUMBER(G182),TEXT(G182,"0.00"),"")</f>
        <v>0.13</v>
      </c>
      <c r="J182" s="3" t="n">
        <v>38</v>
      </c>
      <c r="K182" s="5" t="str">
        <f aca="false">IF(AND(B182=puntajes_EA!$B$38,E182=puntajes_EA!$C$38,I182=IF(ISNUMBER(puntajes_EA!$L$38),TEXT(puntajes_EA!$L$38,"0.00"),""),H182=IFERROR(puntajes_EA!$M$38,"N/A")),"OK","FALLA")</f>
        <v>OK</v>
      </c>
    </row>
    <row r="183" customFormat="false" ht="26.85" hidden="false" customHeight="false" outlineLevel="0" collapsed="false">
      <c r="A183" s="3" t="s">
        <v>194</v>
      </c>
      <c r="B183" s="3" t="s">
        <v>195</v>
      </c>
      <c r="C183" s="3" t="s">
        <v>243</v>
      </c>
      <c r="D183" s="3" t="s">
        <v>243</v>
      </c>
      <c r="E183" s="3" t="s">
        <v>127</v>
      </c>
      <c r="F183" s="3" t="s">
        <v>6</v>
      </c>
      <c r="G183" s="4" t="n">
        <f aca="false">IFERROR(puntajes_EA!$L$39,"")</f>
        <v>-0.128917249613072</v>
      </c>
      <c r="H183" s="5" t="str">
        <f aca="false">IFERROR(puntajes_EA!$M$39,"N/A")</f>
        <v>Satisfactorio</v>
      </c>
      <c r="I183" s="4" t="str">
        <f aca="false">IF(ISNUMBER(G183),TEXT(G183,"0.00"),"")</f>
        <v>-0.13</v>
      </c>
      <c r="J183" s="3" t="n">
        <v>39</v>
      </c>
      <c r="K183" s="5" t="str">
        <f aca="false">IF(AND(B183=puntajes_EA!$B$39,E183=puntajes_EA!$C$39,I183=IF(ISNUMBER(puntajes_EA!$L$39),TEXT(puntajes_EA!$L$39,"0.00"),""),H183=IFERROR(puntajes_EA!$M$39,"N/A")),"OK","FALLA")</f>
        <v>OK</v>
      </c>
    </row>
    <row r="184" customFormat="false" ht="26.85" hidden="false" customHeight="false" outlineLevel="0" collapsed="false">
      <c r="A184" s="3" t="s">
        <v>194</v>
      </c>
      <c r="B184" s="3" t="s">
        <v>195</v>
      </c>
      <c r="C184" s="3" t="s">
        <v>243</v>
      </c>
      <c r="D184" s="3" t="s">
        <v>243</v>
      </c>
      <c r="E184" s="3" t="s">
        <v>128</v>
      </c>
      <c r="F184" s="3" t="s">
        <v>6</v>
      </c>
      <c r="G184" s="4" t="n">
        <f aca="false">IFERROR(puntajes_EA!$L$40,"")</f>
        <v>0.446505843527134</v>
      </c>
      <c r="H184" s="5" t="str">
        <f aca="false">IFERROR(puntajes_EA!$M$40,"N/A")</f>
        <v>Satisfactorio</v>
      </c>
      <c r="I184" s="4" t="str">
        <f aca="false">IF(ISNUMBER(G184),TEXT(G184,"0.00"),"")</f>
        <v>0.45</v>
      </c>
      <c r="J184" s="3" t="n">
        <v>40</v>
      </c>
      <c r="K184" s="5" t="str">
        <f aca="false">IF(AND(B184=puntajes_EA!$B$40,E184=puntajes_EA!$C$40,I184=IF(ISNUMBER(puntajes_EA!$L$40),TEXT(puntajes_EA!$L$40,"0.00"),""),H184=IFERROR(puntajes_EA!$M$40,"N/A")),"OK","FALLA")</f>
        <v>OK</v>
      </c>
    </row>
    <row r="185" customFormat="false" ht="26.85" hidden="false" customHeight="false" outlineLevel="0" collapsed="false">
      <c r="A185" s="3" t="s">
        <v>194</v>
      </c>
      <c r="B185" s="3" t="s">
        <v>195</v>
      </c>
      <c r="C185" s="3" t="s">
        <v>243</v>
      </c>
      <c r="D185" s="3" t="s">
        <v>243</v>
      </c>
      <c r="E185" s="3" t="s">
        <v>129</v>
      </c>
      <c r="F185" s="3" t="s">
        <v>6</v>
      </c>
      <c r="G185" s="4" t="n">
        <f aca="false">IFERROR(puntajes_EA!$L$41,"")</f>
        <v>0.114435935987618</v>
      </c>
      <c r="H185" s="5" t="str">
        <f aca="false">IFERROR(puntajes_EA!$M$41,"N/A")</f>
        <v>Satisfactorio</v>
      </c>
      <c r="I185" s="4" t="str">
        <f aca="false">IF(ISNUMBER(G185),TEXT(G185,"0.00"),"")</f>
        <v>0.11</v>
      </c>
      <c r="J185" s="3" t="n">
        <v>41</v>
      </c>
      <c r="K185" s="5" t="str">
        <f aca="false">IF(AND(B185=puntajes_EA!$B$41,E185=puntajes_EA!$C$41,I185=IF(ISNUMBER(puntajes_EA!$L$41),TEXT(puntajes_EA!$L$41,"0.00"),""),H185=IFERROR(puntajes_EA!$M$41,"N/A")),"OK","FALLA")</f>
        <v>OK</v>
      </c>
    </row>
    <row r="186" customFormat="false" ht="26.85" hidden="false" customHeight="false" outlineLevel="0" collapsed="false">
      <c r="A186" s="3" t="s">
        <v>194</v>
      </c>
      <c r="B186" s="3" t="s">
        <v>195</v>
      </c>
      <c r="C186" s="3" t="s">
        <v>243</v>
      </c>
      <c r="D186" s="3" t="s">
        <v>243</v>
      </c>
      <c r="E186" s="3" t="s">
        <v>130</v>
      </c>
      <c r="F186" s="3" t="s">
        <v>6</v>
      </c>
      <c r="G186" s="4" t="n">
        <f aca="false">IFERROR(puntajes_EA!$L$42,"")</f>
        <v>-0.182540545064837</v>
      </c>
      <c r="H186" s="5" t="str">
        <f aca="false">IFERROR(puntajes_EA!$M$42,"N/A")</f>
        <v>Satisfactorio</v>
      </c>
      <c r="I186" s="4" t="str">
        <f aca="false">IF(ISNUMBER(G186),TEXT(G186,"0.00"),"")</f>
        <v>-0.18</v>
      </c>
      <c r="J186" s="3" t="n">
        <v>42</v>
      </c>
      <c r="K186" s="5" t="str">
        <f aca="false">IF(AND(B186=puntajes_EA!$B$42,E186=puntajes_EA!$C$42,I186=IF(ISNUMBER(puntajes_EA!$L$42),TEXT(puntajes_EA!$L$42,"0.00"),""),H186=IFERROR(puntajes_EA!$M$42,"N/A")),"OK","FALLA")</f>
        <v>OK</v>
      </c>
    </row>
    <row r="187" customFormat="false" ht="26.85" hidden="false" customHeight="false" outlineLevel="0" collapsed="false">
      <c r="A187" s="3" t="s">
        <v>194</v>
      </c>
      <c r="B187" s="3" t="s">
        <v>195</v>
      </c>
      <c r="C187" s="3" t="s">
        <v>243</v>
      </c>
      <c r="D187" s="3" t="s">
        <v>243</v>
      </c>
      <c r="E187" s="3" t="s">
        <v>131</v>
      </c>
      <c r="F187" s="3" t="s">
        <v>6</v>
      </c>
      <c r="G187" s="4" t="n">
        <f aca="false">IFERROR(puntajes_EA!$L$43,"")</f>
        <v>-0.113570894460936</v>
      </c>
      <c r="H187" s="5" t="str">
        <f aca="false">IFERROR(puntajes_EA!$M$43,"N/A")</f>
        <v>Satisfactorio</v>
      </c>
      <c r="I187" s="4" t="str">
        <f aca="false">IF(ISNUMBER(G187),TEXT(G187,"0.00"),"")</f>
        <v>-0.11</v>
      </c>
      <c r="J187" s="3" t="n">
        <v>43</v>
      </c>
      <c r="K187" s="5" t="str">
        <f aca="false">IF(AND(B187=puntajes_EA!$B$43,E187=puntajes_EA!$C$43,I187=IF(ISNUMBER(puntajes_EA!$L$43),TEXT(puntajes_EA!$L$43,"0.00"),""),H187=IFERROR(puntajes_EA!$M$43,"N/A")),"OK","FALLA")</f>
        <v>OK</v>
      </c>
    </row>
    <row r="188" customFormat="false" ht="26.85" hidden="false" customHeight="false" outlineLevel="0" collapsed="false">
      <c r="A188" s="3" t="s">
        <v>194</v>
      </c>
      <c r="B188" s="3" t="s">
        <v>195</v>
      </c>
      <c r="C188" s="3" t="s">
        <v>243</v>
      </c>
      <c r="D188" s="3" t="s">
        <v>243</v>
      </c>
      <c r="E188" s="3" t="s">
        <v>132</v>
      </c>
      <c r="F188" s="3" t="s">
        <v>6</v>
      </c>
      <c r="G188" s="4" t="n">
        <f aca="false">IFERROR(puntajes_EA!$L$44,"")</f>
        <v>0.307455654810907</v>
      </c>
      <c r="H188" s="5" t="str">
        <f aca="false">IFERROR(puntajes_EA!$M$44,"N/A")</f>
        <v>Satisfactorio</v>
      </c>
      <c r="I188" s="4" t="str">
        <f aca="false">IF(ISNUMBER(G188),TEXT(G188,"0.00"),"")</f>
        <v>0.31</v>
      </c>
      <c r="J188" s="3" t="n">
        <v>44</v>
      </c>
      <c r="K188" s="5" t="str">
        <f aca="false">IF(AND(B188=puntajes_EA!$B$44,E188=puntajes_EA!$C$44,I188=IF(ISNUMBER(puntajes_EA!$L$44),TEXT(puntajes_EA!$L$44,"0.00"),""),H188=IFERROR(puntajes_EA!$M$44,"N/A")),"OK","FALLA")</f>
        <v>OK</v>
      </c>
    </row>
    <row r="189" customFormat="false" ht="26.85" hidden="false" customHeight="false" outlineLevel="0" collapsed="false">
      <c r="A189" s="3" t="s">
        <v>194</v>
      </c>
      <c r="B189" s="3" t="s">
        <v>195</v>
      </c>
      <c r="C189" s="3" t="s">
        <v>243</v>
      </c>
      <c r="D189" s="3" t="s">
        <v>243</v>
      </c>
      <c r="E189" s="3" t="s">
        <v>133</v>
      </c>
      <c r="F189" s="3" t="s">
        <v>6</v>
      </c>
      <c r="G189" s="4" t="n">
        <f aca="false">IFERROR(puntajes_EA!$L$45,"")</f>
        <v>-0.115152245792054</v>
      </c>
      <c r="H189" s="5" t="str">
        <f aca="false">IFERROR(puntajes_EA!$M$45,"N/A")</f>
        <v>Satisfactorio</v>
      </c>
      <c r="I189" s="4" t="str">
        <f aca="false">IF(ISNUMBER(G189),TEXT(G189,"0.00"),"")</f>
        <v>-0.12</v>
      </c>
      <c r="J189" s="3" t="n">
        <v>45</v>
      </c>
      <c r="K189" s="5" t="str">
        <f aca="false">IF(AND(B189=puntajes_EA!$B$45,E189=puntajes_EA!$C$45,I189=IF(ISNUMBER(puntajes_EA!$L$45),TEXT(puntajes_EA!$L$45,"0.00"),""),H189=IFERROR(puntajes_EA!$M$45,"N/A")),"OK","FALLA")</f>
        <v>OK</v>
      </c>
    </row>
    <row r="190" customFormat="false" ht="26.85" hidden="false" customHeight="false" outlineLevel="0" collapsed="false">
      <c r="A190" s="3" t="s">
        <v>194</v>
      </c>
      <c r="B190" s="3" t="s">
        <v>195</v>
      </c>
      <c r="C190" s="3" t="s">
        <v>243</v>
      </c>
      <c r="D190" s="3" t="s">
        <v>243</v>
      </c>
      <c r="E190" s="3" t="s">
        <v>134</v>
      </c>
      <c r="F190" s="3" t="s">
        <v>6</v>
      </c>
      <c r="G190" s="4" t="n">
        <f aca="false">IFERROR(puntajes_EA!$L$46,"")</f>
        <v>-0.0675358672564557</v>
      </c>
      <c r="H190" s="5" t="str">
        <f aca="false">IFERROR(puntajes_EA!$M$46,"N/A")</f>
        <v>Satisfactorio</v>
      </c>
      <c r="I190" s="4" t="str">
        <f aca="false">IF(ISNUMBER(G190),TEXT(G190,"0.00"),"")</f>
        <v>-0.07</v>
      </c>
      <c r="J190" s="3" t="n">
        <v>46</v>
      </c>
      <c r="K190" s="5" t="str">
        <f aca="false">IF(AND(B190=puntajes_EA!$B$46,E190=puntajes_EA!$C$46,I190=IF(ISNUMBER(puntajes_EA!$L$46),TEXT(puntajes_EA!$L$46,"0.00"),""),H190=IFERROR(puntajes_EA!$M$46,"N/A")),"OK","FALLA")</f>
        <v>OK</v>
      </c>
    </row>
    <row r="191" customFormat="false" ht="26.85" hidden="false" customHeight="false" outlineLevel="0" collapsed="false">
      <c r="A191" s="3" t="s">
        <v>194</v>
      </c>
      <c r="B191" s="3" t="s">
        <v>195</v>
      </c>
      <c r="C191" s="3" t="s">
        <v>243</v>
      </c>
      <c r="D191" s="3" t="s">
        <v>243</v>
      </c>
      <c r="E191" s="3" t="s">
        <v>135</v>
      </c>
      <c r="F191" s="3" t="s">
        <v>6</v>
      </c>
      <c r="G191" s="4" t="n">
        <f aca="false">IFERROR(puntajes_EA!$L$47,"")</f>
        <v>-0.020538463656893</v>
      </c>
      <c r="H191" s="5" t="str">
        <f aca="false">IFERROR(puntajes_EA!$M$47,"N/A")</f>
        <v>Satisfactorio</v>
      </c>
      <c r="I191" s="4" t="str">
        <f aca="false">IF(ISNUMBER(G191),TEXT(G191,"0.00"),"")</f>
        <v>-0.02</v>
      </c>
      <c r="J191" s="3" t="n">
        <v>47</v>
      </c>
      <c r="K191" s="5" t="str">
        <f aca="false">IF(AND(B191=puntajes_EA!$B$47,E191=puntajes_EA!$C$47,I191=IF(ISNUMBER(puntajes_EA!$L$47),TEXT(puntajes_EA!$L$47,"0.00"),""),H191=IFERROR(puntajes_EA!$M$47,"N/A")),"OK","FALLA")</f>
        <v>OK</v>
      </c>
    </row>
    <row r="192" customFormat="false" ht="26.85" hidden="false" customHeight="false" outlineLevel="0" collapsed="false">
      <c r="A192" s="3" t="s">
        <v>194</v>
      </c>
      <c r="B192" s="3" t="s">
        <v>195</v>
      </c>
      <c r="C192" s="3" t="s">
        <v>243</v>
      </c>
      <c r="D192" s="3" t="s">
        <v>243</v>
      </c>
      <c r="E192" s="3" t="s">
        <v>136</v>
      </c>
      <c r="F192" s="3" t="s">
        <v>6</v>
      </c>
      <c r="G192" s="4" t="n">
        <f aca="false">IFERROR(puntajes_EA!$L$48,"")</f>
        <v>-0.121789835002363</v>
      </c>
      <c r="H192" s="5" t="str">
        <f aca="false">IFERROR(puntajes_EA!$M$48,"N/A")</f>
        <v>Satisfactorio</v>
      </c>
      <c r="I192" s="4" t="str">
        <f aca="false">IF(ISNUMBER(G192),TEXT(G192,"0.00"),"")</f>
        <v>-0.12</v>
      </c>
      <c r="J192" s="3" t="n">
        <v>48</v>
      </c>
      <c r="K192" s="5" t="str">
        <f aca="false">IF(AND(B192=puntajes_EA!$B$48,E192=puntajes_EA!$C$48,I192=IF(ISNUMBER(puntajes_EA!$L$48),TEXT(puntajes_EA!$L$48,"0.00"),""),H192=IFERROR(puntajes_EA!$M$48,"N/A")),"OK","FALLA")</f>
        <v>OK</v>
      </c>
    </row>
    <row r="193" customFormat="false" ht="26.85" hidden="false" customHeight="false" outlineLevel="0" collapsed="false">
      <c r="A193" s="3" t="s">
        <v>194</v>
      </c>
      <c r="B193" s="3" t="s">
        <v>195</v>
      </c>
      <c r="C193" s="3" t="s">
        <v>243</v>
      </c>
      <c r="D193" s="3" t="s">
        <v>243</v>
      </c>
      <c r="E193" s="3" t="s">
        <v>137</v>
      </c>
      <c r="F193" s="3" t="s">
        <v>6</v>
      </c>
      <c r="G193" s="4" t="n">
        <f aca="false">IFERROR(puntajes_EA!$L$49,"")</f>
        <v>-0.0300816231156608</v>
      </c>
      <c r="H193" s="5" t="str">
        <f aca="false">IFERROR(puntajes_EA!$M$49,"N/A")</f>
        <v>Satisfactorio</v>
      </c>
      <c r="I193" s="4" t="str">
        <f aca="false">IF(ISNUMBER(G193),TEXT(G193,"0.00"),"")</f>
        <v>-0.03</v>
      </c>
      <c r="J193" s="3" t="n">
        <v>49</v>
      </c>
      <c r="K193" s="5" t="str">
        <f aca="false">IF(AND(B193=puntajes_EA!$B$49,E193=puntajes_EA!$C$49,I193=IF(ISNUMBER(puntajes_EA!$L$49),TEXT(puntajes_EA!$L$49,"0.00"),""),H193=IFERROR(puntajes_EA!$M$49,"N/A")),"OK","FALLA")</f>
        <v>OK</v>
      </c>
    </row>
    <row r="194" customFormat="false" ht="26.85" hidden="false" customHeight="false" outlineLevel="0" collapsed="false">
      <c r="A194" s="3" t="s">
        <v>196</v>
      </c>
      <c r="B194" s="3" t="s">
        <v>197</v>
      </c>
      <c r="C194" s="3" t="s">
        <v>240</v>
      </c>
      <c r="D194" s="3" t="s">
        <v>240</v>
      </c>
      <c r="E194" s="3" t="s">
        <v>126</v>
      </c>
      <c r="F194" s="3" t="s">
        <v>6</v>
      </c>
      <c r="G194" s="4" t="n">
        <f aca="false">IFERROR(puntajes_EA!$F$50,"")</f>
        <v>0.243467742171617</v>
      </c>
      <c r="H194" s="5" t="str">
        <f aca="false">IFERROR(puntajes_EA!$G$50,"N/A")</f>
        <v>Satisfactorio</v>
      </c>
      <c r="I194" s="4" t="str">
        <f aca="false">IF(ISNUMBER(G194),TEXT(G194,"0.00"),"")</f>
        <v>0.24</v>
      </c>
      <c r="J194" s="3" t="n">
        <v>50</v>
      </c>
      <c r="K194" s="5" t="str">
        <f aca="false">IF(AND(B194=puntajes_EA!$B$50,E194=puntajes_EA!$C$50,I194=IF(ISNUMBER(puntajes_EA!$F$50),TEXT(puntajes_EA!$F$50,"0.00"),""),H194=IFERROR(puntajes_EA!$G$50,"N/A")),"OK","FALLA")</f>
        <v>OK</v>
      </c>
    </row>
    <row r="195" customFormat="false" ht="26.85" hidden="false" customHeight="false" outlineLevel="0" collapsed="false">
      <c r="A195" s="3" t="s">
        <v>196</v>
      </c>
      <c r="B195" s="3" t="s">
        <v>197</v>
      </c>
      <c r="C195" s="3" t="s">
        <v>240</v>
      </c>
      <c r="D195" s="3" t="s">
        <v>240</v>
      </c>
      <c r="E195" s="3" t="s">
        <v>127</v>
      </c>
      <c r="F195" s="3" t="s">
        <v>6</v>
      </c>
      <c r="G195" s="4" t="n">
        <f aca="false">IFERROR(puntajes_EA!$F$51,"")</f>
        <v>0.0807653893580781</v>
      </c>
      <c r="H195" s="5" t="str">
        <f aca="false">IFERROR(puntajes_EA!$G$51,"N/A")</f>
        <v>Satisfactorio</v>
      </c>
      <c r="I195" s="4" t="str">
        <f aca="false">IF(ISNUMBER(G195),TEXT(G195,"0.00"),"")</f>
        <v>0.08</v>
      </c>
      <c r="J195" s="3" t="n">
        <v>51</v>
      </c>
      <c r="K195" s="5" t="str">
        <f aca="false">IF(AND(B195=puntajes_EA!$B$51,E195=puntajes_EA!$C$51,I195=IF(ISNUMBER(puntajes_EA!$F$51),TEXT(puntajes_EA!$F$51,"0.00"),""),H195=IFERROR(puntajes_EA!$G$51,"N/A")),"OK","FALLA")</f>
        <v>OK</v>
      </c>
    </row>
    <row r="196" customFormat="false" ht="26.85" hidden="false" customHeight="false" outlineLevel="0" collapsed="false">
      <c r="A196" s="3" t="s">
        <v>196</v>
      </c>
      <c r="B196" s="3" t="s">
        <v>197</v>
      </c>
      <c r="C196" s="3" t="s">
        <v>240</v>
      </c>
      <c r="D196" s="3" t="s">
        <v>240</v>
      </c>
      <c r="E196" s="3" t="s">
        <v>128</v>
      </c>
      <c r="F196" s="3" t="s">
        <v>6</v>
      </c>
      <c r="G196" s="4" t="n">
        <f aca="false">IFERROR(puntajes_EA!$F$52,"")</f>
        <v>0.438534829433379</v>
      </c>
      <c r="H196" s="5" t="str">
        <f aca="false">IFERROR(puntajes_EA!$G$52,"N/A")</f>
        <v>Satisfactorio</v>
      </c>
      <c r="I196" s="4" t="str">
        <f aca="false">IF(ISNUMBER(G196),TEXT(G196,"0.00"),"")</f>
        <v>0.44</v>
      </c>
      <c r="J196" s="3" t="n">
        <v>52</v>
      </c>
      <c r="K196" s="5" t="str">
        <f aca="false">IF(AND(B196=puntajes_EA!$B$52,E196=puntajes_EA!$C$52,I196=IF(ISNUMBER(puntajes_EA!$F$52),TEXT(puntajes_EA!$F$52,"0.00"),""),H196=IFERROR(puntajes_EA!$G$52,"N/A")),"OK","FALLA")</f>
        <v>OK</v>
      </c>
    </row>
    <row r="197" customFormat="false" ht="26.85" hidden="false" customHeight="false" outlineLevel="0" collapsed="false">
      <c r="A197" s="3" t="s">
        <v>196</v>
      </c>
      <c r="B197" s="3" t="s">
        <v>197</v>
      </c>
      <c r="C197" s="3" t="s">
        <v>240</v>
      </c>
      <c r="D197" s="3" t="s">
        <v>240</v>
      </c>
      <c r="E197" s="3" t="s">
        <v>129</v>
      </c>
      <c r="F197" s="3" t="s">
        <v>6</v>
      </c>
      <c r="G197" s="4" t="n">
        <f aca="false">IFERROR(puntajes_EA!$F$53,"")</f>
        <v>0.231898447957289</v>
      </c>
      <c r="H197" s="5" t="str">
        <f aca="false">IFERROR(puntajes_EA!$G$53,"N/A")</f>
        <v>Satisfactorio</v>
      </c>
      <c r="I197" s="4" t="str">
        <f aca="false">IF(ISNUMBER(G197),TEXT(G197,"0.00"),"")</f>
        <v>0.23</v>
      </c>
      <c r="J197" s="3" t="n">
        <v>53</v>
      </c>
      <c r="K197" s="5" t="str">
        <f aca="false">IF(AND(B197=puntajes_EA!$B$53,E197=puntajes_EA!$C$53,I197=IF(ISNUMBER(puntajes_EA!$F$53),TEXT(puntajes_EA!$F$53,"0.00"),""),H197=IFERROR(puntajes_EA!$G$53,"N/A")),"OK","FALLA")</f>
        <v>OK</v>
      </c>
    </row>
    <row r="198" customFormat="false" ht="26.85" hidden="false" customHeight="false" outlineLevel="0" collapsed="false">
      <c r="A198" s="3" t="s">
        <v>196</v>
      </c>
      <c r="B198" s="3" t="s">
        <v>197</v>
      </c>
      <c r="C198" s="3" t="s">
        <v>240</v>
      </c>
      <c r="D198" s="3" t="s">
        <v>240</v>
      </c>
      <c r="E198" s="3" t="s">
        <v>130</v>
      </c>
      <c r="F198" s="3" t="s">
        <v>6</v>
      </c>
      <c r="G198" s="4" t="n">
        <f aca="false">IFERROR(puntajes_EA!$F$54,"")</f>
        <v>0.0516224836785051</v>
      </c>
      <c r="H198" s="5" t="str">
        <f aca="false">IFERROR(puntajes_EA!$G$54,"N/A")</f>
        <v>Satisfactorio</v>
      </c>
      <c r="I198" s="4" t="str">
        <f aca="false">IF(ISNUMBER(G198),TEXT(G198,"0.00"),"")</f>
        <v>0.05</v>
      </c>
      <c r="J198" s="3" t="n">
        <v>54</v>
      </c>
      <c r="K198" s="5" t="str">
        <f aca="false">IF(AND(B198=puntajes_EA!$B$54,E198=puntajes_EA!$C$54,I198=IF(ISNUMBER(puntajes_EA!$F$54),TEXT(puntajes_EA!$F$54,"0.00"),""),H198=IFERROR(puntajes_EA!$G$54,"N/A")),"OK","FALLA")</f>
        <v>OK</v>
      </c>
    </row>
    <row r="199" customFormat="false" ht="26.85" hidden="false" customHeight="false" outlineLevel="0" collapsed="false">
      <c r="A199" s="3" t="s">
        <v>196</v>
      </c>
      <c r="B199" s="3" t="s">
        <v>197</v>
      </c>
      <c r="C199" s="3" t="s">
        <v>240</v>
      </c>
      <c r="D199" s="3" t="s">
        <v>240</v>
      </c>
      <c r="E199" s="3" t="s">
        <v>131</v>
      </c>
      <c r="F199" s="3" t="s">
        <v>6</v>
      </c>
      <c r="G199" s="4" t="n">
        <f aca="false">IFERROR(puntajes_EA!$F$55,"")</f>
        <v>0.0934330342889687</v>
      </c>
      <c r="H199" s="5" t="str">
        <f aca="false">IFERROR(puntajes_EA!$G$55,"N/A")</f>
        <v>Satisfactorio</v>
      </c>
      <c r="I199" s="4" t="str">
        <f aca="false">IF(ISNUMBER(G199),TEXT(G199,"0.00"),"")</f>
        <v>0.09</v>
      </c>
      <c r="J199" s="3" t="n">
        <v>55</v>
      </c>
      <c r="K199" s="5" t="str">
        <f aca="false">IF(AND(B199=puntajes_EA!$B$55,E199=puntajes_EA!$C$55,I199=IF(ISNUMBER(puntajes_EA!$F$55),TEXT(puntajes_EA!$F$55,"0.00"),""),H199=IFERROR(puntajes_EA!$G$55,"N/A")),"OK","FALLA")</f>
        <v>OK</v>
      </c>
    </row>
    <row r="200" customFormat="false" ht="26.85" hidden="false" customHeight="false" outlineLevel="0" collapsed="false">
      <c r="A200" s="3" t="s">
        <v>196</v>
      </c>
      <c r="B200" s="3" t="s">
        <v>197</v>
      </c>
      <c r="C200" s="3" t="s">
        <v>240</v>
      </c>
      <c r="D200" s="3" t="s">
        <v>240</v>
      </c>
      <c r="E200" s="3" t="s">
        <v>132</v>
      </c>
      <c r="F200" s="3" t="s">
        <v>6</v>
      </c>
      <c r="G200" s="4" t="n">
        <f aca="false">IFERROR(puntajes_EA!$F$56,"")</f>
        <v>0.347884283626447</v>
      </c>
      <c r="H200" s="5" t="str">
        <f aca="false">IFERROR(puntajes_EA!$G$56,"N/A")</f>
        <v>Satisfactorio</v>
      </c>
      <c r="I200" s="4" t="str">
        <f aca="false">IF(ISNUMBER(G200),TEXT(G200,"0.00"),"")</f>
        <v>0.35</v>
      </c>
      <c r="J200" s="3" t="n">
        <v>56</v>
      </c>
      <c r="K200" s="5" t="str">
        <f aca="false">IF(AND(B200=puntajes_EA!$B$56,E200=puntajes_EA!$C$56,I200=IF(ISNUMBER(puntajes_EA!$F$56),TEXT(puntajes_EA!$F$56,"0.00"),""),H200=IFERROR(puntajes_EA!$G$56,"N/A")),"OK","FALLA")</f>
        <v>OK</v>
      </c>
    </row>
    <row r="201" customFormat="false" ht="26.85" hidden="false" customHeight="false" outlineLevel="0" collapsed="false">
      <c r="A201" s="3" t="s">
        <v>196</v>
      </c>
      <c r="B201" s="3" t="s">
        <v>197</v>
      </c>
      <c r="C201" s="3" t="s">
        <v>240</v>
      </c>
      <c r="D201" s="3" t="s">
        <v>240</v>
      </c>
      <c r="E201" s="3" t="s">
        <v>133</v>
      </c>
      <c r="F201" s="3" t="s">
        <v>6</v>
      </c>
      <c r="G201" s="4" t="n">
        <f aca="false">IFERROR(puntajes_EA!$F$57,"")</f>
        <v>0.0924811303346877</v>
      </c>
      <c r="H201" s="5" t="str">
        <f aca="false">IFERROR(puntajes_EA!$G$57,"N/A")</f>
        <v>Satisfactorio</v>
      </c>
      <c r="I201" s="4" t="str">
        <f aca="false">IF(ISNUMBER(G201),TEXT(G201,"0.00"),"")</f>
        <v>0.09</v>
      </c>
      <c r="J201" s="3" t="n">
        <v>57</v>
      </c>
      <c r="K201" s="5" t="str">
        <f aca="false">IF(AND(B201=puntajes_EA!$B$57,E201=puntajes_EA!$C$57,I201=IF(ISNUMBER(puntajes_EA!$F$57),TEXT(puntajes_EA!$F$57,"0.00"),""),H201=IFERROR(puntajes_EA!$G$57,"N/A")),"OK","FALLA")</f>
        <v>OK</v>
      </c>
    </row>
    <row r="202" customFormat="false" ht="26.85" hidden="false" customHeight="false" outlineLevel="0" collapsed="false">
      <c r="A202" s="3" t="s">
        <v>196</v>
      </c>
      <c r="B202" s="3" t="s">
        <v>197</v>
      </c>
      <c r="C202" s="3" t="s">
        <v>240</v>
      </c>
      <c r="D202" s="3" t="s">
        <v>240</v>
      </c>
      <c r="E202" s="3" t="s">
        <v>134</v>
      </c>
      <c r="F202" s="3" t="s">
        <v>6</v>
      </c>
      <c r="G202" s="4" t="n">
        <f aca="false">IFERROR(puntajes_EA!$F$58,"")</f>
        <v>0.118328983864565</v>
      </c>
      <c r="H202" s="5" t="str">
        <f aca="false">IFERROR(puntajes_EA!$G$58,"N/A")</f>
        <v>Satisfactorio</v>
      </c>
      <c r="I202" s="4" t="str">
        <f aca="false">IF(ISNUMBER(G202),TEXT(G202,"0.00"),"")</f>
        <v>0.12</v>
      </c>
      <c r="J202" s="3" t="n">
        <v>58</v>
      </c>
      <c r="K202" s="5" t="str">
        <f aca="false">IF(AND(B202=puntajes_EA!$B$58,E202=puntajes_EA!$C$58,I202=IF(ISNUMBER(puntajes_EA!$F$58),TEXT(puntajes_EA!$F$58,"0.00"),""),H202=IFERROR(puntajes_EA!$G$58,"N/A")),"OK","FALLA")</f>
        <v>OK</v>
      </c>
    </row>
    <row r="203" customFormat="false" ht="26.85" hidden="false" customHeight="false" outlineLevel="0" collapsed="false">
      <c r="A203" s="3" t="s">
        <v>196</v>
      </c>
      <c r="B203" s="3" t="s">
        <v>197</v>
      </c>
      <c r="C203" s="3" t="s">
        <v>240</v>
      </c>
      <c r="D203" s="3" t="s">
        <v>240</v>
      </c>
      <c r="E203" s="3" t="s">
        <v>135</v>
      </c>
      <c r="F203" s="3" t="s">
        <v>6</v>
      </c>
      <c r="G203" s="4" t="n">
        <f aca="false">IFERROR(puntajes_EA!$F$59,"")</f>
        <v>0.148643463641733</v>
      </c>
      <c r="H203" s="5" t="str">
        <f aca="false">IFERROR(puntajes_EA!$G$59,"N/A")</f>
        <v>Satisfactorio</v>
      </c>
      <c r="I203" s="4" t="str">
        <f aca="false">IF(ISNUMBER(G203),TEXT(G203,"0.00"),"")</f>
        <v>0.15</v>
      </c>
      <c r="J203" s="3" t="n">
        <v>59</v>
      </c>
      <c r="K203" s="5" t="str">
        <f aca="false">IF(AND(B203=puntajes_EA!$B$59,E203=puntajes_EA!$C$59,I203=IF(ISNUMBER(puntajes_EA!$F$59),TEXT(puntajes_EA!$F$59,"0.00"),""),H203=IFERROR(puntajes_EA!$G$59,"N/A")),"OK","FALLA")</f>
        <v>OK</v>
      </c>
    </row>
    <row r="204" customFormat="false" ht="26.85" hidden="false" customHeight="false" outlineLevel="0" collapsed="false">
      <c r="A204" s="3" t="s">
        <v>196</v>
      </c>
      <c r="B204" s="3" t="s">
        <v>197</v>
      </c>
      <c r="C204" s="3" t="s">
        <v>240</v>
      </c>
      <c r="D204" s="3" t="s">
        <v>240</v>
      </c>
      <c r="E204" s="3" t="s">
        <v>136</v>
      </c>
      <c r="F204" s="3" t="s">
        <v>6</v>
      </c>
      <c r="G204" s="4" t="n">
        <f aca="false">IFERROR(puntajes_EA!$F$60,"")</f>
        <v>0.0844265584131445</v>
      </c>
      <c r="H204" s="5" t="str">
        <f aca="false">IFERROR(puntajes_EA!$G$60,"N/A")</f>
        <v>Satisfactorio</v>
      </c>
      <c r="I204" s="4" t="str">
        <f aca="false">IF(ISNUMBER(G204),TEXT(G204,"0.00"),"")</f>
        <v>0.08</v>
      </c>
      <c r="J204" s="3" t="n">
        <v>60</v>
      </c>
      <c r="K204" s="5" t="str">
        <f aca="false">IF(AND(B204=puntajes_EA!$B$60,E204=puntajes_EA!$C$60,I204=IF(ISNUMBER(puntajes_EA!$F$60),TEXT(puntajes_EA!$F$60,"0.00"),""),H204=IFERROR(puntajes_EA!$G$60,"N/A")),"OK","FALLA")</f>
        <v>OK</v>
      </c>
    </row>
    <row r="205" customFormat="false" ht="26.85" hidden="false" customHeight="false" outlineLevel="0" collapsed="false">
      <c r="A205" s="3" t="s">
        <v>196</v>
      </c>
      <c r="B205" s="3" t="s">
        <v>197</v>
      </c>
      <c r="C205" s="3" t="s">
        <v>240</v>
      </c>
      <c r="D205" s="3" t="s">
        <v>240</v>
      </c>
      <c r="E205" s="3" t="s">
        <v>137</v>
      </c>
      <c r="F205" s="3" t="s">
        <v>6</v>
      </c>
      <c r="G205" s="4" t="n">
        <f aca="false">IFERROR(puntajes_EA!$F$61,"")</f>
        <v>0.143078486677662</v>
      </c>
      <c r="H205" s="5" t="str">
        <f aca="false">IFERROR(puntajes_EA!$G$61,"N/A")</f>
        <v>Satisfactorio</v>
      </c>
      <c r="I205" s="4" t="str">
        <f aca="false">IF(ISNUMBER(G205),TEXT(G205,"0.00"),"")</f>
        <v>0.14</v>
      </c>
      <c r="J205" s="3" t="n">
        <v>61</v>
      </c>
      <c r="K205" s="5" t="str">
        <f aca="false">IF(AND(B205=puntajes_EA!$B$61,E205=puntajes_EA!$C$61,I205=IF(ISNUMBER(puntajes_EA!$F$61),TEXT(puntajes_EA!$F$61,"0.00"),""),H205=IFERROR(puntajes_EA!$G$61,"N/A")),"OK","FALLA")</f>
        <v>OK</v>
      </c>
    </row>
    <row r="206" customFormat="false" ht="26.85" hidden="false" customHeight="false" outlineLevel="0" collapsed="false">
      <c r="A206" s="3" t="s">
        <v>196</v>
      </c>
      <c r="B206" s="3" t="s">
        <v>197</v>
      </c>
      <c r="C206" s="3" t="s">
        <v>241</v>
      </c>
      <c r="D206" s="3" t="s">
        <v>250</v>
      </c>
      <c r="E206" s="3" t="s">
        <v>126</v>
      </c>
      <c r="F206" s="3" t="s">
        <v>6</v>
      </c>
      <c r="G206" s="4" t="n">
        <f aca="false">IFERROR(puntajes_EA!$H$50,"")</f>
        <v>0.218562173125698</v>
      </c>
      <c r="H206" s="5" t="str">
        <f aca="false">IFERROR(puntajes_EA!$I$50,"N/A")</f>
        <v>Satisfactorio</v>
      </c>
      <c r="I206" s="4" t="str">
        <f aca="false">IF(ISNUMBER(G206),TEXT(G206,"0.00"),"")</f>
        <v>0.22</v>
      </c>
      <c r="J206" s="3" t="n">
        <v>50</v>
      </c>
      <c r="K206" s="5" t="str">
        <f aca="false">IF(AND(B206=puntajes_EA!$B$50,E206=puntajes_EA!$C$50,I206=IF(ISNUMBER(puntajes_EA!$H$50),TEXT(puntajes_EA!$H$50,"0.00"),""),H206=IFERROR(puntajes_EA!$I$50,"N/A")),"OK","FALLA")</f>
        <v>OK</v>
      </c>
    </row>
    <row r="207" customFormat="false" ht="26.85" hidden="false" customHeight="false" outlineLevel="0" collapsed="false">
      <c r="A207" s="3" t="s">
        <v>196</v>
      </c>
      <c r="B207" s="3" t="s">
        <v>197</v>
      </c>
      <c r="C207" s="3" t="s">
        <v>241</v>
      </c>
      <c r="D207" s="3" t="s">
        <v>250</v>
      </c>
      <c r="E207" s="3" t="s">
        <v>127</v>
      </c>
      <c r="F207" s="3" t="s">
        <v>6</v>
      </c>
      <c r="G207" s="4" t="n">
        <f aca="false">IFERROR(puntajes_EA!$H$51,"")</f>
        <v>0.0725034817918583</v>
      </c>
      <c r="H207" s="5" t="str">
        <f aca="false">IFERROR(puntajes_EA!$I$51,"N/A")</f>
        <v>Satisfactorio</v>
      </c>
      <c r="I207" s="4" t="str">
        <f aca="false">IF(ISNUMBER(G207),TEXT(G207,"0.00"),"")</f>
        <v>0.07</v>
      </c>
      <c r="J207" s="3" t="n">
        <v>51</v>
      </c>
      <c r="K207" s="5" t="str">
        <f aca="false">IF(AND(B207=puntajes_EA!$B$51,E207=puntajes_EA!$C$51,I207=IF(ISNUMBER(puntajes_EA!$H$51),TEXT(puntajes_EA!$H$51,"0.00"),""),H207=IFERROR(puntajes_EA!$I$51,"N/A")),"OK","FALLA")</f>
        <v>OK</v>
      </c>
    </row>
    <row r="208" customFormat="false" ht="26.85" hidden="false" customHeight="false" outlineLevel="0" collapsed="false">
      <c r="A208" s="3" t="s">
        <v>196</v>
      </c>
      <c r="B208" s="3" t="s">
        <v>197</v>
      </c>
      <c r="C208" s="3" t="s">
        <v>241</v>
      </c>
      <c r="D208" s="3" t="s">
        <v>250</v>
      </c>
      <c r="E208" s="3" t="s">
        <v>128</v>
      </c>
      <c r="F208" s="3" t="s">
        <v>6</v>
      </c>
      <c r="G208" s="4" t="n">
        <f aca="false">IFERROR(puntajes_EA!$H$52,"")</f>
        <v>0.393674843563898</v>
      </c>
      <c r="H208" s="5" t="str">
        <f aca="false">IFERROR(puntajes_EA!$I$52,"N/A")</f>
        <v>Satisfactorio</v>
      </c>
      <c r="I208" s="4" t="str">
        <f aca="false">IF(ISNUMBER(G208),TEXT(G208,"0.00"),"")</f>
        <v>0.39</v>
      </c>
      <c r="J208" s="3" t="n">
        <v>52</v>
      </c>
      <c r="K208" s="5" t="str">
        <f aca="false">IF(AND(B208=puntajes_EA!$B$52,E208=puntajes_EA!$C$52,I208=IF(ISNUMBER(puntajes_EA!$H$52),TEXT(puntajes_EA!$H$52,"0.00"),""),H208=IFERROR(puntajes_EA!$I$52,"N/A")),"OK","FALLA")</f>
        <v>OK</v>
      </c>
    </row>
    <row r="209" customFormat="false" ht="26.85" hidden="false" customHeight="false" outlineLevel="0" collapsed="false">
      <c r="A209" s="3" t="s">
        <v>196</v>
      </c>
      <c r="B209" s="3" t="s">
        <v>197</v>
      </c>
      <c r="C209" s="3" t="s">
        <v>241</v>
      </c>
      <c r="D209" s="3" t="s">
        <v>250</v>
      </c>
      <c r="E209" s="3" t="s">
        <v>129</v>
      </c>
      <c r="F209" s="3" t="s">
        <v>6</v>
      </c>
      <c r="G209" s="4" t="n">
        <f aca="false">IFERROR(puntajes_EA!$H$53,"")</f>
        <v>0.208176361590831</v>
      </c>
      <c r="H209" s="5" t="str">
        <f aca="false">IFERROR(puntajes_EA!$I$53,"N/A")</f>
        <v>Satisfactorio</v>
      </c>
      <c r="I209" s="4" t="str">
        <f aca="false">IF(ISNUMBER(G209),TEXT(G209,"0.00"),"")</f>
        <v>0.21</v>
      </c>
      <c r="J209" s="3" t="n">
        <v>53</v>
      </c>
      <c r="K209" s="5" t="str">
        <f aca="false">IF(AND(B209=puntajes_EA!$B$53,E209=puntajes_EA!$C$53,I209=IF(ISNUMBER(puntajes_EA!$H$53),TEXT(puntajes_EA!$H$53,"0.00"),""),H209=IFERROR(puntajes_EA!$I$53,"N/A")),"OK","FALLA")</f>
        <v>OK</v>
      </c>
    </row>
    <row r="210" customFormat="false" ht="26.85" hidden="false" customHeight="false" outlineLevel="0" collapsed="false">
      <c r="A210" s="3" t="s">
        <v>196</v>
      </c>
      <c r="B210" s="3" t="s">
        <v>197</v>
      </c>
      <c r="C210" s="3" t="s">
        <v>241</v>
      </c>
      <c r="D210" s="3" t="s">
        <v>250</v>
      </c>
      <c r="E210" s="3" t="s">
        <v>130</v>
      </c>
      <c r="F210" s="3" t="s">
        <v>6</v>
      </c>
      <c r="G210" s="4" t="n">
        <f aca="false">IFERROR(puntajes_EA!$H$54,"")</f>
        <v>0.0463417540010985</v>
      </c>
      <c r="H210" s="5" t="str">
        <f aca="false">IFERROR(puntajes_EA!$I$54,"N/A")</f>
        <v>Satisfactorio</v>
      </c>
      <c r="I210" s="4" t="str">
        <f aca="false">IF(ISNUMBER(G210),TEXT(G210,"0.00"),"")</f>
        <v>0.05</v>
      </c>
      <c r="J210" s="3" t="n">
        <v>54</v>
      </c>
      <c r="K210" s="5" t="str">
        <f aca="false">IF(AND(B210=puntajes_EA!$B$54,E210=puntajes_EA!$C$54,I210=IF(ISNUMBER(puntajes_EA!$H$54),TEXT(puntajes_EA!$H$54,"0.00"),""),H210=IFERROR(puntajes_EA!$I$54,"N/A")),"OK","FALLA")</f>
        <v>OK</v>
      </c>
    </row>
    <row r="211" customFormat="false" ht="26.85" hidden="false" customHeight="false" outlineLevel="0" collapsed="false">
      <c r="A211" s="3" t="s">
        <v>196</v>
      </c>
      <c r="B211" s="3" t="s">
        <v>197</v>
      </c>
      <c r="C211" s="3" t="s">
        <v>241</v>
      </c>
      <c r="D211" s="3" t="s">
        <v>250</v>
      </c>
      <c r="E211" s="3" t="s">
        <v>131</v>
      </c>
      <c r="F211" s="3" t="s">
        <v>6</v>
      </c>
      <c r="G211" s="4" t="n">
        <f aca="false">IFERROR(puntajes_EA!$H$55,"")</f>
        <v>0.0838752880927053</v>
      </c>
      <c r="H211" s="5" t="str">
        <f aca="false">IFERROR(puntajes_EA!$I$55,"N/A")</f>
        <v>Satisfactorio</v>
      </c>
      <c r="I211" s="4" t="str">
        <f aca="false">IF(ISNUMBER(G211),TEXT(G211,"0.00"),"")</f>
        <v>0.08</v>
      </c>
      <c r="J211" s="3" t="n">
        <v>55</v>
      </c>
      <c r="K211" s="5" t="str">
        <f aca="false">IF(AND(B211=puntajes_EA!$B$55,E211=puntajes_EA!$C$55,I211=IF(ISNUMBER(puntajes_EA!$H$55),TEXT(puntajes_EA!$H$55,"0.00"),""),H211=IFERROR(puntajes_EA!$I$55,"N/A")),"OK","FALLA")</f>
        <v>OK</v>
      </c>
    </row>
    <row r="212" customFormat="false" ht="26.85" hidden="false" customHeight="false" outlineLevel="0" collapsed="false">
      <c r="A212" s="3" t="s">
        <v>196</v>
      </c>
      <c r="B212" s="3" t="s">
        <v>197</v>
      </c>
      <c r="C212" s="3" t="s">
        <v>241</v>
      </c>
      <c r="D212" s="3" t="s">
        <v>250</v>
      </c>
      <c r="E212" s="3" t="s">
        <v>132</v>
      </c>
      <c r="F212" s="3" t="s">
        <v>6</v>
      </c>
      <c r="G212" s="4" t="n">
        <f aca="false">IFERROR(puntajes_EA!$H$56,"")</f>
        <v>0.31229740887841</v>
      </c>
      <c r="H212" s="5" t="str">
        <f aca="false">IFERROR(puntajes_EA!$I$56,"N/A")</f>
        <v>Satisfactorio</v>
      </c>
      <c r="I212" s="4" t="str">
        <f aca="false">IF(ISNUMBER(G212),TEXT(G212,"0.00"),"")</f>
        <v>0.31</v>
      </c>
      <c r="J212" s="3" t="n">
        <v>56</v>
      </c>
      <c r="K212" s="5" t="str">
        <f aca="false">IF(AND(B212=puntajes_EA!$B$56,E212=puntajes_EA!$C$56,I212=IF(ISNUMBER(puntajes_EA!$H$56),TEXT(puntajes_EA!$H$56,"0.00"),""),H212=IFERROR(puntajes_EA!$I$56,"N/A")),"OK","FALLA")</f>
        <v>OK</v>
      </c>
    </row>
    <row r="213" customFormat="false" ht="26.85" hidden="false" customHeight="false" outlineLevel="0" collapsed="false">
      <c r="A213" s="3" t="s">
        <v>196</v>
      </c>
      <c r="B213" s="3" t="s">
        <v>197</v>
      </c>
      <c r="C213" s="3" t="s">
        <v>241</v>
      </c>
      <c r="D213" s="3" t="s">
        <v>250</v>
      </c>
      <c r="E213" s="3" t="s">
        <v>133</v>
      </c>
      <c r="F213" s="3" t="s">
        <v>6</v>
      </c>
      <c r="G213" s="4" t="n">
        <f aca="false">IFERROR(puntajes_EA!$H$57,"")</f>
        <v>0.0830207592955887</v>
      </c>
      <c r="H213" s="5" t="str">
        <f aca="false">IFERROR(puntajes_EA!$I$57,"N/A")</f>
        <v>Satisfactorio</v>
      </c>
      <c r="I213" s="4" t="str">
        <f aca="false">IF(ISNUMBER(G213),TEXT(G213,"0.00"),"")</f>
        <v>0.08</v>
      </c>
      <c r="J213" s="3" t="n">
        <v>57</v>
      </c>
      <c r="K213" s="5" t="str">
        <f aca="false">IF(AND(B213=puntajes_EA!$B$57,E213=puntajes_EA!$C$57,I213=IF(ISNUMBER(puntajes_EA!$H$57),TEXT(puntajes_EA!$H$57,"0.00"),""),H213=IFERROR(puntajes_EA!$I$57,"N/A")),"OK","FALLA")</f>
        <v>OK</v>
      </c>
    </row>
    <row r="214" customFormat="false" ht="26.85" hidden="false" customHeight="false" outlineLevel="0" collapsed="false">
      <c r="A214" s="3" t="s">
        <v>196</v>
      </c>
      <c r="B214" s="3" t="s">
        <v>197</v>
      </c>
      <c r="C214" s="3" t="s">
        <v>241</v>
      </c>
      <c r="D214" s="3" t="s">
        <v>250</v>
      </c>
      <c r="E214" s="3" t="s">
        <v>134</v>
      </c>
      <c r="F214" s="3" t="s">
        <v>6</v>
      </c>
      <c r="G214" s="4" t="n">
        <f aca="false">IFERROR(puntajes_EA!$H$58,"")</f>
        <v>0.106224502788403</v>
      </c>
      <c r="H214" s="5" t="str">
        <f aca="false">IFERROR(puntajes_EA!$I$58,"N/A")</f>
        <v>Satisfactorio</v>
      </c>
      <c r="I214" s="4" t="str">
        <f aca="false">IF(ISNUMBER(G214),TEXT(G214,"0.00"),"")</f>
        <v>0.11</v>
      </c>
      <c r="J214" s="3" t="n">
        <v>58</v>
      </c>
      <c r="K214" s="5" t="str">
        <f aca="false">IF(AND(B214=puntajes_EA!$B$58,E214=puntajes_EA!$C$58,I214=IF(ISNUMBER(puntajes_EA!$H$58),TEXT(puntajes_EA!$H$58,"0.00"),""),H214=IFERROR(puntajes_EA!$I$58,"N/A")),"OK","FALLA")</f>
        <v>OK</v>
      </c>
    </row>
    <row r="215" customFormat="false" ht="26.85" hidden="false" customHeight="false" outlineLevel="0" collapsed="false">
      <c r="A215" s="3" t="s">
        <v>196</v>
      </c>
      <c r="B215" s="3" t="s">
        <v>197</v>
      </c>
      <c r="C215" s="3" t="s">
        <v>241</v>
      </c>
      <c r="D215" s="3" t="s">
        <v>250</v>
      </c>
      <c r="E215" s="3" t="s">
        <v>135</v>
      </c>
      <c r="F215" s="3" t="s">
        <v>6</v>
      </c>
      <c r="G215" s="4" t="n">
        <f aca="false">IFERROR(puntajes_EA!$H$59,"")</f>
        <v>0.133437958329476</v>
      </c>
      <c r="H215" s="5" t="str">
        <f aca="false">IFERROR(puntajes_EA!$I$59,"N/A")</f>
        <v>Satisfactorio</v>
      </c>
      <c r="I215" s="4" t="str">
        <f aca="false">IF(ISNUMBER(G215),TEXT(G215,"0.00"),"")</f>
        <v>0.13</v>
      </c>
      <c r="J215" s="3" t="n">
        <v>59</v>
      </c>
      <c r="K215" s="5" t="str">
        <f aca="false">IF(AND(B215=puntajes_EA!$B$59,E215=puntajes_EA!$C$59,I215=IF(ISNUMBER(puntajes_EA!$H$59),TEXT(puntajes_EA!$H$59,"0.00"),""),H215=IFERROR(puntajes_EA!$I$59,"N/A")),"OK","FALLA")</f>
        <v>OK</v>
      </c>
    </row>
    <row r="216" customFormat="false" ht="26.85" hidden="false" customHeight="false" outlineLevel="0" collapsed="false">
      <c r="A216" s="3" t="s">
        <v>196</v>
      </c>
      <c r="B216" s="3" t="s">
        <v>197</v>
      </c>
      <c r="C216" s="3" t="s">
        <v>241</v>
      </c>
      <c r="D216" s="3" t="s">
        <v>250</v>
      </c>
      <c r="E216" s="3" t="s">
        <v>136</v>
      </c>
      <c r="F216" s="3" t="s">
        <v>6</v>
      </c>
      <c r="G216" s="4" t="n">
        <f aca="false">IFERROR(puntajes_EA!$H$60,"")</f>
        <v>0.0757901310116627</v>
      </c>
      <c r="H216" s="5" t="str">
        <f aca="false">IFERROR(puntajes_EA!$I$60,"N/A")</f>
        <v>Satisfactorio</v>
      </c>
      <c r="I216" s="4" t="str">
        <f aca="false">IF(ISNUMBER(G216),TEXT(G216,"0.00"),"")</f>
        <v>0.08</v>
      </c>
      <c r="J216" s="3" t="n">
        <v>60</v>
      </c>
      <c r="K216" s="5" t="str">
        <f aca="false">IF(AND(B216=puntajes_EA!$B$60,E216=puntajes_EA!$C$60,I216=IF(ISNUMBER(puntajes_EA!$H$60),TEXT(puntajes_EA!$H$60,"0.00"),""),H216=IFERROR(puntajes_EA!$I$60,"N/A")),"OK","FALLA")</f>
        <v>OK</v>
      </c>
    </row>
    <row r="217" customFormat="false" ht="26.85" hidden="false" customHeight="false" outlineLevel="0" collapsed="false">
      <c r="A217" s="3" t="s">
        <v>196</v>
      </c>
      <c r="B217" s="3" t="s">
        <v>197</v>
      </c>
      <c r="C217" s="3" t="s">
        <v>241</v>
      </c>
      <c r="D217" s="3" t="s">
        <v>250</v>
      </c>
      <c r="E217" s="3" t="s">
        <v>137</v>
      </c>
      <c r="F217" s="3" t="s">
        <v>6</v>
      </c>
      <c r="G217" s="4" t="n">
        <f aca="false">IFERROR(puntajes_EA!$H$61,"")</f>
        <v>0.128442251515041</v>
      </c>
      <c r="H217" s="5" t="str">
        <f aca="false">IFERROR(puntajes_EA!$I$61,"N/A")</f>
        <v>Satisfactorio</v>
      </c>
      <c r="I217" s="4" t="str">
        <f aca="false">IF(ISNUMBER(G217),TEXT(G217,"0.00"),"")</f>
        <v>0.13</v>
      </c>
      <c r="J217" s="3" t="n">
        <v>61</v>
      </c>
      <c r="K217" s="5" t="str">
        <f aca="false">IF(AND(B217=puntajes_EA!$B$61,E217=puntajes_EA!$C$61,I217=IF(ISNUMBER(puntajes_EA!$H$61),TEXT(puntajes_EA!$H$61,"0.00"),""),H217=IFERROR(puntajes_EA!$I$61,"N/A")),"OK","FALLA")</f>
        <v>OK</v>
      </c>
    </row>
    <row r="218" customFormat="false" ht="26.85" hidden="false" customHeight="false" outlineLevel="0" collapsed="false">
      <c r="A218" s="3" t="s">
        <v>196</v>
      </c>
      <c r="B218" s="3" t="s">
        <v>197</v>
      </c>
      <c r="C218" s="3" t="s">
        <v>242</v>
      </c>
      <c r="D218" s="3" t="s">
        <v>242</v>
      </c>
      <c r="E218" s="3" t="s">
        <v>126</v>
      </c>
      <c r="F218" s="3" t="s">
        <v>6</v>
      </c>
      <c r="G218" s="4" t="n">
        <f aca="false">IFERROR(puntajes_EA!$J$50,"")</f>
        <v>0.490588678884994</v>
      </c>
      <c r="H218" s="5" t="str">
        <f aca="false">IFERROR(puntajes_EA!$K$50,"N/A")</f>
        <v>Satisfactorio</v>
      </c>
      <c r="I218" s="4" t="str">
        <f aca="false">IF(ISNUMBER(G218),TEXT(G218,"0.00"),"")</f>
        <v>0.49</v>
      </c>
      <c r="J218" s="3" t="n">
        <v>50</v>
      </c>
      <c r="K218" s="5" t="str">
        <f aca="false">IF(AND(B218=puntajes_EA!$B$50,E218=puntajes_EA!$C$50,I218=IF(ISNUMBER(puntajes_EA!$J$50),TEXT(puntajes_EA!$J$50,"0.00"),""),H218=IFERROR(puntajes_EA!$K$50,"N/A")),"OK","FALLA")</f>
        <v>OK</v>
      </c>
    </row>
    <row r="219" customFormat="false" ht="26.85" hidden="false" customHeight="false" outlineLevel="0" collapsed="false">
      <c r="A219" s="3" t="s">
        <v>196</v>
      </c>
      <c r="B219" s="3" t="s">
        <v>197</v>
      </c>
      <c r="C219" s="3" t="s">
        <v>242</v>
      </c>
      <c r="D219" s="3" t="s">
        <v>242</v>
      </c>
      <c r="E219" s="3" t="s">
        <v>127</v>
      </c>
      <c r="F219" s="3" t="s">
        <v>6</v>
      </c>
      <c r="G219" s="4" t="n">
        <f aca="false">IFERROR(puntajes_EA!$J$51,"")</f>
        <v>0.161798356329087</v>
      </c>
      <c r="H219" s="5" t="str">
        <f aca="false">IFERROR(puntajes_EA!$K$51,"N/A")</f>
        <v>Satisfactorio</v>
      </c>
      <c r="I219" s="4" t="str">
        <f aca="false">IF(ISNUMBER(G219),TEXT(G219,"0.00"),"")</f>
        <v>0.16</v>
      </c>
      <c r="J219" s="3" t="n">
        <v>51</v>
      </c>
      <c r="K219" s="5" t="str">
        <f aca="false">IF(AND(B219=puntajes_EA!$B$51,E219=puntajes_EA!$C$51,I219=IF(ISNUMBER(puntajes_EA!$J$51),TEXT(puntajes_EA!$J$51,"0.00"),""),H219=IFERROR(puntajes_EA!$K$51,"N/A")),"OK","FALLA")</f>
        <v>OK</v>
      </c>
    </row>
    <row r="220" customFormat="false" ht="26.85" hidden="false" customHeight="false" outlineLevel="0" collapsed="false">
      <c r="A220" s="3" t="s">
        <v>196</v>
      </c>
      <c r="B220" s="3" t="s">
        <v>197</v>
      </c>
      <c r="C220" s="3" t="s">
        <v>242</v>
      </c>
      <c r="D220" s="3" t="s">
        <v>242</v>
      </c>
      <c r="E220" s="3" t="s">
        <v>128</v>
      </c>
      <c r="F220" s="3" t="s">
        <v>6</v>
      </c>
      <c r="G220" s="4" t="n">
        <f aca="false">IFERROR(puntajes_EA!$J$52,"")</f>
        <v>0.880803831975787</v>
      </c>
      <c r="H220" s="5" t="str">
        <f aca="false">IFERROR(puntajes_EA!$K$52,"N/A")</f>
        <v>Satisfactorio</v>
      </c>
      <c r="I220" s="4" t="str">
        <f aca="false">IF(ISNUMBER(G220),TEXT(G220,"0.00"),"")</f>
        <v>0.88</v>
      </c>
      <c r="J220" s="3" t="n">
        <v>52</v>
      </c>
      <c r="K220" s="5" t="str">
        <f aca="false">IF(AND(B220=puntajes_EA!$B$52,E220=puntajes_EA!$C$52,I220=IF(ISNUMBER(puntajes_EA!$J$52),TEXT(puntajes_EA!$J$52,"0.00"),""),H220=IFERROR(puntajes_EA!$K$52,"N/A")),"OK","FALLA")</f>
        <v>OK</v>
      </c>
    </row>
    <row r="221" customFormat="false" ht="26.85" hidden="false" customHeight="false" outlineLevel="0" collapsed="false">
      <c r="A221" s="3" t="s">
        <v>196</v>
      </c>
      <c r="B221" s="3" t="s">
        <v>197</v>
      </c>
      <c r="C221" s="3" t="s">
        <v>242</v>
      </c>
      <c r="D221" s="3" t="s">
        <v>242</v>
      </c>
      <c r="E221" s="3" t="s">
        <v>129</v>
      </c>
      <c r="F221" s="3" t="s">
        <v>6</v>
      </c>
      <c r="G221" s="4" t="n">
        <f aca="false">IFERROR(puntajes_EA!$J$53,"")</f>
        <v>0.466994843427061</v>
      </c>
      <c r="H221" s="5" t="str">
        <f aca="false">IFERROR(puntajes_EA!$K$53,"N/A")</f>
        <v>Satisfactorio</v>
      </c>
      <c r="I221" s="4" t="str">
        <f aca="false">IF(ISNUMBER(G221),TEXT(G221,"0.00"),"")</f>
        <v>0.47</v>
      </c>
      <c r="J221" s="3" t="n">
        <v>53</v>
      </c>
      <c r="K221" s="5" t="str">
        <f aca="false">IF(AND(B221=puntajes_EA!$B$53,E221=puntajes_EA!$C$53,I221=IF(ISNUMBER(puntajes_EA!$J$53),TEXT(puntajes_EA!$J$53,"0.00"),""),H221=IFERROR(puntajes_EA!$K$53,"N/A")),"OK","FALLA")</f>
        <v>OK</v>
      </c>
    </row>
    <row r="222" customFormat="false" ht="26.85" hidden="false" customHeight="false" outlineLevel="0" collapsed="false">
      <c r="A222" s="3" t="s">
        <v>196</v>
      </c>
      <c r="B222" s="3" t="s">
        <v>197</v>
      </c>
      <c r="C222" s="3" t="s">
        <v>242</v>
      </c>
      <c r="D222" s="3" t="s">
        <v>242</v>
      </c>
      <c r="E222" s="3" t="s">
        <v>130</v>
      </c>
      <c r="F222" s="3" t="s">
        <v>6</v>
      </c>
      <c r="G222" s="4" t="n">
        <f aca="false">IFERROR(puntajes_EA!$J$54,"")</f>
        <v>0.104972987586357</v>
      </c>
      <c r="H222" s="5" t="str">
        <f aca="false">IFERROR(puntajes_EA!$K$54,"N/A")</f>
        <v>Satisfactorio</v>
      </c>
      <c r="I222" s="4" t="str">
        <f aca="false">IF(ISNUMBER(G222),TEXT(G222,"0.00"),"")</f>
        <v>0.10</v>
      </c>
      <c r="J222" s="3" t="n">
        <v>54</v>
      </c>
      <c r="K222" s="5" t="str">
        <f aca="false">IF(AND(B222=puntajes_EA!$B$54,E222=puntajes_EA!$C$54,I222=IF(ISNUMBER(puntajes_EA!$J$54),TEXT(puntajes_EA!$J$54,"0.00"),""),H222=IFERROR(puntajes_EA!$K$54,"N/A")),"OK","FALLA")</f>
        <v>OK</v>
      </c>
    </row>
    <row r="223" customFormat="false" ht="26.85" hidden="false" customHeight="false" outlineLevel="0" collapsed="false">
      <c r="A223" s="3" t="s">
        <v>196</v>
      </c>
      <c r="B223" s="3" t="s">
        <v>197</v>
      </c>
      <c r="C223" s="3" t="s">
        <v>242</v>
      </c>
      <c r="D223" s="3" t="s">
        <v>242</v>
      </c>
      <c r="E223" s="3" t="s">
        <v>131</v>
      </c>
      <c r="F223" s="3" t="s">
        <v>6</v>
      </c>
      <c r="G223" s="4" t="n">
        <f aca="false">IFERROR(puntajes_EA!$J$55,"")</f>
        <v>0.19036601294098</v>
      </c>
      <c r="H223" s="5" t="str">
        <f aca="false">IFERROR(puntajes_EA!$K$55,"N/A")</f>
        <v>Satisfactorio</v>
      </c>
      <c r="I223" s="4" t="str">
        <f aca="false">IF(ISNUMBER(G223),TEXT(G223,"0.00"),"")</f>
        <v>0.19</v>
      </c>
      <c r="J223" s="3" t="n">
        <v>55</v>
      </c>
      <c r="K223" s="5" t="str">
        <f aca="false">IF(AND(B223=puntajes_EA!$B$55,E223=puntajes_EA!$C$55,I223=IF(ISNUMBER(puntajes_EA!$J$55),TEXT(puntajes_EA!$J$55,"0.00"),""),H223=IFERROR(puntajes_EA!$K$55,"N/A")),"OK","FALLA")</f>
        <v>OK</v>
      </c>
    </row>
    <row r="224" customFormat="false" ht="26.85" hidden="false" customHeight="false" outlineLevel="0" collapsed="false">
      <c r="A224" s="3" t="s">
        <v>196</v>
      </c>
      <c r="B224" s="3" t="s">
        <v>197</v>
      </c>
      <c r="C224" s="3" t="s">
        <v>242</v>
      </c>
      <c r="D224" s="3" t="s">
        <v>242</v>
      </c>
      <c r="E224" s="3" t="s">
        <v>132</v>
      </c>
      <c r="F224" s="3" t="s">
        <v>6</v>
      </c>
      <c r="G224" s="4" t="n">
        <f aca="false">IFERROR(puntajes_EA!$J$56,"")</f>
        <v>0.704895959448484</v>
      </c>
      <c r="H224" s="5" t="str">
        <f aca="false">IFERROR(puntajes_EA!$K$56,"N/A")</f>
        <v>Satisfactorio</v>
      </c>
      <c r="I224" s="4" t="str">
        <f aca="false">IF(ISNUMBER(G224),TEXT(G224,"0.00"),"")</f>
        <v>0.70</v>
      </c>
      <c r="J224" s="3" t="n">
        <v>56</v>
      </c>
      <c r="K224" s="5" t="str">
        <f aca="false">IF(AND(B224=puntajes_EA!$B$56,E224=puntajes_EA!$C$56,I224=IF(ISNUMBER(puntajes_EA!$J$56),TEXT(puntajes_EA!$J$56,"0.00"),""),H224=IFERROR(puntajes_EA!$K$56,"N/A")),"OK","FALLA")</f>
        <v>OK</v>
      </c>
    </row>
    <row r="225" customFormat="false" ht="26.85" hidden="false" customHeight="false" outlineLevel="0" collapsed="false">
      <c r="A225" s="3" t="s">
        <v>196</v>
      </c>
      <c r="B225" s="3" t="s">
        <v>197</v>
      </c>
      <c r="C225" s="3" t="s">
        <v>242</v>
      </c>
      <c r="D225" s="3" t="s">
        <v>242</v>
      </c>
      <c r="E225" s="3" t="s">
        <v>133</v>
      </c>
      <c r="F225" s="3" t="s">
        <v>6</v>
      </c>
      <c r="G225" s="4" t="n">
        <f aca="false">IFERROR(puntajes_EA!$J$57,"")</f>
        <v>0.188419988321675</v>
      </c>
      <c r="H225" s="5" t="str">
        <f aca="false">IFERROR(puntajes_EA!$K$57,"N/A")</f>
        <v>Satisfactorio</v>
      </c>
      <c r="I225" s="4" t="str">
        <f aca="false">IF(ISNUMBER(G225),TEXT(G225,"0.00"),"")</f>
        <v>0.19</v>
      </c>
      <c r="J225" s="3" t="n">
        <v>57</v>
      </c>
      <c r="K225" s="5" t="str">
        <f aca="false">IF(AND(B225=puntajes_EA!$B$57,E225=puntajes_EA!$C$57,I225=IF(ISNUMBER(puntajes_EA!$J$57),TEXT(puntajes_EA!$J$57,"0.00"),""),H225=IFERROR(puntajes_EA!$K$57,"N/A")),"OK","FALLA")</f>
        <v>OK</v>
      </c>
    </row>
    <row r="226" customFormat="false" ht="26.85" hidden="false" customHeight="false" outlineLevel="0" collapsed="false">
      <c r="A226" s="3" t="s">
        <v>196</v>
      </c>
      <c r="B226" s="3" t="s">
        <v>197</v>
      </c>
      <c r="C226" s="3" t="s">
        <v>242</v>
      </c>
      <c r="D226" s="3" t="s">
        <v>242</v>
      </c>
      <c r="E226" s="3" t="s">
        <v>134</v>
      </c>
      <c r="F226" s="3" t="s">
        <v>6</v>
      </c>
      <c r="G226" s="4" t="n">
        <f aca="false">IFERROR(puntajes_EA!$J$58,"")</f>
        <v>0.235297983079367</v>
      </c>
      <c r="H226" s="5" t="str">
        <f aca="false">IFERROR(puntajes_EA!$K$58,"N/A")</f>
        <v>Satisfactorio</v>
      </c>
      <c r="I226" s="4" t="str">
        <f aca="false">IF(ISNUMBER(G226),TEXT(G226,"0.00"),"")</f>
        <v>0.24</v>
      </c>
      <c r="J226" s="3" t="n">
        <v>58</v>
      </c>
      <c r="K226" s="5" t="str">
        <f aca="false">IF(AND(B226=puntajes_EA!$B$58,E226=puntajes_EA!$C$58,I226=IF(ISNUMBER(puntajes_EA!$J$58),TEXT(puntajes_EA!$J$58,"0.00"),""),H226=IFERROR(puntajes_EA!$K$58,"N/A")),"OK","FALLA")</f>
        <v>OK</v>
      </c>
    </row>
    <row r="227" customFormat="false" ht="26.85" hidden="false" customHeight="false" outlineLevel="0" collapsed="false">
      <c r="A227" s="3" t="s">
        <v>196</v>
      </c>
      <c r="B227" s="3" t="s">
        <v>197</v>
      </c>
      <c r="C227" s="3" t="s">
        <v>242</v>
      </c>
      <c r="D227" s="3" t="s">
        <v>242</v>
      </c>
      <c r="E227" s="3" t="s">
        <v>135</v>
      </c>
      <c r="F227" s="3" t="s">
        <v>6</v>
      </c>
      <c r="G227" s="4" t="n">
        <f aca="false">IFERROR(puntajes_EA!$J$59,"")</f>
        <v>0.299103098507722</v>
      </c>
      <c r="H227" s="5" t="str">
        <f aca="false">IFERROR(puntajes_EA!$K$59,"N/A")</f>
        <v>Satisfactorio</v>
      </c>
      <c r="I227" s="4" t="str">
        <f aca="false">IF(ISNUMBER(G227),TEXT(G227,"0.00"),"")</f>
        <v>0.30</v>
      </c>
      <c r="J227" s="3" t="n">
        <v>59</v>
      </c>
      <c r="K227" s="5" t="str">
        <f aca="false">IF(AND(B227=puntajes_EA!$B$59,E227=puntajes_EA!$C$59,I227=IF(ISNUMBER(puntajes_EA!$J$59),TEXT(puntajes_EA!$J$59,"0.00"),""),H227=IFERROR(puntajes_EA!$K$59,"N/A")),"OK","FALLA")</f>
        <v>OK</v>
      </c>
    </row>
    <row r="228" customFormat="false" ht="26.85" hidden="false" customHeight="false" outlineLevel="0" collapsed="false">
      <c r="A228" s="3" t="s">
        <v>196</v>
      </c>
      <c r="B228" s="3" t="s">
        <v>197</v>
      </c>
      <c r="C228" s="3" t="s">
        <v>242</v>
      </c>
      <c r="D228" s="3" t="s">
        <v>242</v>
      </c>
      <c r="E228" s="3" t="s">
        <v>136</v>
      </c>
      <c r="F228" s="3" t="s">
        <v>6</v>
      </c>
      <c r="G228" s="4" t="n">
        <f aca="false">IFERROR(puntajes_EA!$J$60,"")</f>
        <v>0.168442774875428</v>
      </c>
      <c r="H228" s="5" t="str">
        <f aca="false">IFERROR(puntajes_EA!$K$60,"N/A")</f>
        <v>Satisfactorio</v>
      </c>
      <c r="I228" s="4" t="str">
        <f aca="false">IF(ISNUMBER(G228),TEXT(G228,"0.00"),"")</f>
        <v>0.17</v>
      </c>
      <c r="J228" s="3" t="n">
        <v>60</v>
      </c>
      <c r="K228" s="5" t="str">
        <f aca="false">IF(AND(B228=puntajes_EA!$B$60,E228=puntajes_EA!$C$60,I228=IF(ISNUMBER(puntajes_EA!$J$60),TEXT(puntajes_EA!$J$60,"0.00"),""),H228=IFERROR(puntajes_EA!$K$60,"N/A")),"OK","FALLA")</f>
        <v>OK</v>
      </c>
    </row>
    <row r="229" customFormat="false" ht="26.85" hidden="false" customHeight="false" outlineLevel="0" collapsed="false">
      <c r="A229" s="3" t="s">
        <v>196</v>
      </c>
      <c r="B229" s="3" t="s">
        <v>197</v>
      </c>
      <c r="C229" s="3" t="s">
        <v>242</v>
      </c>
      <c r="D229" s="3" t="s">
        <v>242</v>
      </c>
      <c r="E229" s="3" t="s">
        <v>137</v>
      </c>
      <c r="F229" s="3" t="s">
        <v>6</v>
      </c>
      <c r="G229" s="4" t="n">
        <f aca="false">IFERROR(puntajes_EA!$J$61,"")</f>
        <v>0.289892488157802</v>
      </c>
      <c r="H229" s="5" t="str">
        <f aca="false">IFERROR(puntajes_EA!$K$61,"N/A")</f>
        <v>Satisfactorio</v>
      </c>
      <c r="I229" s="4" t="str">
        <f aca="false">IF(ISNUMBER(G229),TEXT(G229,"0.00"),"")</f>
        <v>0.29</v>
      </c>
      <c r="J229" s="3" t="n">
        <v>61</v>
      </c>
      <c r="K229" s="5" t="str">
        <f aca="false">IF(AND(B229=puntajes_EA!$B$61,E229=puntajes_EA!$C$61,I229=IF(ISNUMBER(puntajes_EA!$J$61),TEXT(puntajes_EA!$J$61,"0.00"),""),H229=IFERROR(puntajes_EA!$K$61,"N/A")),"OK","FALLA")</f>
        <v>OK</v>
      </c>
    </row>
    <row r="230" customFormat="false" ht="26.85" hidden="false" customHeight="false" outlineLevel="0" collapsed="false">
      <c r="A230" s="3" t="s">
        <v>196</v>
      </c>
      <c r="B230" s="3" t="s">
        <v>197</v>
      </c>
      <c r="C230" s="3" t="s">
        <v>243</v>
      </c>
      <c r="D230" s="3" t="s">
        <v>243</v>
      </c>
      <c r="E230" s="3" t="s">
        <v>126</v>
      </c>
      <c r="F230" s="3" t="s">
        <v>6</v>
      </c>
      <c r="G230" s="4" t="n">
        <f aca="false">IFERROR(puntajes_EA!$L$50,"")</f>
        <v>0.245294339442497</v>
      </c>
      <c r="H230" s="5" t="str">
        <f aca="false">IFERROR(puntajes_EA!$M$50,"N/A")</f>
        <v>Satisfactorio</v>
      </c>
      <c r="I230" s="4" t="str">
        <f aca="false">IF(ISNUMBER(G230),TEXT(G230,"0.00"),"")</f>
        <v>0.25</v>
      </c>
      <c r="J230" s="3" t="n">
        <v>50</v>
      </c>
      <c r="K230" s="5" t="str">
        <f aca="false">IF(AND(B230=puntajes_EA!$B$50,E230=puntajes_EA!$C$50,I230=IF(ISNUMBER(puntajes_EA!$L$50),TEXT(puntajes_EA!$L$50,"0.00"),""),H230=IFERROR(puntajes_EA!$M$50,"N/A")),"OK","FALLA")</f>
        <v>OK</v>
      </c>
    </row>
    <row r="231" customFormat="false" ht="26.85" hidden="false" customHeight="false" outlineLevel="0" collapsed="false">
      <c r="A231" s="3" t="s">
        <v>196</v>
      </c>
      <c r="B231" s="3" t="s">
        <v>197</v>
      </c>
      <c r="C231" s="3" t="s">
        <v>243</v>
      </c>
      <c r="D231" s="3" t="s">
        <v>243</v>
      </c>
      <c r="E231" s="3" t="s">
        <v>127</v>
      </c>
      <c r="F231" s="3" t="s">
        <v>6</v>
      </c>
      <c r="G231" s="4" t="n">
        <f aca="false">IFERROR(puntajes_EA!$L$51,"")</f>
        <v>0.0808991781645435</v>
      </c>
      <c r="H231" s="5" t="str">
        <f aca="false">IFERROR(puntajes_EA!$M$51,"N/A")</f>
        <v>Satisfactorio</v>
      </c>
      <c r="I231" s="4" t="str">
        <f aca="false">IF(ISNUMBER(G231),TEXT(G231,"0.00"),"")</f>
        <v>0.08</v>
      </c>
      <c r="J231" s="3" t="n">
        <v>51</v>
      </c>
      <c r="K231" s="5" t="str">
        <f aca="false">IF(AND(B231=puntajes_EA!$B$51,E231=puntajes_EA!$C$51,I231=IF(ISNUMBER(puntajes_EA!$L$51),TEXT(puntajes_EA!$L$51,"0.00"),""),H231=IFERROR(puntajes_EA!$M$51,"N/A")),"OK","FALLA")</f>
        <v>OK</v>
      </c>
    </row>
    <row r="232" customFormat="false" ht="26.85" hidden="false" customHeight="false" outlineLevel="0" collapsed="false">
      <c r="A232" s="3" t="s">
        <v>196</v>
      </c>
      <c r="B232" s="3" t="s">
        <v>197</v>
      </c>
      <c r="C232" s="3" t="s">
        <v>243</v>
      </c>
      <c r="D232" s="3" t="s">
        <v>243</v>
      </c>
      <c r="E232" s="3" t="s">
        <v>128</v>
      </c>
      <c r="F232" s="3" t="s">
        <v>6</v>
      </c>
      <c r="G232" s="4" t="n">
        <f aca="false">IFERROR(puntajes_EA!$L$52,"")</f>
        <v>0.440401915987893</v>
      </c>
      <c r="H232" s="5" t="str">
        <f aca="false">IFERROR(puntajes_EA!$M$52,"N/A")</f>
        <v>Satisfactorio</v>
      </c>
      <c r="I232" s="4" t="str">
        <f aca="false">IF(ISNUMBER(G232),TEXT(G232,"0.00"),"")</f>
        <v>0.44</v>
      </c>
      <c r="J232" s="3" t="n">
        <v>52</v>
      </c>
      <c r="K232" s="5" t="str">
        <f aca="false">IF(AND(B232=puntajes_EA!$B$52,E232=puntajes_EA!$C$52,I232=IF(ISNUMBER(puntajes_EA!$L$52),TEXT(puntajes_EA!$L$52,"0.00"),""),H232=IFERROR(puntajes_EA!$M$52,"N/A")),"OK","FALLA")</f>
        <v>OK</v>
      </c>
    </row>
    <row r="233" customFormat="false" ht="26.85" hidden="false" customHeight="false" outlineLevel="0" collapsed="false">
      <c r="A233" s="3" t="s">
        <v>196</v>
      </c>
      <c r="B233" s="3" t="s">
        <v>197</v>
      </c>
      <c r="C233" s="3" t="s">
        <v>243</v>
      </c>
      <c r="D233" s="3" t="s">
        <v>243</v>
      </c>
      <c r="E233" s="3" t="s">
        <v>129</v>
      </c>
      <c r="F233" s="3" t="s">
        <v>6</v>
      </c>
      <c r="G233" s="4" t="n">
        <f aca="false">IFERROR(puntajes_EA!$L$53,"")</f>
        <v>0.23349742171353</v>
      </c>
      <c r="H233" s="5" t="str">
        <f aca="false">IFERROR(puntajes_EA!$M$53,"N/A")</f>
        <v>Satisfactorio</v>
      </c>
      <c r="I233" s="4" t="str">
        <f aca="false">IF(ISNUMBER(G233),TEXT(G233,"0.00"),"")</f>
        <v>0.23</v>
      </c>
      <c r="J233" s="3" t="n">
        <v>53</v>
      </c>
      <c r="K233" s="5" t="str">
        <f aca="false">IF(AND(B233=puntajes_EA!$B$53,E233=puntajes_EA!$C$53,I233=IF(ISNUMBER(puntajes_EA!$L$53),TEXT(puntajes_EA!$L$53,"0.00"),""),H233=IFERROR(puntajes_EA!$M$53,"N/A")),"OK","FALLA")</f>
        <v>OK</v>
      </c>
    </row>
    <row r="234" customFormat="false" ht="26.85" hidden="false" customHeight="false" outlineLevel="0" collapsed="false">
      <c r="A234" s="3" t="s">
        <v>196</v>
      </c>
      <c r="B234" s="3" t="s">
        <v>197</v>
      </c>
      <c r="C234" s="3" t="s">
        <v>243</v>
      </c>
      <c r="D234" s="3" t="s">
        <v>243</v>
      </c>
      <c r="E234" s="3" t="s">
        <v>130</v>
      </c>
      <c r="F234" s="3" t="s">
        <v>6</v>
      </c>
      <c r="G234" s="4" t="n">
        <f aca="false">IFERROR(puntajes_EA!$L$54,"")</f>
        <v>0.0524864937931787</v>
      </c>
      <c r="H234" s="5" t="str">
        <f aca="false">IFERROR(puntajes_EA!$M$54,"N/A")</f>
        <v>Satisfactorio</v>
      </c>
      <c r="I234" s="4" t="str">
        <f aca="false">IF(ISNUMBER(G234),TEXT(G234,"0.00"),"")</f>
        <v>0.05</v>
      </c>
      <c r="J234" s="3" t="n">
        <v>54</v>
      </c>
      <c r="K234" s="5" t="str">
        <f aca="false">IF(AND(B234=puntajes_EA!$B$54,E234=puntajes_EA!$C$54,I234=IF(ISNUMBER(puntajes_EA!$L$54),TEXT(puntajes_EA!$L$54,"0.00"),""),H234=IFERROR(puntajes_EA!$M$54,"N/A")),"OK","FALLA")</f>
        <v>OK</v>
      </c>
    </row>
    <row r="235" customFormat="false" ht="26.85" hidden="false" customHeight="false" outlineLevel="0" collapsed="false">
      <c r="A235" s="3" t="s">
        <v>196</v>
      </c>
      <c r="B235" s="3" t="s">
        <v>197</v>
      </c>
      <c r="C235" s="3" t="s">
        <v>243</v>
      </c>
      <c r="D235" s="3" t="s">
        <v>243</v>
      </c>
      <c r="E235" s="3" t="s">
        <v>131</v>
      </c>
      <c r="F235" s="3" t="s">
        <v>6</v>
      </c>
      <c r="G235" s="4" t="n">
        <f aca="false">IFERROR(puntajes_EA!$L$55,"")</f>
        <v>0.0951830064704898</v>
      </c>
      <c r="H235" s="5" t="str">
        <f aca="false">IFERROR(puntajes_EA!$M$55,"N/A")</f>
        <v>Satisfactorio</v>
      </c>
      <c r="I235" s="4" t="str">
        <f aca="false">IF(ISNUMBER(G235),TEXT(G235,"0.00"),"")</f>
        <v>0.10</v>
      </c>
      <c r="J235" s="3" t="n">
        <v>55</v>
      </c>
      <c r="K235" s="5" t="str">
        <f aca="false">IF(AND(B235=puntajes_EA!$B$55,E235=puntajes_EA!$C$55,I235=IF(ISNUMBER(puntajes_EA!$L$55),TEXT(puntajes_EA!$L$55,"0.00"),""),H235=IFERROR(puntajes_EA!$M$55,"N/A")),"OK","FALLA")</f>
        <v>OK</v>
      </c>
    </row>
    <row r="236" customFormat="false" ht="26.85" hidden="false" customHeight="false" outlineLevel="0" collapsed="false">
      <c r="A236" s="3" t="s">
        <v>196</v>
      </c>
      <c r="B236" s="3" t="s">
        <v>197</v>
      </c>
      <c r="C236" s="3" t="s">
        <v>243</v>
      </c>
      <c r="D236" s="3" t="s">
        <v>243</v>
      </c>
      <c r="E236" s="3" t="s">
        <v>132</v>
      </c>
      <c r="F236" s="3" t="s">
        <v>6</v>
      </c>
      <c r="G236" s="4" t="n">
        <f aca="false">IFERROR(puntajes_EA!$L$56,"")</f>
        <v>0.352447979724242</v>
      </c>
      <c r="H236" s="5" t="str">
        <f aca="false">IFERROR(puntajes_EA!$M$56,"N/A")</f>
        <v>Satisfactorio</v>
      </c>
      <c r="I236" s="4" t="str">
        <f aca="false">IF(ISNUMBER(G236),TEXT(G236,"0.00"),"")</f>
        <v>0.35</v>
      </c>
      <c r="J236" s="3" t="n">
        <v>56</v>
      </c>
      <c r="K236" s="5" t="str">
        <f aca="false">IF(AND(B236=puntajes_EA!$B$56,E236=puntajes_EA!$C$56,I236=IF(ISNUMBER(puntajes_EA!$L$56),TEXT(puntajes_EA!$L$56,"0.00"),""),H236=IFERROR(puntajes_EA!$M$56,"N/A")),"OK","FALLA")</f>
        <v>OK</v>
      </c>
    </row>
    <row r="237" customFormat="false" ht="26.85" hidden="false" customHeight="false" outlineLevel="0" collapsed="false">
      <c r="A237" s="3" t="s">
        <v>196</v>
      </c>
      <c r="B237" s="3" t="s">
        <v>197</v>
      </c>
      <c r="C237" s="3" t="s">
        <v>243</v>
      </c>
      <c r="D237" s="3" t="s">
        <v>243</v>
      </c>
      <c r="E237" s="3" t="s">
        <v>133</v>
      </c>
      <c r="F237" s="3" t="s">
        <v>6</v>
      </c>
      <c r="G237" s="4" t="n">
        <f aca="false">IFERROR(puntajes_EA!$L$57,"")</f>
        <v>0.0942099941608374</v>
      </c>
      <c r="H237" s="5" t="str">
        <f aca="false">IFERROR(puntajes_EA!$M$57,"N/A")</f>
        <v>Satisfactorio</v>
      </c>
      <c r="I237" s="4" t="str">
        <f aca="false">IF(ISNUMBER(G237),TEXT(G237,"0.00"),"")</f>
        <v>0.09</v>
      </c>
      <c r="J237" s="3" t="n">
        <v>57</v>
      </c>
      <c r="K237" s="5" t="str">
        <f aca="false">IF(AND(B237=puntajes_EA!$B$57,E237=puntajes_EA!$C$57,I237=IF(ISNUMBER(puntajes_EA!$L$57),TEXT(puntajes_EA!$L$57,"0.00"),""),H237=IFERROR(puntajes_EA!$M$57,"N/A")),"OK","FALLA")</f>
        <v>OK</v>
      </c>
    </row>
    <row r="238" customFormat="false" ht="26.85" hidden="false" customHeight="false" outlineLevel="0" collapsed="false">
      <c r="A238" s="3" t="s">
        <v>196</v>
      </c>
      <c r="B238" s="3" t="s">
        <v>197</v>
      </c>
      <c r="C238" s="3" t="s">
        <v>243</v>
      </c>
      <c r="D238" s="3" t="s">
        <v>243</v>
      </c>
      <c r="E238" s="3" t="s">
        <v>134</v>
      </c>
      <c r="F238" s="3" t="s">
        <v>6</v>
      </c>
      <c r="G238" s="4" t="n">
        <f aca="false">IFERROR(puntajes_EA!$L$58,"")</f>
        <v>0.117648991539683</v>
      </c>
      <c r="H238" s="5" t="str">
        <f aca="false">IFERROR(puntajes_EA!$M$58,"N/A")</f>
        <v>Satisfactorio</v>
      </c>
      <c r="I238" s="4" t="str">
        <f aca="false">IF(ISNUMBER(G238),TEXT(G238,"0.00"),"")</f>
        <v>0.12</v>
      </c>
      <c r="J238" s="3" t="n">
        <v>58</v>
      </c>
      <c r="K238" s="5" t="str">
        <f aca="false">IF(AND(B238=puntajes_EA!$B$58,E238=puntajes_EA!$C$58,I238=IF(ISNUMBER(puntajes_EA!$L$58),TEXT(puntajes_EA!$L$58,"0.00"),""),H238=IFERROR(puntajes_EA!$M$58,"N/A")),"OK","FALLA")</f>
        <v>OK</v>
      </c>
    </row>
    <row r="239" customFormat="false" ht="26.85" hidden="false" customHeight="false" outlineLevel="0" collapsed="false">
      <c r="A239" s="3" t="s">
        <v>196</v>
      </c>
      <c r="B239" s="3" t="s">
        <v>197</v>
      </c>
      <c r="C239" s="3" t="s">
        <v>243</v>
      </c>
      <c r="D239" s="3" t="s">
        <v>243</v>
      </c>
      <c r="E239" s="3" t="s">
        <v>135</v>
      </c>
      <c r="F239" s="3" t="s">
        <v>6</v>
      </c>
      <c r="G239" s="4" t="n">
        <f aca="false">IFERROR(puntajes_EA!$L$59,"")</f>
        <v>0.149551549253861</v>
      </c>
      <c r="H239" s="5" t="str">
        <f aca="false">IFERROR(puntajes_EA!$M$59,"N/A")</f>
        <v>Satisfactorio</v>
      </c>
      <c r="I239" s="4" t="str">
        <f aca="false">IF(ISNUMBER(G239),TEXT(G239,"0.00"),"")</f>
        <v>0.15</v>
      </c>
      <c r="J239" s="3" t="n">
        <v>59</v>
      </c>
      <c r="K239" s="5" t="str">
        <f aca="false">IF(AND(B239=puntajes_EA!$B$59,E239=puntajes_EA!$C$59,I239=IF(ISNUMBER(puntajes_EA!$L$59),TEXT(puntajes_EA!$L$59,"0.00"),""),H239=IFERROR(puntajes_EA!$M$59,"N/A")),"OK","FALLA")</f>
        <v>OK</v>
      </c>
    </row>
    <row r="240" customFormat="false" ht="26.85" hidden="false" customHeight="false" outlineLevel="0" collapsed="false">
      <c r="A240" s="3" t="s">
        <v>196</v>
      </c>
      <c r="B240" s="3" t="s">
        <v>197</v>
      </c>
      <c r="C240" s="3" t="s">
        <v>243</v>
      </c>
      <c r="D240" s="3" t="s">
        <v>243</v>
      </c>
      <c r="E240" s="3" t="s">
        <v>136</v>
      </c>
      <c r="F240" s="3" t="s">
        <v>6</v>
      </c>
      <c r="G240" s="4" t="n">
        <f aca="false">IFERROR(puntajes_EA!$L$60,"")</f>
        <v>0.0842213874377139</v>
      </c>
      <c r="H240" s="5" t="str">
        <f aca="false">IFERROR(puntajes_EA!$M$60,"N/A")</f>
        <v>Satisfactorio</v>
      </c>
      <c r="I240" s="4" t="str">
        <f aca="false">IF(ISNUMBER(G240),TEXT(G240,"0.00"),"")</f>
        <v>0.08</v>
      </c>
      <c r="J240" s="3" t="n">
        <v>60</v>
      </c>
      <c r="K240" s="5" t="str">
        <f aca="false">IF(AND(B240=puntajes_EA!$B$60,E240=puntajes_EA!$C$60,I240=IF(ISNUMBER(puntajes_EA!$L$60),TEXT(puntajes_EA!$L$60,"0.00"),""),H240=IFERROR(puntajes_EA!$M$60,"N/A")),"OK","FALLA")</f>
        <v>OK</v>
      </c>
    </row>
    <row r="241" customFormat="false" ht="26.85" hidden="false" customHeight="false" outlineLevel="0" collapsed="false">
      <c r="A241" s="3" t="s">
        <v>196</v>
      </c>
      <c r="B241" s="3" t="s">
        <v>197</v>
      </c>
      <c r="C241" s="3" t="s">
        <v>243</v>
      </c>
      <c r="D241" s="3" t="s">
        <v>243</v>
      </c>
      <c r="E241" s="3" t="s">
        <v>137</v>
      </c>
      <c r="F241" s="3" t="s">
        <v>6</v>
      </c>
      <c r="G241" s="4" t="n">
        <f aca="false">IFERROR(puntajes_EA!$L$61,"")</f>
        <v>0.144946244078901</v>
      </c>
      <c r="H241" s="5" t="str">
        <f aca="false">IFERROR(puntajes_EA!$M$61,"N/A")</f>
        <v>Satisfactorio</v>
      </c>
      <c r="I241" s="4" t="str">
        <f aca="false">IF(ISNUMBER(G241),TEXT(G241,"0.00"),"")</f>
        <v>0.14</v>
      </c>
      <c r="J241" s="3" t="n">
        <v>61</v>
      </c>
      <c r="K241" s="5" t="str">
        <f aca="false">IF(AND(B241=puntajes_EA!$B$61,E241=puntajes_EA!$C$61,I241=IF(ISNUMBER(puntajes_EA!$L$61),TEXT(puntajes_EA!$L$61,"0.00"),""),H241=IFERROR(puntajes_EA!$M$61,"N/A")),"OK","FALLA")</f>
        <v>OK</v>
      </c>
    </row>
  </sheetData>
  <conditionalFormatting sqref="K2:K241">
    <cfRule type="expression" priority="2" aboveAverage="0" equalAverage="0" bottom="0" percent="0" rank="0" text="" dxfId="0">
      <formula>K2="FALLA"</formula>
    </cfRule>
    <cfRule type="expression" priority="3" aboveAverage="0" equalAverage="0" bottom="0" percent="0" rank="0" text="" dxfId="1">
      <formula>K2="OK"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16.72"/>
    <col collapsed="false" customWidth="true" hidden="false" outlineLevel="0" max="3" min="3" style="0" width="18.71"/>
    <col collapsed="false" customWidth="true" hidden="false" outlineLevel="0" max="4" min="4" style="0" width="12.71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119</v>
      </c>
      <c r="B2" s="2"/>
      <c r="C2" s="2"/>
      <c r="D2" s="2"/>
    </row>
    <row r="3" customFormat="false" ht="15" hidden="false" customHeight="false" outlineLevel="0" collapsed="false">
      <c r="A3" s="0" t="s">
        <v>126</v>
      </c>
      <c r="B3" s="6" t="str">
        <f aca="false">IFERROR(heatmap_datos_globales!$I$2,"")</f>
        <v>0.24</v>
      </c>
      <c r="C3" s="7" t="str">
        <f aca="false">IFERROR(heatmap_datos_globales!$H$2,"N/A")</f>
        <v>Satisfactorio</v>
      </c>
      <c r="D3" s="7" t="str">
        <f aca="false">IF(AND(A3=heatmap_datos_globales!$E$2,B3=heatmap_datos_globales!$I$2,C3=heatmap_datos_globales!$H$2,heatmap_datos_globales!$K$2="OK"),"OK","FALLA")</f>
        <v>OK</v>
      </c>
    </row>
    <row r="4" customFormat="false" ht="15" hidden="false" customHeight="false" outlineLevel="0" collapsed="false">
      <c r="A4" s="0" t="s">
        <v>127</v>
      </c>
      <c r="B4" s="6" t="str">
        <f aca="false">IFERROR(heatmap_datos_globales!$I$3,"")</f>
        <v>0.08</v>
      </c>
      <c r="C4" s="7" t="str">
        <f aca="false">IFERROR(heatmap_datos_globales!$H$3,"N/A")</f>
        <v>Satisfactorio</v>
      </c>
      <c r="D4" s="7" t="str">
        <f aca="false">IF(AND(A4=heatmap_datos_globales!$E$3,B4=heatmap_datos_globales!$I$3,C4=heatmap_datos_globales!$H$3,heatmap_datos_globales!$K$3="OK"),"OK","FALLA")</f>
        <v>OK</v>
      </c>
    </row>
    <row r="5" customFormat="false" ht="15" hidden="false" customHeight="false" outlineLevel="0" collapsed="false">
      <c r="A5" s="0" t="s">
        <v>128</v>
      </c>
      <c r="B5" s="6" t="str">
        <f aca="false">IFERROR(heatmap_datos_globales!$I$4,"")</f>
        <v>0.44</v>
      </c>
      <c r="C5" s="7" t="str">
        <f aca="false">IFERROR(heatmap_datos_globales!$H$4,"N/A")</f>
        <v>Satisfactorio</v>
      </c>
      <c r="D5" s="7" t="str">
        <f aca="false">IF(AND(A5=heatmap_datos_globales!$E$4,B5=heatmap_datos_globales!$I$4,C5=heatmap_datos_globales!$H$4,heatmap_datos_globales!$K$4="OK"),"OK","FALLA")</f>
        <v>OK</v>
      </c>
    </row>
    <row r="6" customFormat="false" ht="15" hidden="false" customHeight="false" outlineLevel="0" collapsed="false">
      <c r="A6" s="0" t="s">
        <v>129</v>
      </c>
      <c r="B6" s="6" t="str">
        <f aca="false">IFERROR(heatmap_datos_globales!$I$5,"")</f>
        <v>0.23</v>
      </c>
      <c r="C6" s="7" t="str">
        <f aca="false">IFERROR(heatmap_datos_globales!$H$5,"N/A")</f>
        <v>Satisfactorio</v>
      </c>
      <c r="D6" s="7" t="str">
        <f aca="false">IF(AND(A6=heatmap_datos_globales!$E$5,B6=heatmap_datos_globales!$I$5,C6=heatmap_datos_globales!$H$5,heatmap_datos_globales!$K$5="OK"),"OK","FALLA")</f>
        <v>OK</v>
      </c>
    </row>
    <row r="7" customFormat="false" ht="15" hidden="false" customHeight="false" outlineLevel="0" collapsed="false">
      <c r="A7" s="0" t="s">
        <v>130</v>
      </c>
      <c r="B7" s="6" t="str">
        <f aca="false">IFERROR(heatmap_datos_globales!$I$6,"")</f>
        <v>0.05</v>
      </c>
      <c r="C7" s="7" t="str">
        <f aca="false">IFERROR(heatmap_datos_globales!$H$6,"N/A")</f>
        <v>Satisfactorio</v>
      </c>
      <c r="D7" s="7" t="str">
        <f aca="false">IF(AND(A7=heatmap_datos_globales!$E$6,B7=heatmap_datos_globales!$I$6,C7=heatmap_datos_globales!$H$6,heatmap_datos_globales!$K$6="OK"),"OK","FALLA")</f>
        <v>OK</v>
      </c>
    </row>
    <row r="8" customFormat="false" ht="15" hidden="false" customHeight="false" outlineLevel="0" collapsed="false">
      <c r="A8" s="0" t="s">
        <v>131</v>
      </c>
      <c r="B8" s="6" t="str">
        <f aca="false">IFERROR(heatmap_datos_globales!$I$7,"")</f>
        <v>0.09</v>
      </c>
      <c r="C8" s="7" t="str">
        <f aca="false">IFERROR(heatmap_datos_globales!$H$7,"N/A")</f>
        <v>Satisfactorio</v>
      </c>
      <c r="D8" s="7" t="str">
        <f aca="false">IF(AND(A8=heatmap_datos_globales!$E$7,B8=heatmap_datos_globales!$I$7,C8=heatmap_datos_globales!$H$7,heatmap_datos_globales!$K$7="OK"),"OK","FALLA")</f>
        <v>OK</v>
      </c>
    </row>
    <row r="9" customFormat="false" ht="15" hidden="false" customHeight="false" outlineLevel="0" collapsed="false">
      <c r="A9" s="0" t="s">
        <v>132</v>
      </c>
      <c r="B9" s="6" t="str">
        <f aca="false">IFERROR(heatmap_datos_globales!$I$8,"")</f>
        <v>0.35</v>
      </c>
      <c r="C9" s="7" t="str">
        <f aca="false">IFERROR(heatmap_datos_globales!$H$8,"N/A")</f>
        <v>Satisfactorio</v>
      </c>
      <c r="D9" s="7" t="str">
        <f aca="false">IF(AND(A9=heatmap_datos_globales!$E$8,B9=heatmap_datos_globales!$I$8,C9=heatmap_datos_globales!$H$8,heatmap_datos_globales!$K$8="OK"),"OK","FALLA")</f>
        <v>OK</v>
      </c>
    </row>
    <row r="10" customFormat="false" ht="15" hidden="false" customHeight="false" outlineLevel="0" collapsed="false">
      <c r="A10" s="0" t="s">
        <v>133</v>
      </c>
      <c r="B10" s="6" t="str">
        <f aca="false">IFERROR(heatmap_datos_globales!$I$9,"")</f>
        <v>0.09</v>
      </c>
      <c r="C10" s="7" t="str">
        <f aca="false">IFERROR(heatmap_datos_globales!$H$9,"N/A")</f>
        <v>Satisfactorio</v>
      </c>
      <c r="D10" s="7" t="str">
        <f aca="false">IF(AND(A10=heatmap_datos_globales!$E$9,B10=heatmap_datos_globales!$I$9,C10=heatmap_datos_globales!$H$9,heatmap_datos_globales!$K$9="OK"),"OK","FALLA")</f>
        <v>OK</v>
      </c>
    </row>
    <row r="11" customFormat="false" ht="15" hidden="false" customHeight="false" outlineLevel="0" collapsed="false">
      <c r="A11" s="0" t="s">
        <v>134</v>
      </c>
      <c r="B11" s="6" t="str">
        <f aca="false">IFERROR(heatmap_datos_globales!$I$10,"")</f>
        <v>0.12</v>
      </c>
      <c r="C11" s="7" t="str">
        <f aca="false">IFERROR(heatmap_datos_globales!$H$10,"N/A")</f>
        <v>Satisfactorio</v>
      </c>
      <c r="D11" s="7" t="str">
        <f aca="false">IF(AND(A11=heatmap_datos_globales!$E$10,B11=heatmap_datos_globales!$I$10,C11=heatmap_datos_globales!$H$10,heatmap_datos_globales!$K$10="OK"),"OK","FALLA")</f>
        <v>OK</v>
      </c>
    </row>
    <row r="12" customFormat="false" ht="15" hidden="false" customHeight="false" outlineLevel="0" collapsed="false">
      <c r="A12" s="0" t="s">
        <v>135</v>
      </c>
      <c r="B12" s="6" t="str">
        <f aca="false">IFERROR(heatmap_datos_globales!$I$11,"")</f>
        <v>0.15</v>
      </c>
      <c r="C12" s="7" t="str">
        <f aca="false">IFERROR(heatmap_datos_globales!$H$11,"N/A")</f>
        <v>Satisfactorio</v>
      </c>
      <c r="D12" s="7" t="str">
        <f aca="false">IF(AND(A12=heatmap_datos_globales!$E$11,B12=heatmap_datos_globales!$I$11,C12=heatmap_datos_globales!$H$11,heatmap_datos_globales!$K$11="OK"),"OK","FALLA")</f>
        <v>OK</v>
      </c>
    </row>
    <row r="13" customFormat="false" ht="15" hidden="false" customHeight="false" outlineLevel="0" collapsed="false">
      <c r="A13" s="0" t="s">
        <v>136</v>
      </c>
      <c r="B13" s="6" t="str">
        <f aca="false">IFERROR(heatmap_datos_globales!$I$12,"")</f>
        <v>0.08</v>
      </c>
      <c r="C13" s="7" t="str">
        <f aca="false">IFERROR(heatmap_datos_globales!$H$12,"N/A")</f>
        <v>Satisfactorio</v>
      </c>
      <c r="D13" s="7" t="str">
        <f aca="false">IF(AND(A13=heatmap_datos_globales!$E$12,B13=heatmap_datos_globales!$I$12,C13=heatmap_datos_globales!$H$12,heatmap_datos_globales!$K$12="OK"),"OK","FALLA")</f>
        <v>OK</v>
      </c>
    </row>
    <row r="14" customFormat="false" ht="15" hidden="false" customHeight="false" outlineLevel="0" collapsed="false">
      <c r="A14" s="0" t="s">
        <v>137</v>
      </c>
      <c r="B14" s="6" t="str">
        <f aca="false">IFERROR(heatmap_datos_globales!$I$13,"")</f>
        <v>0.14</v>
      </c>
      <c r="C14" s="7" t="str">
        <f aca="false">IFERROR(heatmap_datos_globales!$H$13,"N/A")</f>
        <v>Satisfactorio</v>
      </c>
      <c r="D14" s="7" t="str">
        <f aca="false">IF(AND(A14=heatmap_datos_globales!$E$13,B14=heatmap_datos_globales!$I$13,C14=heatmap_datos_globales!$H$13,heatmap_datos_globales!$K$13="OK"),"OK","FALLA")</f>
        <v>OK</v>
      </c>
    </row>
    <row r="17" customFormat="false" ht="17.35" hidden="false" customHeight="false" outlineLevel="0" collapsed="false">
      <c r="A17" s="1" t="s">
        <v>252</v>
      </c>
    </row>
    <row r="18" customFormat="false" ht="15" hidden="false" customHeight="false" outlineLevel="0" collapsed="false">
      <c r="A18" s="2" t="s">
        <v>119</v>
      </c>
      <c r="B18" s="2"/>
      <c r="C18" s="2"/>
      <c r="D18" s="2"/>
    </row>
    <row r="19" customFormat="false" ht="15" hidden="false" customHeight="false" outlineLevel="0" collapsed="false">
      <c r="A19" s="0" t="s">
        <v>126</v>
      </c>
      <c r="B19" s="6" t="str">
        <f aca="false">IFERROR(heatmap_datos_globales!$I$14,"")</f>
        <v>0.22</v>
      </c>
      <c r="C19" s="7" t="str">
        <f aca="false">IFERROR(heatmap_datos_globales!$H$14,"N/A")</f>
        <v>Satisfactorio</v>
      </c>
      <c r="D19" s="7" t="str">
        <f aca="false">IF(AND(A19=heatmap_datos_globales!$E$14,B19=heatmap_datos_globales!$I$14,C19=heatmap_datos_globales!$H$14,heatmap_datos_globales!$K$14="OK"),"OK","FALLA")</f>
        <v>OK</v>
      </c>
    </row>
    <row r="20" customFormat="false" ht="15" hidden="false" customHeight="false" outlineLevel="0" collapsed="false">
      <c r="A20" s="0" t="s">
        <v>127</v>
      </c>
      <c r="B20" s="6" t="str">
        <f aca="false">IFERROR(heatmap_datos_globales!$I$15,"")</f>
        <v>0.07</v>
      </c>
      <c r="C20" s="7" t="str">
        <f aca="false">IFERROR(heatmap_datos_globales!$H$15,"N/A")</f>
        <v>Satisfactorio</v>
      </c>
      <c r="D20" s="7" t="str">
        <f aca="false">IF(AND(A20=heatmap_datos_globales!$E$15,B20=heatmap_datos_globales!$I$15,C20=heatmap_datos_globales!$H$15,heatmap_datos_globales!$K$15="OK"),"OK","FALLA")</f>
        <v>OK</v>
      </c>
    </row>
    <row r="21" customFormat="false" ht="15" hidden="false" customHeight="false" outlineLevel="0" collapsed="false">
      <c r="A21" s="0" t="s">
        <v>128</v>
      </c>
      <c r="B21" s="6" t="str">
        <f aca="false">IFERROR(heatmap_datos_globales!$I$16,"")</f>
        <v>0.39</v>
      </c>
      <c r="C21" s="7" t="str">
        <f aca="false">IFERROR(heatmap_datos_globales!$H$16,"N/A")</f>
        <v>Satisfactorio</v>
      </c>
      <c r="D21" s="7" t="str">
        <f aca="false">IF(AND(A21=heatmap_datos_globales!$E$16,B21=heatmap_datos_globales!$I$16,C21=heatmap_datos_globales!$H$16,heatmap_datos_globales!$K$16="OK"),"OK","FALLA")</f>
        <v>OK</v>
      </c>
    </row>
    <row r="22" customFormat="false" ht="15" hidden="false" customHeight="false" outlineLevel="0" collapsed="false">
      <c r="A22" s="0" t="s">
        <v>129</v>
      </c>
      <c r="B22" s="6" t="str">
        <f aca="false">IFERROR(heatmap_datos_globales!$I$17,"")</f>
        <v>0.21</v>
      </c>
      <c r="C22" s="7" t="str">
        <f aca="false">IFERROR(heatmap_datos_globales!$H$17,"N/A")</f>
        <v>Satisfactorio</v>
      </c>
      <c r="D22" s="7" t="str">
        <f aca="false">IF(AND(A22=heatmap_datos_globales!$E$17,B22=heatmap_datos_globales!$I$17,C22=heatmap_datos_globales!$H$17,heatmap_datos_globales!$K$17="OK"),"OK","FALLA")</f>
        <v>OK</v>
      </c>
    </row>
    <row r="23" customFormat="false" ht="15" hidden="false" customHeight="false" outlineLevel="0" collapsed="false">
      <c r="A23" s="0" t="s">
        <v>130</v>
      </c>
      <c r="B23" s="6" t="str">
        <f aca="false">IFERROR(heatmap_datos_globales!$I$18,"")</f>
        <v>0.05</v>
      </c>
      <c r="C23" s="7" t="str">
        <f aca="false">IFERROR(heatmap_datos_globales!$H$18,"N/A")</f>
        <v>Satisfactorio</v>
      </c>
      <c r="D23" s="7" t="str">
        <f aca="false">IF(AND(A23=heatmap_datos_globales!$E$18,B23=heatmap_datos_globales!$I$18,C23=heatmap_datos_globales!$H$18,heatmap_datos_globales!$K$18="OK"),"OK","FALLA")</f>
        <v>OK</v>
      </c>
    </row>
    <row r="24" customFormat="false" ht="15" hidden="false" customHeight="false" outlineLevel="0" collapsed="false">
      <c r="A24" s="0" t="s">
        <v>131</v>
      </c>
      <c r="B24" s="6" t="str">
        <f aca="false">IFERROR(heatmap_datos_globales!$I$19,"")</f>
        <v>0.08</v>
      </c>
      <c r="C24" s="7" t="str">
        <f aca="false">IFERROR(heatmap_datos_globales!$H$19,"N/A")</f>
        <v>Satisfactorio</v>
      </c>
      <c r="D24" s="7" t="str">
        <f aca="false">IF(AND(A24=heatmap_datos_globales!$E$19,B24=heatmap_datos_globales!$I$19,C24=heatmap_datos_globales!$H$19,heatmap_datos_globales!$K$19="OK"),"OK","FALLA")</f>
        <v>OK</v>
      </c>
    </row>
    <row r="25" customFormat="false" ht="15" hidden="false" customHeight="false" outlineLevel="0" collapsed="false">
      <c r="A25" s="0" t="s">
        <v>132</v>
      </c>
      <c r="B25" s="6" t="str">
        <f aca="false">IFERROR(heatmap_datos_globales!$I$20,"")</f>
        <v>0.31</v>
      </c>
      <c r="C25" s="7" t="str">
        <f aca="false">IFERROR(heatmap_datos_globales!$H$20,"N/A")</f>
        <v>Satisfactorio</v>
      </c>
      <c r="D25" s="7" t="str">
        <f aca="false">IF(AND(A25=heatmap_datos_globales!$E$20,B25=heatmap_datos_globales!$I$20,C25=heatmap_datos_globales!$H$20,heatmap_datos_globales!$K$20="OK"),"OK","FALLA")</f>
        <v>OK</v>
      </c>
    </row>
    <row r="26" customFormat="false" ht="15" hidden="false" customHeight="false" outlineLevel="0" collapsed="false">
      <c r="A26" s="0" t="s">
        <v>133</v>
      </c>
      <c r="B26" s="6" t="str">
        <f aca="false">IFERROR(heatmap_datos_globales!$I$21,"")</f>
        <v>0.08</v>
      </c>
      <c r="C26" s="7" t="str">
        <f aca="false">IFERROR(heatmap_datos_globales!$H$21,"N/A")</f>
        <v>Satisfactorio</v>
      </c>
      <c r="D26" s="7" t="str">
        <f aca="false">IF(AND(A26=heatmap_datos_globales!$E$21,B26=heatmap_datos_globales!$I$21,C26=heatmap_datos_globales!$H$21,heatmap_datos_globales!$K$21="OK"),"OK","FALLA")</f>
        <v>OK</v>
      </c>
    </row>
    <row r="27" customFormat="false" ht="15" hidden="false" customHeight="false" outlineLevel="0" collapsed="false">
      <c r="A27" s="0" t="s">
        <v>134</v>
      </c>
      <c r="B27" s="6" t="str">
        <f aca="false">IFERROR(heatmap_datos_globales!$I$22,"")</f>
        <v>0.11</v>
      </c>
      <c r="C27" s="7" t="str">
        <f aca="false">IFERROR(heatmap_datos_globales!$H$22,"N/A")</f>
        <v>Satisfactorio</v>
      </c>
      <c r="D27" s="7" t="str">
        <f aca="false">IF(AND(A27=heatmap_datos_globales!$E$22,B27=heatmap_datos_globales!$I$22,C27=heatmap_datos_globales!$H$22,heatmap_datos_globales!$K$22="OK"),"OK","FALLA")</f>
        <v>OK</v>
      </c>
    </row>
    <row r="28" customFormat="false" ht="15" hidden="false" customHeight="false" outlineLevel="0" collapsed="false">
      <c r="A28" s="0" t="s">
        <v>135</v>
      </c>
      <c r="B28" s="6" t="str">
        <f aca="false">IFERROR(heatmap_datos_globales!$I$23,"")</f>
        <v>0.13</v>
      </c>
      <c r="C28" s="7" t="str">
        <f aca="false">IFERROR(heatmap_datos_globales!$H$23,"N/A")</f>
        <v>Satisfactorio</v>
      </c>
      <c r="D28" s="7" t="str">
        <f aca="false">IF(AND(A28=heatmap_datos_globales!$E$23,B28=heatmap_datos_globales!$I$23,C28=heatmap_datos_globales!$H$23,heatmap_datos_globales!$K$23="OK"),"OK","FALLA")</f>
        <v>OK</v>
      </c>
    </row>
    <row r="29" customFormat="false" ht="15" hidden="false" customHeight="false" outlineLevel="0" collapsed="false">
      <c r="A29" s="0" t="s">
        <v>136</v>
      </c>
      <c r="B29" s="6" t="str">
        <f aca="false">IFERROR(heatmap_datos_globales!$I$24,"")</f>
        <v>0.08</v>
      </c>
      <c r="C29" s="7" t="str">
        <f aca="false">IFERROR(heatmap_datos_globales!$H$24,"N/A")</f>
        <v>Satisfactorio</v>
      </c>
      <c r="D29" s="7" t="str">
        <f aca="false">IF(AND(A29=heatmap_datos_globales!$E$24,B29=heatmap_datos_globales!$I$24,C29=heatmap_datos_globales!$H$24,heatmap_datos_globales!$K$24="OK"),"OK","FALLA")</f>
        <v>OK</v>
      </c>
    </row>
    <row r="30" customFormat="false" ht="15" hidden="false" customHeight="false" outlineLevel="0" collapsed="false">
      <c r="A30" s="0" t="s">
        <v>137</v>
      </c>
      <c r="B30" s="6" t="str">
        <f aca="false">IFERROR(heatmap_datos_globales!$I$25,"")</f>
        <v>0.13</v>
      </c>
      <c r="C30" s="7" t="str">
        <f aca="false">IFERROR(heatmap_datos_globales!$H$25,"N/A")</f>
        <v>Satisfactorio</v>
      </c>
      <c r="D30" s="7" t="str">
        <f aca="false">IF(AND(A30=heatmap_datos_globales!$E$25,B30=heatmap_datos_globales!$I$25,C30=heatmap_datos_globales!$H$25,heatmap_datos_globales!$K$25="OK"),"OK","FALLA")</f>
        <v>OK</v>
      </c>
    </row>
    <row r="33" customFormat="false" ht="17.35" hidden="false" customHeight="false" outlineLevel="0" collapsed="false">
      <c r="A33" s="1" t="s">
        <v>253</v>
      </c>
    </row>
    <row r="34" customFormat="false" ht="15" hidden="false" customHeight="false" outlineLevel="0" collapsed="false">
      <c r="A34" s="2" t="s">
        <v>119</v>
      </c>
      <c r="B34" s="2"/>
      <c r="C34" s="2"/>
      <c r="D34" s="2"/>
    </row>
    <row r="35" customFormat="false" ht="15" hidden="false" customHeight="false" outlineLevel="0" collapsed="false">
      <c r="A35" s="0" t="s">
        <v>126</v>
      </c>
      <c r="B35" s="6" t="str">
        <f aca="false">IFERROR(heatmap_datos_globales!$I$26,"")</f>
        <v>0.49</v>
      </c>
      <c r="C35" s="7" t="str">
        <f aca="false">IFERROR(heatmap_datos_globales!$H$26,"N/A")</f>
        <v>Satisfactorio</v>
      </c>
      <c r="D35" s="7" t="str">
        <f aca="false">IF(AND(A35=heatmap_datos_globales!$E$26,B35=heatmap_datos_globales!$I$26,C35=heatmap_datos_globales!$H$26,heatmap_datos_globales!$K$26="OK"),"OK","FALLA")</f>
        <v>OK</v>
      </c>
    </row>
    <row r="36" customFormat="false" ht="15" hidden="false" customHeight="false" outlineLevel="0" collapsed="false">
      <c r="A36" s="0" t="s">
        <v>127</v>
      </c>
      <c r="B36" s="6" t="str">
        <f aca="false">IFERROR(heatmap_datos_globales!$I$27,"")</f>
        <v>0.16</v>
      </c>
      <c r="C36" s="7" t="str">
        <f aca="false">IFERROR(heatmap_datos_globales!$H$27,"N/A")</f>
        <v>Satisfactorio</v>
      </c>
      <c r="D36" s="7" t="str">
        <f aca="false">IF(AND(A36=heatmap_datos_globales!$E$27,B36=heatmap_datos_globales!$I$27,C36=heatmap_datos_globales!$H$27,heatmap_datos_globales!$K$27="OK"),"OK","FALLA")</f>
        <v>OK</v>
      </c>
    </row>
    <row r="37" customFormat="false" ht="15" hidden="false" customHeight="false" outlineLevel="0" collapsed="false">
      <c r="A37" s="0" t="s">
        <v>128</v>
      </c>
      <c r="B37" s="6" t="str">
        <f aca="false">IFERROR(heatmap_datos_globales!$I$28,"")</f>
        <v>0.88</v>
      </c>
      <c r="C37" s="7" t="str">
        <f aca="false">IFERROR(heatmap_datos_globales!$H$28,"N/A")</f>
        <v>Satisfactorio</v>
      </c>
      <c r="D37" s="7" t="str">
        <f aca="false">IF(AND(A37=heatmap_datos_globales!$E$28,B37=heatmap_datos_globales!$I$28,C37=heatmap_datos_globales!$H$28,heatmap_datos_globales!$K$28="OK"),"OK","FALLA")</f>
        <v>OK</v>
      </c>
    </row>
    <row r="38" customFormat="false" ht="15" hidden="false" customHeight="false" outlineLevel="0" collapsed="false">
      <c r="A38" s="0" t="s">
        <v>129</v>
      </c>
      <c r="B38" s="6" t="str">
        <f aca="false">IFERROR(heatmap_datos_globales!$I$29,"")</f>
        <v>0.47</v>
      </c>
      <c r="C38" s="7" t="str">
        <f aca="false">IFERROR(heatmap_datos_globales!$H$29,"N/A")</f>
        <v>Satisfactorio</v>
      </c>
      <c r="D38" s="7" t="str">
        <f aca="false">IF(AND(A38=heatmap_datos_globales!$E$29,B38=heatmap_datos_globales!$I$29,C38=heatmap_datos_globales!$H$29,heatmap_datos_globales!$K$29="OK"),"OK","FALLA")</f>
        <v>OK</v>
      </c>
    </row>
    <row r="39" customFormat="false" ht="15" hidden="false" customHeight="false" outlineLevel="0" collapsed="false">
      <c r="A39" s="0" t="s">
        <v>130</v>
      </c>
      <c r="B39" s="6" t="str">
        <f aca="false">IFERROR(heatmap_datos_globales!$I$30,"")</f>
        <v>0.10</v>
      </c>
      <c r="C39" s="7" t="str">
        <f aca="false">IFERROR(heatmap_datos_globales!$H$30,"N/A")</f>
        <v>Satisfactorio</v>
      </c>
      <c r="D39" s="7" t="str">
        <f aca="false">IF(AND(A39=heatmap_datos_globales!$E$30,B39=heatmap_datos_globales!$I$30,C39=heatmap_datos_globales!$H$30,heatmap_datos_globales!$K$30="OK"),"OK","FALLA")</f>
        <v>OK</v>
      </c>
    </row>
    <row r="40" customFormat="false" ht="15" hidden="false" customHeight="false" outlineLevel="0" collapsed="false">
      <c r="A40" s="0" t="s">
        <v>131</v>
      </c>
      <c r="B40" s="6" t="str">
        <f aca="false">IFERROR(heatmap_datos_globales!$I$31,"")</f>
        <v>0.19</v>
      </c>
      <c r="C40" s="7" t="str">
        <f aca="false">IFERROR(heatmap_datos_globales!$H$31,"N/A")</f>
        <v>Satisfactorio</v>
      </c>
      <c r="D40" s="7" t="str">
        <f aca="false">IF(AND(A40=heatmap_datos_globales!$E$31,B40=heatmap_datos_globales!$I$31,C40=heatmap_datos_globales!$H$31,heatmap_datos_globales!$K$31="OK"),"OK","FALLA")</f>
        <v>OK</v>
      </c>
    </row>
    <row r="41" customFormat="false" ht="15" hidden="false" customHeight="false" outlineLevel="0" collapsed="false">
      <c r="A41" s="0" t="s">
        <v>132</v>
      </c>
      <c r="B41" s="6" t="str">
        <f aca="false">IFERROR(heatmap_datos_globales!$I$32,"")</f>
        <v>0.70</v>
      </c>
      <c r="C41" s="7" t="str">
        <f aca="false">IFERROR(heatmap_datos_globales!$H$32,"N/A")</f>
        <v>Satisfactorio</v>
      </c>
      <c r="D41" s="7" t="str">
        <f aca="false">IF(AND(A41=heatmap_datos_globales!$E$32,B41=heatmap_datos_globales!$I$32,C41=heatmap_datos_globales!$H$32,heatmap_datos_globales!$K$32="OK"),"OK","FALLA")</f>
        <v>OK</v>
      </c>
    </row>
    <row r="42" customFormat="false" ht="15" hidden="false" customHeight="false" outlineLevel="0" collapsed="false">
      <c r="A42" s="0" t="s">
        <v>133</v>
      </c>
      <c r="B42" s="6" t="str">
        <f aca="false">IFERROR(heatmap_datos_globales!$I$33,"")</f>
        <v>0.19</v>
      </c>
      <c r="C42" s="7" t="str">
        <f aca="false">IFERROR(heatmap_datos_globales!$H$33,"N/A")</f>
        <v>Satisfactorio</v>
      </c>
      <c r="D42" s="7" t="str">
        <f aca="false">IF(AND(A42=heatmap_datos_globales!$E$33,B42=heatmap_datos_globales!$I$33,C42=heatmap_datos_globales!$H$33,heatmap_datos_globales!$K$33="OK"),"OK","FALLA")</f>
        <v>OK</v>
      </c>
    </row>
    <row r="43" customFormat="false" ht="15" hidden="false" customHeight="false" outlineLevel="0" collapsed="false">
      <c r="A43" s="0" t="s">
        <v>134</v>
      </c>
      <c r="B43" s="6" t="str">
        <f aca="false">IFERROR(heatmap_datos_globales!$I$34,"")</f>
        <v>0.24</v>
      </c>
      <c r="C43" s="7" t="str">
        <f aca="false">IFERROR(heatmap_datos_globales!$H$34,"N/A")</f>
        <v>Satisfactorio</v>
      </c>
      <c r="D43" s="7" t="str">
        <f aca="false">IF(AND(A43=heatmap_datos_globales!$E$34,B43=heatmap_datos_globales!$I$34,C43=heatmap_datos_globales!$H$34,heatmap_datos_globales!$K$34="OK"),"OK","FALLA")</f>
        <v>OK</v>
      </c>
    </row>
    <row r="44" customFormat="false" ht="15" hidden="false" customHeight="false" outlineLevel="0" collapsed="false">
      <c r="A44" s="0" t="s">
        <v>135</v>
      </c>
      <c r="B44" s="6" t="str">
        <f aca="false">IFERROR(heatmap_datos_globales!$I$35,"")</f>
        <v>0.30</v>
      </c>
      <c r="C44" s="7" t="str">
        <f aca="false">IFERROR(heatmap_datos_globales!$H$35,"N/A")</f>
        <v>Satisfactorio</v>
      </c>
      <c r="D44" s="7" t="str">
        <f aca="false">IF(AND(A44=heatmap_datos_globales!$E$35,B44=heatmap_datos_globales!$I$35,C44=heatmap_datos_globales!$H$35,heatmap_datos_globales!$K$35="OK"),"OK","FALLA")</f>
        <v>OK</v>
      </c>
    </row>
    <row r="45" customFormat="false" ht="15" hidden="false" customHeight="false" outlineLevel="0" collapsed="false">
      <c r="A45" s="0" t="s">
        <v>136</v>
      </c>
      <c r="B45" s="6" t="str">
        <f aca="false">IFERROR(heatmap_datos_globales!$I$36,"")</f>
        <v>0.17</v>
      </c>
      <c r="C45" s="7" t="str">
        <f aca="false">IFERROR(heatmap_datos_globales!$H$36,"N/A")</f>
        <v>Satisfactorio</v>
      </c>
      <c r="D45" s="7" t="str">
        <f aca="false">IF(AND(A45=heatmap_datos_globales!$E$36,B45=heatmap_datos_globales!$I$36,C45=heatmap_datos_globales!$H$36,heatmap_datos_globales!$K$36="OK"),"OK","FALLA")</f>
        <v>OK</v>
      </c>
    </row>
    <row r="46" customFormat="false" ht="15" hidden="false" customHeight="false" outlineLevel="0" collapsed="false">
      <c r="A46" s="0" t="s">
        <v>137</v>
      </c>
      <c r="B46" s="6" t="str">
        <f aca="false">IFERROR(heatmap_datos_globales!$I$37,"")</f>
        <v>0.29</v>
      </c>
      <c r="C46" s="7" t="str">
        <f aca="false">IFERROR(heatmap_datos_globales!$H$37,"N/A")</f>
        <v>Satisfactorio</v>
      </c>
      <c r="D46" s="7" t="str">
        <f aca="false">IF(AND(A46=heatmap_datos_globales!$E$37,B46=heatmap_datos_globales!$I$37,C46=heatmap_datos_globales!$H$37,heatmap_datos_globales!$K$37="OK"),"OK","FALLA")</f>
        <v>OK</v>
      </c>
    </row>
    <row r="49" customFormat="false" ht="17.35" hidden="false" customHeight="false" outlineLevel="0" collapsed="false">
      <c r="A49" s="1" t="s">
        <v>254</v>
      </c>
    </row>
    <row r="50" customFormat="false" ht="15" hidden="false" customHeight="false" outlineLevel="0" collapsed="false">
      <c r="A50" s="2" t="s">
        <v>119</v>
      </c>
      <c r="B50" s="2"/>
      <c r="C50" s="2"/>
      <c r="D50" s="2"/>
    </row>
    <row r="51" customFormat="false" ht="15" hidden="false" customHeight="false" outlineLevel="0" collapsed="false">
      <c r="A51" s="0" t="s">
        <v>126</v>
      </c>
      <c r="B51" s="6" t="str">
        <f aca="false">IFERROR(heatmap_datos_globales!$I$38,"")</f>
        <v>0.25</v>
      </c>
      <c r="C51" s="7" t="str">
        <f aca="false">IFERROR(heatmap_datos_globales!$H$38,"N/A")</f>
        <v>Satisfactorio</v>
      </c>
      <c r="D51" s="7" t="str">
        <f aca="false">IF(AND(A51=heatmap_datos_globales!$E$38,B51=heatmap_datos_globales!$I$38,C51=heatmap_datos_globales!$H$38,heatmap_datos_globales!$K$38="OK"),"OK","FALLA")</f>
        <v>OK</v>
      </c>
    </row>
    <row r="52" customFormat="false" ht="15" hidden="false" customHeight="false" outlineLevel="0" collapsed="false">
      <c r="A52" s="0" t="s">
        <v>127</v>
      </c>
      <c r="B52" s="6" t="str">
        <f aca="false">IFERROR(heatmap_datos_globales!$I$39,"")</f>
        <v>0.08</v>
      </c>
      <c r="C52" s="7" t="str">
        <f aca="false">IFERROR(heatmap_datos_globales!$H$39,"N/A")</f>
        <v>Satisfactorio</v>
      </c>
      <c r="D52" s="7" t="str">
        <f aca="false">IF(AND(A52=heatmap_datos_globales!$E$39,B52=heatmap_datos_globales!$I$39,C52=heatmap_datos_globales!$H$39,heatmap_datos_globales!$K$39="OK"),"OK","FALLA")</f>
        <v>OK</v>
      </c>
    </row>
    <row r="53" customFormat="false" ht="15" hidden="false" customHeight="false" outlineLevel="0" collapsed="false">
      <c r="A53" s="0" t="s">
        <v>128</v>
      </c>
      <c r="B53" s="6" t="str">
        <f aca="false">IFERROR(heatmap_datos_globales!$I$40,"")</f>
        <v>0.44</v>
      </c>
      <c r="C53" s="7" t="str">
        <f aca="false">IFERROR(heatmap_datos_globales!$H$40,"N/A")</f>
        <v>Satisfactorio</v>
      </c>
      <c r="D53" s="7" t="str">
        <f aca="false">IF(AND(A53=heatmap_datos_globales!$E$40,B53=heatmap_datos_globales!$I$40,C53=heatmap_datos_globales!$H$40,heatmap_datos_globales!$K$40="OK"),"OK","FALLA")</f>
        <v>OK</v>
      </c>
    </row>
    <row r="54" customFormat="false" ht="15" hidden="false" customHeight="false" outlineLevel="0" collapsed="false">
      <c r="A54" s="0" t="s">
        <v>129</v>
      </c>
      <c r="B54" s="6" t="str">
        <f aca="false">IFERROR(heatmap_datos_globales!$I$41,"")</f>
        <v>0.23</v>
      </c>
      <c r="C54" s="7" t="str">
        <f aca="false">IFERROR(heatmap_datos_globales!$H$41,"N/A")</f>
        <v>Satisfactorio</v>
      </c>
      <c r="D54" s="7" t="str">
        <f aca="false">IF(AND(A54=heatmap_datos_globales!$E$41,B54=heatmap_datos_globales!$I$41,C54=heatmap_datos_globales!$H$41,heatmap_datos_globales!$K$41="OK"),"OK","FALLA")</f>
        <v>OK</v>
      </c>
    </row>
    <row r="55" customFormat="false" ht="15" hidden="false" customHeight="false" outlineLevel="0" collapsed="false">
      <c r="A55" s="0" t="s">
        <v>130</v>
      </c>
      <c r="B55" s="6" t="str">
        <f aca="false">IFERROR(heatmap_datos_globales!$I$42,"")</f>
        <v>0.05</v>
      </c>
      <c r="C55" s="7" t="str">
        <f aca="false">IFERROR(heatmap_datos_globales!$H$42,"N/A")</f>
        <v>Satisfactorio</v>
      </c>
      <c r="D55" s="7" t="str">
        <f aca="false">IF(AND(A55=heatmap_datos_globales!$E$42,B55=heatmap_datos_globales!$I$42,C55=heatmap_datos_globales!$H$42,heatmap_datos_globales!$K$42="OK"),"OK","FALLA")</f>
        <v>OK</v>
      </c>
    </row>
    <row r="56" customFormat="false" ht="15" hidden="false" customHeight="false" outlineLevel="0" collapsed="false">
      <c r="A56" s="0" t="s">
        <v>131</v>
      </c>
      <c r="B56" s="6" t="str">
        <f aca="false">IFERROR(heatmap_datos_globales!$I$43,"")</f>
        <v>0.10</v>
      </c>
      <c r="C56" s="7" t="str">
        <f aca="false">IFERROR(heatmap_datos_globales!$H$43,"N/A")</f>
        <v>Satisfactorio</v>
      </c>
      <c r="D56" s="7" t="str">
        <f aca="false">IF(AND(A56=heatmap_datos_globales!$E$43,B56=heatmap_datos_globales!$I$43,C56=heatmap_datos_globales!$H$43,heatmap_datos_globales!$K$43="OK"),"OK","FALLA")</f>
        <v>OK</v>
      </c>
    </row>
    <row r="57" customFormat="false" ht="15" hidden="false" customHeight="false" outlineLevel="0" collapsed="false">
      <c r="A57" s="0" t="s">
        <v>132</v>
      </c>
      <c r="B57" s="6" t="str">
        <f aca="false">IFERROR(heatmap_datos_globales!$I$44,"")</f>
        <v>0.35</v>
      </c>
      <c r="C57" s="7" t="str">
        <f aca="false">IFERROR(heatmap_datos_globales!$H$44,"N/A")</f>
        <v>Satisfactorio</v>
      </c>
      <c r="D57" s="7" t="str">
        <f aca="false">IF(AND(A57=heatmap_datos_globales!$E$44,B57=heatmap_datos_globales!$I$44,C57=heatmap_datos_globales!$H$44,heatmap_datos_globales!$K$44="OK"),"OK","FALLA")</f>
        <v>OK</v>
      </c>
    </row>
    <row r="58" customFormat="false" ht="15" hidden="false" customHeight="false" outlineLevel="0" collapsed="false">
      <c r="A58" s="0" t="s">
        <v>133</v>
      </c>
      <c r="B58" s="6" t="str">
        <f aca="false">IFERROR(heatmap_datos_globales!$I$45,"")</f>
        <v>0.09</v>
      </c>
      <c r="C58" s="7" t="str">
        <f aca="false">IFERROR(heatmap_datos_globales!$H$45,"N/A")</f>
        <v>Satisfactorio</v>
      </c>
      <c r="D58" s="7" t="str">
        <f aca="false">IF(AND(A58=heatmap_datos_globales!$E$45,B58=heatmap_datos_globales!$I$45,C58=heatmap_datos_globales!$H$45,heatmap_datos_globales!$K$45="OK"),"OK","FALLA")</f>
        <v>OK</v>
      </c>
    </row>
    <row r="59" customFormat="false" ht="15" hidden="false" customHeight="false" outlineLevel="0" collapsed="false">
      <c r="A59" s="0" t="s">
        <v>134</v>
      </c>
      <c r="B59" s="6" t="str">
        <f aca="false">IFERROR(heatmap_datos_globales!$I$46,"")</f>
        <v>0.12</v>
      </c>
      <c r="C59" s="7" t="str">
        <f aca="false">IFERROR(heatmap_datos_globales!$H$46,"N/A")</f>
        <v>Satisfactorio</v>
      </c>
      <c r="D59" s="7" t="str">
        <f aca="false">IF(AND(A59=heatmap_datos_globales!$E$46,B59=heatmap_datos_globales!$I$46,C59=heatmap_datos_globales!$H$46,heatmap_datos_globales!$K$46="OK"),"OK","FALLA")</f>
        <v>OK</v>
      </c>
    </row>
    <row r="60" customFormat="false" ht="15" hidden="false" customHeight="false" outlineLevel="0" collapsed="false">
      <c r="A60" s="0" t="s">
        <v>135</v>
      </c>
      <c r="B60" s="6" t="str">
        <f aca="false">IFERROR(heatmap_datos_globales!$I$47,"")</f>
        <v>0.15</v>
      </c>
      <c r="C60" s="7" t="str">
        <f aca="false">IFERROR(heatmap_datos_globales!$H$47,"N/A")</f>
        <v>Satisfactorio</v>
      </c>
      <c r="D60" s="7" t="str">
        <f aca="false">IF(AND(A60=heatmap_datos_globales!$E$47,B60=heatmap_datos_globales!$I$47,C60=heatmap_datos_globales!$H$47,heatmap_datos_globales!$K$47="OK"),"OK","FALLA")</f>
        <v>OK</v>
      </c>
    </row>
    <row r="61" customFormat="false" ht="15" hidden="false" customHeight="false" outlineLevel="0" collapsed="false">
      <c r="A61" s="0" t="s">
        <v>136</v>
      </c>
      <c r="B61" s="6" t="str">
        <f aca="false">IFERROR(heatmap_datos_globales!$I$48,"")</f>
        <v>0.08</v>
      </c>
      <c r="C61" s="7" t="str">
        <f aca="false">IFERROR(heatmap_datos_globales!$H$48,"N/A")</f>
        <v>Satisfactorio</v>
      </c>
      <c r="D61" s="7" t="str">
        <f aca="false">IF(AND(A61=heatmap_datos_globales!$E$48,B61=heatmap_datos_globales!$I$48,C61=heatmap_datos_globales!$H$48,heatmap_datos_globales!$K$48="OK"),"OK","FALLA")</f>
        <v>OK</v>
      </c>
    </row>
    <row r="62" customFormat="false" ht="15" hidden="false" customHeight="false" outlineLevel="0" collapsed="false">
      <c r="A62" s="0" t="s">
        <v>137</v>
      </c>
      <c r="B62" s="6" t="str">
        <f aca="false">IFERROR(heatmap_datos_globales!$I$49,"")</f>
        <v>0.14</v>
      </c>
      <c r="C62" s="7" t="str">
        <f aca="false">IFERROR(heatmap_datos_globales!$H$49,"N/A")</f>
        <v>Satisfactorio</v>
      </c>
      <c r="D62" s="7" t="str">
        <f aca="false">IF(AND(A62=heatmap_datos_globales!$E$49,B62=heatmap_datos_globales!$I$49,C62=heatmap_datos_globales!$H$49,heatmap_datos_globales!$K$49="OK"),"OK","FALLA")</f>
        <v>OK</v>
      </c>
    </row>
    <row r="65" customFormat="false" ht="17.35" hidden="false" customHeight="false" outlineLevel="0" collapsed="false">
      <c r="A65" s="1" t="s">
        <v>255</v>
      </c>
    </row>
    <row r="66" customFormat="false" ht="15" hidden="false" customHeight="false" outlineLevel="0" collapsed="false">
      <c r="A66" s="2" t="s">
        <v>119</v>
      </c>
      <c r="B66" s="2"/>
      <c r="C66" s="2"/>
      <c r="D66" s="2"/>
    </row>
    <row r="67" customFormat="false" ht="15" hidden="false" customHeight="false" outlineLevel="0" collapsed="false">
      <c r="A67" s="0" t="s">
        <v>126</v>
      </c>
      <c r="B67" s="6" t="str">
        <f aca="false">IFERROR(heatmap_datos_globales!$I$50,"")</f>
        <v>1.58</v>
      </c>
      <c r="C67" s="7" t="str">
        <f aca="false">IFERROR(heatmap_datos_globales!$H$50,"N/A")</f>
        <v>Satisfactorio</v>
      </c>
      <c r="D67" s="7" t="str">
        <f aca="false">IF(AND(A67=heatmap_datos_globales!$E$50,B67=heatmap_datos_globales!$I$50,C67=heatmap_datos_globales!$H$50,heatmap_datos_globales!$K$50="OK"),"OK","FALLA")</f>
        <v>OK</v>
      </c>
    </row>
    <row r="68" customFormat="false" ht="15" hidden="false" customHeight="false" outlineLevel="0" collapsed="false">
      <c r="A68" s="0" t="s">
        <v>127</v>
      </c>
      <c r="B68" s="6" t="str">
        <f aca="false">IFERROR(heatmap_datos_globales!$I$51,"")</f>
        <v>-0.70</v>
      </c>
      <c r="C68" s="7" t="str">
        <f aca="false">IFERROR(heatmap_datos_globales!$H$51,"N/A")</f>
        <v>Satisfactorio</v>
      </c>
      <c r="D68" s="7" t="str">
        <f aca="false">IF(AND(A68=heatmap_datos_globales!$E$51,B68=heatmap_datos_globales!$I$51,C68=heatmap_datos_globales!$H$51,heatmap_datos_globales!$K$51="OK"),"OK","FALLA")</f>
        <v>OK</v>
      </c>
    </row>
    <row r="69" customFormat="false" ht="15" hidden="false" customHeight="false" outlineLevel="0" collapsed="false">
      <c r="A69" s="0" t="s">
        <v>128</v>
      </c>
      <c r="B69" s="6" t="str">
        <f aca="false">IFERROR(heatmap_datos_globales!$I$52,"")</f>
        <v>4.31</v>
      </c>
      <c r="C69" s="7" t="str">
        <f aca="false">IFERROR(heatmap_datos_globales!$H$52,"N/A")</f>
        <v>No satisfactorio</v>
      </c>
      <c r="D69" s="7" t="str">
        <f aca="false">IF(AND(A69=heatmap_datos_globales!$E$52,B69=heatmap_datos_globales!$I$52,C69=heatmap_datos_globales!$H$52,heatmap_datos_globales!$K$52="OK"),"OK","FALLA")</f>
        <v>OK</v>
      </c>
    </row>
    <row r="70" customFormat="false" ht="15" hidden="false" customHeight="false" outlineLevel="0" collapsed="false">
      <c r="A70" s="0" t="s">
        <v>129</v>
      </c>
      <c r="B70" s="6" t="str">
        <f aca="false">IFERROR(heatmap_datos_globales!$I$53,"")</f>
        <v>1.42</v>
      </c>
      <c r="C70" s="7" t="str">
        <f aca="false">IFERROR(heatmap_datos_globales!$H$53,"N/A")</f>
        <v>Satisfactorio</v>
      </c>
      <c r="D70" s="7" t="str">
        <f aca="false">IF(AND(A70=heatmap_datos_globales!$E$53,B70=heatmap_datos_globales!$I$53,C70=heatmap_datos_globales!$H$53,heatmap_datos_globales!$K$53="OK"),"OK","FALLA")</f>
        <v>OK</v>
      </c>
    </row>
    <row r="71" customFormat="false" ht="15" hidden="false" customHeight="false" outlineLevel="0" collapsed="false">
      <c r="A71" s="0" t="s">
        <v>130</v>
      </c>
      <c r="B71" s="6" t="str">
        <f aca="false">IFERROR(heatmap_datos_globales!$I$54,"")</f>
        <v>-1.11</v>
      </c>
      <c r="C71" s="7" t="str">
        <f aca="false">IFERROR(heatmap_datos_globales!$H$54,"N/A")</f>
        <v>Satisfactorio</v>
      </c>
      <c r="D71" s="7" t="str">
        <f aca="false">IF(AND(A71=heatmap_datos_globales!$E$54,B71=heatmap_datos_globales!$I$54,C71=heatmap_datos_globales!$H$54,heatmap_datos_globales!$K$54="OK"),"OK","FALLA")</f>
        <v>OK</v>
      </c>
    </row>
    <row r="72" customFormat="false" ht="15" hidden="false" customHeight="false" outlineLevel="0" collapsed="false">
      <c r="A72" s="0" t="s">
        <v>131</v>
      </c>
      <c r="B72" s="6" t="str">
        <f aca="false">IFERROR(heatmap_datos_globales!$I$55,"")</f>
        <v>-0.52</v>
      </c>
      <c r="C72" s="7" t="str">
        <f aca="false">IFERROR(heatmap_datos_globales!$H$55,"N/A")</f>
        <v>Satisfactorio</v>
      </c>
      <c r="D72" s="7" t="str">
        <f aca="false">IF(AND(A72=heatmap_datos_globales!$E$55,B72=heatmap_datos_globales!$I$55,C72=heatmap_datos_globales!$H$55,heatmap_datos_globales!$K$55="OK"),"OK","FALLA")</f>
        <v>OK</v>
      </c>
    </row>
    <row r="73" customFormat="false" ht="15" hidden="false" customHeight="false" outlineLevel="0" collapsed="false">
      <c r="A73" s="0" t="s">
        <v>132</v>
      </c>
      <c r="B73" s="6" t="str">
        <f aca="false">IFERROR(heatmap_datos_globales!$I$56,"")</f>
        <v>3.04</v>
      </c>
      <c r="C73" s="7" t="str">
        <f aca="false">IFERROR(heatmap_datos_globales!$H$56,"N/A")</f>
        <v>No satisfactorio</v>
      </c>
      <c r="D73" s="7" t="str">
        <f aca="false">IF(AND(A73=heatmap_datos_globales!$E$56,B73=heatmap_datos_globales!$I$56,C73=heatmap_datos_globales!$H$56,heatmap_datos_globales!$K$56="OK"),"OK","FALLA")</f>
        <v>OK</v>
      </c>
    </row>
    <row r="74" customFormat="false" ht="15" hidden="false" customHeight="false" outlineLevel="0" collapsed="false">
      <c r="A74" s="0" t="s">
        <v>133</v>
      </c>
      <c r="B74" s="6" t="str">
        <f aca="false">IFERROR(heatmap_datos_globales!$I$57,"")</f>
        <v>-0.54</v>
      </c>
      <c r="C74" s="7" t="str">
        <f aca="false">IFERROR(heatmap_datos_globales!$H$57,"N/A")</f>
        <v>Satisfactorio</v>
      </c>
      <c r="D74" s="7" t="str">
        <f aca="false">IF(AND(A74=heatmap_datos_globales!$E$57,B74=heatmap_datos_globales!$I$57,C74=heatmap_datos_globales!$H$57,heatmap_datos_globales!$K$57="OK"),"OK","FALLA")</f>
        <v>OK</v>
      </c>
    </row>
    <row r="75" customFormat="false" ht="15" hidden="false" customHeight="false" outlineLevel="0" collapsed="false">
      <c r="A75" s="0" t="s">
        <v>134</v>
      </c>
      <c r="B75" s="6" t="str">
        <f aca="false">IFERROR(heatmap_datos_globales!$I$58,"")</f>
        <v>-0.17</v>
      </c>
      <c r="C75" s="7" t="str">
        <f aca="false">IFERROR(heatmap_datos_globales!$H$58,"N/A")</f>
        <v>Satisfactorio</v>
      </c>
      <c r="D75" s="7" t="str">
        <f aca="false">IF(AND(A75=heatmap_datos_globales!$E$58,B75=heatmap_datos_globales!$I$58,C75=heatmap_datos_globales!$H$58,heatmap_datos_globales!$K$58="OK"),"OK","FALLA")</f>
        <v>OK</v>
      </c>
    </row>
    <row r="76" customFormat="false" ht="15" hidden="false" customHeight="false" outlineLevel="0" collapsed="false">
      <c r="A76" s="0" t="s">
        <v>135</v>
      </c>
      <c r="B76" s="6" t="str">
        <f aca="false">IFERROR(heatmap_datos_globales!$I$59,"")</f>
        <v>0.25</v>
      </c>
      <c r="C76" s="7" t="str">
        <f aca="false">IFERROR(heatmap_datos_globales!$H$59,"N/A")</f>
        <v>Satisfactorio</v>
      </c>
      <c r="D76" s="7" t="str">
        <f aca="false">IF(AND(A76=heatmap_datos_globales!$E$59,B76=heatmap_datos_globales!$I$59,C76=heatmap_datos_globales!$H$59,heatmap_datos_globales!$K$59="OK"),"OK","FALLA")</f>
        <v>OK</v>
      </c>
    </row>
    <row r="77" customFormat="false" ht="15" hidden="false" customHeight="false" outlineLevel="0" collapsed="false">
      <c r="A77" s="0" t="s">
        <v>136</v>
      </c>
      <c r="B77" s="6" t="str">
        <f aca="false">IFERROR(heatmap_datos_globales!$I$60,"")</f>
        <v>-0.65</v>
      </c>
      <c r="C77" s="7" t="str">
        <f aca="false">IFERROR(heatmap_datos_globales!$H$60,"N/A")</f>
        <v>Satisfactorio</v>
      </c>
      <c r="D77" s="7" t="str">
        <f aca="false">IF(AND(A77=heatmap_datos_globales!$E$60,B77=heatmap_datos_globales!$I$60,C77=heatmap_datos_globales!$H$60,heatmap_datos_globales!$K$60="OK"),"OK","FALLA")</f>
        <v>OK</v>
      </c>
    </row>
    <row r="78" customFormat="false" ht="15" hidden="false" customHeight="false" outlineLevel="0" collapsed="false">
      <c r="A78" s="0" t="s">
        <v>137</v>
      </c>
      <c r="B78" s="6" t="str">
        <f aca="false">IFERROR(heatmap_datos_globales!$I$61,"")</f>
        <v>0.17</v>
      </c>
      <c r="C78" s="7" t="str">
        <f aca="false">IFERROR(heatmap_datos_globales!$H$61,"N/A")</f>
        <v>Satisfactorio</v>
      </c>
      <c r="D78" s="7" t="str">
        <f aca="false">IF(AND(A78=heatmap_datos_globales!$E$61,B78=heatmap_datos_globales!$I$61,C78=heatmap_datos_globales!$H$61,heatmap_datos_globales!$K$61="OK"),"OK","FALLA")</f>
        <v>OK</v>
      </c>
    </row>
    <row r="81" customFormat="false" ht="17.35" hidden="false" customHeight="false" outlineLevel="0" collapsed="false">
      <c r="A81" s="1" t="s">
        <v>256</v>
      </c>
    </row>
    <row r="82" customFormat="false" ht="15" hidden="false" customHeight="false" outlineLevel="0" collapsed="false">
      <c r="A82" s="2" t="s">
        <v>119</v>
      </c>
      <c r="B82" s="2"/>
      <c r="C82" s="2"/>
      <c r="D82" s="2"/>
    </row>
    <row r="83" customFormat="false" ht="15" hidden="false" customHeight="false" outlineLevel="0" collapsed="false">
      <c r="A83" s="0" t="s">
        <v>126</v>
      </c>
      <c r="B83" s="6" t="str">
        <f aca="false">IFERROR(heatmap_datos_globales!$I$62,"")</f>
        <v>0.37</v>
      </c>
      <c r="C83" s="7" t="str">
        <f aca="false">IFERROR(heatmap_datos_globales!$H$62,"N/A")</f>
        <v>Satisfactorio</v>
      </c>
      <c r="D83" s="7" t="str">
        <f aca="false">IF(AND(A83=heatmap_datos_globales!$E$62,B83=heatmap_datos_globales!$I$62,C83=heatmap_datos_globales!$H$62,heatmap_datos_globales!$K$62="OK"),"OK","FALLA")</f>
        <v>OK</v>
      </c>
    </row>
    <row r="84" customFormat="false" ht="15" hidden="false" customHeight="false" outlineLevel="0" collapsed="false">
      <c r="A84" s="0" t="s">
        <v>127</v>
      </c>
      <c r="B84" s="6" t="str">
        <f aca="false">IFERROR(heatmap_datos_globales!$I$63,"")</f>
        <v>-0.16</v>
      </c>
      <c r="C84" s="7" t="str">
        <f aca="false">IFERROR(heatmap_datos_globales!$H$63,"N/A")</f>
        <v>Satisfactorio</v>
      </c>
      <c r="D84" s="7" t="str">
        <f aca="false">IF(AND(A84=heatmap_datos_globales!$E$63,B84=heatmap_datos_globales!$I$63,C84=heatmap_datos_globales!$H$63,heatmap_datos_globales!$K$63="OK"),"OK","FALLA")</f>
        <v>OK</v>
      </c>
    </row>
    <row r="85" customFormat="false" ht="15" hidden="false" customHeight="false" outlineLevel="0" collapsed="false">
      <c r="A85" s="0" t="s">
        <v>128</v>
      </c>
      <c r="B85" s="6" t="str">
        <f aca="false">IFERROR(heatmap_datos_globales!$I$64,"")</f>
        <v>1.01</v>
      </c>
      <c r="C85" s="7" t="str">
        <f aca="false">IFERROR(heatmap_datos_globales!$H$64,"N/A")</f>
        <v>Satisfactorio</v>
      </c>
      <c r="D85" s="7" t="str">
        <f aca="false">IF(AND(A85=heatmap_datos_globales!$E$64,B85=heatmap_datos_globales!$I$64,C85=heatmap_datos_globales!$H$64,heatmap_datos_globales!$K$64="OK"),"OK","FALLA")</f>
        <v>OK</v>
      </c>
    </row>
    <row r="86" customFormat="false" ht="15" hidden="false" customHeight="false" outlineLevel="0" collapsed="false">
      <c r="A86" s="0" t="s">
        <v>129</v>
      </c>
      <c r="B86" s="6" t="str">
        <f aca="false">IFERROR(heatmap_datos_globales!$I$65,"")</f>
        <v>0.33</v>
      </c>
      <c r="C86" s="7" t="str">
        <f aca="false">IFERROR(heatmap_datos_globales!$H$65,"N/A")</f>
        <v>Satisfactorio</v>
      </c>
      <c r="D86" s="7" t="str">
        <f aca="false">IF(AND(A86=heatmap_datos_globales!$E$65,B86=heatmap_datos_globales!$I$65,C86=heatmap_datos_globales!$H$65,heatmap_datos_globales!$K$65="OK"),"OK","FALLA")</f>
        <v>OK</v>
      </c>
    </row>
    <row r="87" customFormat="false" ht="15" hidden="false" customHeight="false" outlineLevel="0" collapsed="false">
      <c r="A87" s="0" t="s">
        <v>130</v>
      </c>
      <c r="B87" s="6" t="str">
        <f aca="false">IFERROR(heatmap_datos_globales!$I$66,"")</f>
        <v>-0.26</v>
      </c>
      <c r="C87" s="7" t="str">
        <f aca="false">IFERROR(heatmap_datos_globales!$H$66,"N/A")</f>
        <v>Satisfactorio</v>
      </c>
      <c r="D87" s="7" t="str">
        <f aca="false">IF(AND(A87=heatmap_datos_globales!$E$66,B87=heatmap_datos_globales!$I$66,C87=heatmap_datos_globales!$H$66,heatmap_datos_globales!$K$66="OK"),"OK","FALLA")</f>
        <v>OK</v>
      </c>
    </row>
    <row r="88" customFormat="false" ht="15" hidden="false" customHeight="false" outlineLevel="0" collapsed="false">
      <c r="A88" s="0" t="s">
        <v>131</v>
      </c>
      <c r="B88" s="6" t="str">
        <f aca="false">IFERROR(heatmap_datos_globales!$I$67,"")</f>
        <v>-0.12</v>
      </c>
      <c r="C88" s="7" t="str">
        <f aca="false">IFERROR(heatmap_datos_globales!$H$67,"N/A")</f>
        <v>Satisfactorio</v>
      </c>
      <c r="D88" s="7" t="str">
        <f aca="false">IF(AND(A88=heatmap_datos_globales!$E$67,B88=heatmap_datos_globales!$I$67,C88=heatmap_datos_globales!$H$67,heatmap_datos_globales!$K$67="OK"),"OK","FALLA")</f>
        <v>OK</v>
      </c>
    </row>
    <row r="89" customFormat="false" ht="15" hidden="false" customHeight="false" outlineLevel="0" collapsed="false">
      <c r="A89" s="0" t="s">
        <v>132</v>
      </c>
      <c r="B89" s="6" t="str">
        <f aca="false">IFERROR(heatmap_datos_globales!$I$68,"")</f>
        <v>0.71</v>
      </c>
      <c r="C89" s="7" t="str">
        <f aca="false">IFERROR(heatmap_datos_globales!$H$68,"N/A")</f>
        <v>Satisfactorio</v>
      </c>
      <c r="D89" s="7" t="str">
        <f aca="false">IF(AND(A89=heatmap_datos_globales!$E$68,B89=heatmap_datos_globales!$I$68,C89=heatmap_datos_globales!$H$68,heatmap_datos_globales!$K$68="OK"),"OK","FALLA")</f>
        <v>OK</v>
      </c>
    </row>
    <row r="90" customFormat="false" ht="15" hidden="false" customHeight="false" outlineLevel="0" collapsed="false">
      <c r="A90" s="0" t="s">
        <v>133</v>
      </c>
      <c r="B90" s="6" t="str">
        <f aca="false">IFERROR(heatmap_datos_globales!$I$69,"")</f>
        <v>-0.12</v>
      </c>
      <c r="C90" s="7" t="str">
        <f aca="false">IFERROR(heatmap_datos_globales!$H$69,"N/A")</f>
        <v>Satisfactorio</v>
      </c>
      <c r="D90" s="7" t="str">
        <f aca="false">IF(AND(A90=heatmap_datos_globales!$E$69,B90=heatmap_datos_globales!$I$69,C90=heatmap_datos_globales!$H$69,heatmap_datos_globales!$K$69="OK"),"OK","FALLA")</f>
        <v>OK</v>
      </c>
    </row>
    <row r="91" customFormat="false" ht="15" hidden="false" customHeight="false" outlineLevel="0" collapsed="false">
      <c r="A91" s="0" t="s">
        <v>134</v>
      </c>
      <c r="B91" s="6" t="str">
        <f aca="false">IFERROR(heatmap_datos_globales!$I$70,"")</f>
        <v>-0.04</v>
      </c>
      <c r="C91" s="7" t="str">
        <f aca="false">IFERROR(heatmap_datos_globales!$H$70,"N/A")</f>
        <v>Satisfactorio</v>
      </c>
      <c r="D91" s="7" t="str">
        <f aca="false">IF(AND(A91=heatmap_datos_globales!$E$70,B91=heatmap_datos_globales!$I$70,C91=heatmap_datos_globales!$H$70,heatmap_datos_globales!$K$70="OK"),"OK","FALLA")</f>
        <v>OK</v>
      </c>
    </row>
    <row r="92" customFormat="false" ht="15" hidden="false" customHeight="false" outlineLevel="0" collapsed="false">
      <c r="A92" s="0" t="s">
        <v>135</v>
      </c>
      <c r="B92" s="6" t="str">
        <f aca="false">IFERROR(heatmap_datos_globales!$I$71,"")</f>
        <v>0.06</v>
      </c>
      <c r="C92" s="7" t="str">
        <f aca="false">IFERROR(heatmap_datos_globales!$H$71,"N/A")</f>
        <v>Satisfactorio</v>
      </c>
      <c r="D92" s="7" t="str">
        <f aca="false">IF(AND(A92=heatmap_datos_globales!$E$71,B92=heatmap_datos_globales!$I$71,C92=heatmap_datos_globales!$H$71,heatmap_datos_globales!$K$71="OK"),"OK","FALLA")</f>
        <v>OK</v>
      </c>
    </row>
    <row r="93" customFormat="false" ht="15" hidden="false" customHeight="false" outlineLevel="0" collapsed="false">
      <c r="A93" s="0" t="s">
        <v>136</v>
      </c>
      <c r="B93" s="6" t="str">
        <f aca="false">IFERROR(heatmap_datos_globales!$I$72,"")</f>
        <v>-0.15</v>
      </c>
      <c r="C93" s="7" t="str">
        <f aca="false">IFERROR(heatmap_datos_globales!$H$72,"N/A")</f>
        <v>Satisfactorio</v>
      </c>
      <c r="D93" s="7" t="str">
        <f aca="false">IF(AND(A93=heatmap_datos_globales!$E$72,B93=heatmap_datos_globales!$I$72,C93=heatmap_datos_globales!$H$72,heatmap_datos_globales!$K$72="OK"),"OK","FALLA")</f>
        <v>OK</v>
      </c>
    </row>
    <row r="94" customFormat="false" ht="15" hidden="false" customHeight="false" outlineLevel="0" collapsed="false">
      <c r="A94" s="0" t="s">
        <v>137</v>
      </c>
      <c r="B94" s="6" t="str">
        <f aca="false">IFERROR(heatmap_datos_globales!$I$73,"")</f>
        <v>0.04</v>
      </c>
      <c r="C94" s="7" t="str">
        <f aca="false">IFERROR(heatmap_datos_globales!$H$73,"N/A")</f>
        <v>Satisfactorio</v>
      </c>
      <c r="D94" s="7" t="str">
        <f aca="false">IF(AND(A94=heatmap_datos_globales!$E$73,B94=heatmap_datos_globales!$I$73,C94=heatmap_datos_globales!$H$73,heatmap_datos_globales!$K$73="OK"),"OK","FALLA")</f>
        <v>OK</v>
      </c>
    </row>
    <row r="97" customFormat="false" ht="17.35" hidden="false" customHeight="false" outlineLevel="0" collapsed="false">
      <c r="A97" s="1" t="s">
        <v>257</v>
      </c>
    </row>
    <row r="98" customFormat="false" ht="15" hidden="false" customHeight="false" outlineLevel="0" collapsed="false">
      <c r="A98" s="2" t="s">
        <v>119</v>
      </c>
      <c r="B98" s="2"/>
      <c r="C98" s="2"/>
      <c r="D98" s="2"/>
    </row>
    <row r="99" customFormat="false" ht="15" hidden="false" customHeight="false" outlineLevel="0" collapsed="false">
      <c r="A99" s="0" t="s">
        <v>126</v>
      </c>
      <c r="B99" s="6" t="str">
        <f aca="false">IFERROR(heatmap_datos_globales!$I$74,"")</f>
        <v>0.37</v>
      </c>
      <c r="C99" s="7" t="str">
        <f aca="false">IFERROR(heatmap_datos_globales!$H$74,"N/A")</f>
        <v>Satisfactorio</v>
      </c>
      <c r="D99" s="7" t="str">
        <f aca="false">IF(AND(A99=heatmap_datos_globales!$E$74,B99=heatmap_datos_globales!$I$74,C99=heatmap_datos_globales!$H$74,heatmap_datos_globales!$K$74="OK"),"OK","FALLA")</f>
        <v>OK</v>
      </c>
    </row>
    <row r="100" customFormat="false" ht="15" hidden="false" customHeight="false" outlineLevel="0" collapsed="false">
      <c r="A100" s="0" t="s">
        <v>127</v>
      </c>
      <c r="B100" s="6" t="str">
        <f aca="false">IFERROR(heatmap_datos_globales!$I$75,"")</f>
        <v>-0.16</v>
      </c>
      <c r="C100" s="7" t="str">
        <f aca="false">IFERROR(heatmap_datos_globales!$H$75,"N/A")</f>
        <v>Satisfactorio</v>
      </c>
      <c r="D100" s="7" t="str">
        <f aca="false">IF(AND(A100=heatmap_datos_globales!$E$75,B100=heatmap_datos_globales!$I$75,C100=heatmap_datos_globales!$H$75,heatmap_datos_globales!$K$75="OK"),"OK","FALLA")</f>
        <v>OK</v>
      </c>
    </row>
    <row r="101" customFormat="false" ht="15" hidden="false" customHeight="false" outlineLevel="0" collapsed="false">
      <c r="A101" s="0" t="s">
        <v>128</v>
      </c>
      <c r="B101" s="6" t="str">
        <f aca="false">IFERROR(heatmap_datos_globales!$I$76,"")</f>
        <v>1.00</v>
      </c>
      <c r="C101" s="7" t="str">
        <f aca="false">IFERROR(heatmap_datos_globales!$H$76,"N/A")</f>
        <v>Satisfactorio</v>
      </c>
      <c r="D101" s="7" t="str">
        <f aca="false">IF(AND(A101=heatmap_datos_globales!$E$76,B101=heatmap_datos_globales!$I$76,C101=heatmap_datos_globales!$H$76,heatmap_datos_globales!$K$76="OK"),"OK","FALLA")</f>
        <v>OK</v>
      </c>
    </row>
    <row r="102" customFormat="false" ht="15" hidden="false" customHeight="false" outlineLevel="0" collapsed="false">
      <c r="A102" s="0" t="s">
        <v>129</v>
      </c>
      <c r="B102" s="6" t="str">
        <f aca="false">IFERROR(heatmap_datos_globales!$I$77,"")</f>
        <v>0.33</v>
      </c>
      <c r="C102" s="7" t="str">
        <f aca="false">IFERROR(heatmap_datos_globales!$H$77,"N/A")</f>
        <v>Satisfactorio</v>
      </c>
      <c r="D102" s="7" t="str">
        <f aca="false">IF(AND(A102=heatmap_datos_globales!$E$77,B102=heatmap_datos_globales!$I$77,C102=heatmap_datos_globales!$H$77,heatmap_datos_globales!$K$77="OK"),"OK","FALLA")</f>
        <v>OK</v>
      </c>
    </row>
    <row r="103" customFormat="false" ht="15" hidden="false" customHeight="false" outlineLevel="0" collapsed="false">
      <c r="A103" s="0" t="s">
        <v>130</v>
      </c>
      <c r="B103" s="6" t="str">
        <f aca="false">IFERROR(heatmap_datos_globales!$I$78,"")</f>
        <v>-0.26</v>
      </c>
      <c r="C103" s="7" t="str">
        <f aca="false">IFERROR(heatmap_datos_globales!$H$78,"N/A")</f>
        <v>Satisfactorio</v>
      </c>
      <c r="D103" s="7" t="str">
        <f aca="false">IF(AND(A103=heatmap_datos_globales!$E$78,B103=heatmap_datos_globales!$I$78,C103=heatmap_datos_globales!$H$78,heatmap_datos_globales!$K$78="OK"),"OK","FALLA")</f>
        <v>OK</v>
      </c>
    </row>
    <row r="104" customFormat="false" ht="15" hidden="false" customHeight="false" outlineLevel="0" collapsed="false">
      <c r="A104" s="0" t="s">
        <v>131</v>
      </c>
      <c r="B104" s="6" t="str">
        <f aca="false">IFERROR(heatmap_datos_globales!$I$79,"")</f>
        <v>-0.13</v>
      </c>
      <c r="C104" s="7" t="str">
        <f aca="false">IFERROR(heatmap_datos_globales!$H$79,"N/A")</f>
        <v>Satisfactorio</v>
      </c>
      <c r="D104" s="7" t="str">
        <f aca="false">IF(AND(A104=heatmap_datos_globales!$E$79,B104=heatmap_datos_globales!$I$79,C104=heatmap_datos_globales!$H$79,heatmap_datos_globales!$K$79="OK"),"OK","FALLA")</f>
        <v>OK</v>
      </c>
    </row>
    <row r="105" customFormat="false" ht="15" hidden="false" customHeight="false" outlineLevel="0" collapsed="false">
      <c r="A105" s="0" t="s">
        <v>132</v>
      </c>
      <c r="B105" s="6" t="str">
        <f aca="false">IFERROR(heatmap_datos_globales!$I$80,"")</f>
        <v>0.72</v>
      </c>
      <c r="C105" s="7" t="str">
        <f aca="false">IFERROR(heatmap_datos_globales!$H$80,"N/A")</f>
        <v>Satisfactorio</v>
      </c>
      <c r="D105" s="7" t="str">
        <f aca="false">IF(AND(A105=heatmap_datos_globales!$E$80,B105=heatmap_datos_globales!$I$80,C105=heatmap_datos_globales!$H$80,heatmap_datos_globales!$K$80="OK"),"OK","FALLA")</f>
        <v>OK</v>
      </c>
    </row>
    <row r="106" customFormat="false" ht="15" hidden="false" customHeight="false" outlineLevel="0" collapsed="false">
      <c r="A106" s="0" t="s">
        <v>133</v>
      </c>
      <c r="B106" s="6" t="str">
        <f aca="false">IFERROR(heatmap_datos_globales!$I$81,"")</f>
        <v>-0.13</v>
      </c>
      <c r="C106" s="7" t="str">
        <f aca="false">IFERROR(heatmap_datos_globales!$H$81,"N/A")</f>
        <v>Satisfactorio</v>
      </c>
      <c r="D106" s="7" t="str">
        <f aca="false">IF(AND(A106=heatmap_datos_globales!$E$81,B106=heatmap_datos_globales!$I$81,C106=heatmap_datos_globales!$H$81,heatmap_datos_globales!$K$81="OK"),"OK","FALLA")</f>
        <v>OK</v>
      </c>
    </row>
    <row r="107" customFormat="false" ht="15" hidden="false" customHeight="false" outlineLevel="0" collapsed="false">
      <c r="A107" s="0" t="s">
        <v>134</v>
      </c>
      <c r="B107" s="6" t="str">
        <f aca="false">IFERROR(heatmap_datos_globales!$I$82,"")</f>
        <v>-0.04</v>
      </c>
      <c r="C107" s="7" t="str">
        <f aca="false">IFERROR(heatmap_datos_globales!$H$82,"N/A")</f>
        <v>Satisfactorio</v>
      </c>
      <c r="D107" s="7" t="str">
        <f aca="false">IF(AND(A107=heatmap_datos_globales!$E$82,B107=heatmap_datos_globales!$I$82,C107=heatmap_datos_globales!$H$82,heatmap_datos_globales!$K$82="OK"),"OK","FALLA")</f>
        <v>OK</v>
      </c>
    </row>
    <row r="108" customFormat="false" ht="15" hidden="false" customHeight="false" outlineLevel="0" collapsed="false">
      <c r="A108" s="0" t="s">
        <v>135</v>
      </c>
      <c r="B108" s="6" t="str">
        <f aca="false">IFERROR(heatmap_datos_globales!$I$83,"")</f>
        <v>0.06</v>
      </c>
      <c r="C108" s="7" t="str">
        <f aca="false">IFERROR(heatmap_datos_globales!$H$83,"N/A")</f>
        <v>Satisfactorio</v>
      </c>
      <c r="D108" s="7" t="str">
        <f aca="false">IF(AND(A108=heatmap_datos_globales!$E$83,B108=heatmap_datos_globales!$I$83,C108=heatmap_datos_globales!$H$83,heatmap_datos_globales!$K$83="OK"),"OK","FALLA")</f>
        <v>OK</v>
      </c>
    </row>
    <row r="109" customFormat="false" ht="15" hidden="false" customHeight="false" outlineLevel="0" collapsed="false">
      <c r="A109" s="0" t="s">
        <v>136</v>
      </c>
      <c r="B109" s="6" t="str">
        <f aca="false">IFERROR(heatmap_datos_globales!$I$84,"")</f>
        <v>-0.15</v>
      </c>
      <c r="C109" s="7" t="str">
        <f aca="false">IFERROR(heatmap_datos_globales!$H$84,"N/A")</f>
        <v>Satisfactorio</v>
      </c>
      <c r="D109" s="7" t="str">
        <f aca="false">IF(AND(A109=heatmap_datos_globales!$E$84,B109=heatmap_datos_globales!$I$84,C109=heatmap_datos_globales!$H$84,heatmap_datos_globales!$K$84="OK"),"OK","FALLA")</f>
        <v>OK</v>
      </c>
    </row>
    <row r="110" customFormat="false" ht="15" hidden="false" customHeight="false" outlineLevel="0" collapsed="false">
      <c r="A110" s="0" t="s">
        <v>137</v>
      </c>
      <c r="B110" s="6" t="str">
        <f aca="false">IFERROR(heatmap_datos_globales!$I$85,"")</f>
        <v>0.04</v>
      </c>
      <c r="C110" s="7" t="str">
        <f aca="false">IFERROR(heatmap_datos_globales!$H$85,"N/A")</f>
        <v>Satisfactorio</v>
      </c>
      <c r="D110" s="7" t="str">
        <f aca="false">IF(AND(A110=heatmap_datos_globales!$E$85,B110=heatmap_datos_globales!$I$85,C110=heatmap_datos_globales!$H$85,heatmap_datos_globales!$K$85="OK"),"OK","FALLA")</f>
        <v>OK</v>
      </c>
    </row>
    <row r="113" customFormat="false" ht="17.35" hidden="false" customHeight="false" outlineLevel="0" collapsed="false">
      <c r="A113" s="1" t="s">
        <v>258</v>
      </c>
    </row>
    <row r="114" customFormat="false" ht="15" hidden="false" customHeight="false" outlineLevel="0" collapsed="false">
      <c r="A114" s="2" t="s">
        <v>119</v>
      </c>
      <c r="B114" s="2"/>
      <c r="C114" s="2"/>
      <c r="D114" s="2"/>
    </row>
    <row r="115" customFormat="false" ht="15" hidden="false" customHeight="false" outlineLevel="0" collapsed="false">
      <c r="A115" s="0" t="s">
        <v>126</v>
      </c>
      <c r="B115" s="6" t="str">
        <f aca="false">IFERROR(heatmap_datos_globales!$I$86,"")</f>
        <v>0.18</v>
      </c>
      <c r="C115" s="7" t="str">
        <f aca="false">IFERROR(heatmap_datos_globales!$H$86,"N/A")</f>
        <v>Satisfactorio</v>
      </c>
      <c r="D115" s="7" t="str">
        <f aca="false">IF(AND(A115=heatmap_datos_globales!$E$86,B115=heatmap_datos_globales!$I$86,C115=heatmap_datos_globales!$H$86,heatmap_datos_globales!$K$86="OK"),"OK","FALLA")</f>
        <v>OK</v>
      </c>
    </row>
    <row r="116" customFormat="false" ht="15" hidden="false" customHeight="false" outlineLevel="0" collapsed="false">
      <c r="A116" s="0" t="s">
        <v>127</v>
      </c>
      <c r="B116" s="6" t="str">
        <f aca="false">IFERROR(heatmap_datos_globales!$I$87,"")</f>
        <v>-0.08</v>
      </c>
      <c r="C116" s="7" t="str">
        <f aca="false">IFERROR(heatmap_datos_globales!$H$87,"N/A")</f>
        <v>Satisfactorio</v>
      </c>
      <c r="D116" s="7" t="str">
        <f aca="false">IF(AND(A116=heatmap_datos_globales!$E$87,B116=heatmap_datos_globales!$I$87,C116=heatmap_datos_globales!$H$87,heatmap_datos_globales!$K$87="OK"),"OK","FALLA")</f>
        <v>OK</v>
      </c>
    </row>
    <row r="117" customFormat="false" ht="15" hidden="false" customHeight="false" outlineLevel="0" collapsed="false">
      <c r="A117" s="0" t="s">
        <v>128</v>
      </c>
      <c r="B117" s="6" t="str">
        <f aca="false">IFERROR(heatmap_datos_globales!$I$88,"")</f>
        <v>0.50</v>
      </c>
      <c r="C117" s="7" t="str">
        <f aca="false">IFERROR(heatmap_datos_globales!$H$88,"N/A")</f>
        <v>Satisfactorio</v>
      </c>
      <c r="D117" s="7" t="str">
        <f aca="false">IF(AND(A117=heatmap_datos_globales!$E$88,B117=heatmap_datos_globales!$I$88,C117=heatmap_datos_globales!$H$88,heatmap_datos_globales!$K$88="OK"),"OK","FALLA")</f>
        <v>OK</v>
      </c>
    </row>
    <row r="118" customFormat="false" ht="15" hidden="false" customHeight="false" outlineLevel="0" collapsed="false">
      <c r="A118" s="0" t="s">
        <v>129</v>
      </c>
      <c r="B118" s="6" t="str">
        <f aca="false">IFERROR(heatmap_datos_globales!$I$89,"")</f>
        <v>0.16</v>
      </c>
      <c r="C118" s="7" t="str">
        <f aca="false">IFERROR(heatmap_datos_globales!$H$89,"N/A")</f>
        <v>Satisfactorio</v>
      </c>
      <c r="D118" s="7" t="str">
        <f aca="false">IF(AND(A118=heatmap_datos_globales!$E$89,B118=heatmap_datos_globales!$I$89,C118=heatmap_datos_globales!$H$89,heatmap_datos_globales!$K$89="OK"),"OK","FALLA")</f>
        <v>OK</v>
      </c>
    </row>
    <row r="119" customFormat="false" ht="15" hidden="false" customHeight="false" outlineLevel="0" collapsed="false">
      <c r="A119" s="0" t="s">
        <v>130</v>
      </c>
      <c r="B119" s="6" t="str">
        <f aca="false">IFERROR(heatmap_datos_globales!$I$90,"")</f>
        <v>-0.13</v>
      </c>
      <c r="C119" s="7" t="str">
        <f aca="false">IFERROR(heatmap_datos_globales!$H$90,"N/A")</f>
        <v>Satisfactorio</v>
      </c>
      <c r="D119" s="7" t="str">
        <f aca="false">IF(AND(A119=heatmap_datos_globales!$E$90,B119=heatmap_datos_globales!$I$90,C119=heatmap_datos_globales!$H$90,heatmap_datos_globales!$K$90="OK"),"OK","FALLA")</f>
        <v>OK</v>
      </c>
    </row>
    <row r="120" customFormat="false" ht="15" hidden="false" customHeight="false" outlineLevel="0" collapsed="false">
      <c r="A120" s="0" t="s">
        <v>131</v>
      </c>
      <c r="B120" s="6" t="str">
        <f aca="false">IFERROR(heatmap_datos_globales!$I$91,"")</f>
        <v>-0.06</v>
      </c>
      <c r="C120" s="7" t="str">
        <f aca="false">IFERROR(heatmap_datos_globales!$H$91,"N/A")</f>
        <v>Satisfactorio</v>
      </c>
      <c r="D120" s="7" t="str">
        <f aca="false">IF(AND(A120=heatmap_datos_globales!$E$91,B120=heatmap_datos_globales!$I$91,C120=heatmap_datos_globales!$H$91,heatmap_datos_globales!$K$91="OK"),"OK","FALLA")</f>
        <v>OK</v>
      </c>
    </row>
    <row r="121" customFormat="false" ht="15" hidden="false" customHeight="false" outlineLevel="0" collapsed="false">
      <c r="A121" s="0" t="s">
        <v>132</v>
      </c>
      <c r="B121" s="6" t="str">
        <f aca="false">IFERROR(heatmap_datos_globales!$I$92,"")</f>
        <v>0.36</v>
      </c>
      <c r="C121" s="7" t="str">
        <f aca="false">IFERROR(heatmap_datos_globales!$H$92,"N/A")</f>
        <v>Satisfactorio</v>
      </c>
      <c r="D121" s="7" t="str">
        <f aca="false">IF(AND(A121=heatmap_datos_globales!$E$92,B121=heatmap_datos_globales!$I$92,C121=heatmap_datos_globales!$H$92,heatmap_datos_globales!$K$92="OK"),"OK","FALLA")</f>
        <v>OK</v>
      </c>
    </row>
    <row r="122" customFormat="false" ht="15" hidden="false" customHeight="false" outlineLevel="0" collapsed="false">
      <c r="A122" s="0" t="s">
        <v>133</v>
      </c>
      <c r="B122" s="6" t="str">
        <f aca="false">IFERROR(heatmap_datos_globales!$I$93,"")</f>
        <v>-0.06</v>
      </c>
      <c r="C122" s="7" t="str">
        <f aca="false">IFERROR(heatmap_datos_globales!$H$93,"N/A")</f>
        <v>Satisfactorio</v>
      </c>
      <c r="D122" s="7" t="str">
        <f aca="false">IF(AND(A122=heatmap_datos_globales!$E$93,B122=heatmap_datos_globales!$I$93,C122=heatmap_datos_globales!$H$93,heatmap_datos_globales!$K$93="OK"),"OK","FALLA")</f>
        <v>OK</v>
      </c>
    </row>
    <row r="123" customFormat="false" ht="15" hidden="false" customHeight="false" outlineLevel="0" collapsed="false">
      <c r="A123" s="0" t="s">
        <v>134</v>
      </c>
      <c r="B123" s="6" t="str">
        <f aca="false">IFERROR(heatmap_datos_globales!$I$94,"")</f>
        <v>-0.02</v>
      </c>
      <c r="C123" s="7" t="str">
        <f aca="false">IFERROR(heatmap_datos_globales!$H$94,"N/A")</f>
        <v>Satisfactorio</v>
      </c>
      <c r="D123" s="7" t="str">
        <f aca="false">IF(AND(A123=heatmap_datos_globales!$E$94,B123=heatmap_datos_globales!$I$94,C123=heatmap_datos_globales!$H$94,heatmap_datos_globales!$K$94="OK"),"OK","FALLA")</f>
        <v>OK</v>
      </c>
    </row>
    <row r="124" customFormat="false" ht="15" hidden="false" customHeight="false" outlineLevel="0" collapsed="false">
      <c r="A124" s="0" t="s">
        <v>135</v>
      </c>
      <c r="B124" s="6" t="str">
        <f aca="false">IFERROR(heatmap_datos_globales!$I$95,"")</f>
        <v>0.03</v>
      </c>
      <c r="C124" s="7" t="str">
        <f aca="false">IFERROR(heatmap_datos_globales!$H$95,"N/A")</f>
        <v>Satisfactorio</v>
      </c>
      <c r="D124" s="7" t="str">
        <f aca="false">IF(AND(A124=heatmap_datos_globales!$E$95,B124=heatmap_datos_globales!$I$95,C124=heatmap_datos_globales!$H$95,heatmap_datos_globales!$K$95="OK"),"OK","FALLA")</f>
        <v>OK</v>
      </c>
    </row>
    <row r="125" customFormat="false" ht="15" hidden="false" customHeight="false" outlineLevel="0" collapsed="false">
      <c r="A125" s="0" t="s">
        <v>136</v>
      </c>
      <c r="B125" s="6" t="str">
        <f aca="false">IFERROR(heatmap_datos_globales!$I$96,"")</f>
        <v>-0.07</v>
      </c>
      <c r="C125" s="7" t="str">
        <f aca="false">IFERROR(heatmap_datos_globales!$H$96,"N/A")</f>
        <v>Satisfactorio</v>
      </c>
      <c r="D125" s="7" t="str">
        <f aca="false">IF(AND(A125=heatmap_datos_globales!$E$96,B125=heatmap_datos_globales!$I$96,C125=heatmap_datos_globales!$H$96,heatmap_datos_globales!$K$96="OK"),"OK","FALLA")</f>
        <v>OK</v>
      </c>
    </row>
    <row r="126" customFormat="false" ht="15" hidden="false" customHeight="false" outlineLevel="0" collapsed="false">
      <c r="A126" s="0" t="s">
        <v>137</v>
      </c>
      <c r="B126" s="6" t="str">
        <f aca="false">IFERROR(heatmap_datos_globales!$I$97,"")</f>
        <v>0.02</v>
      </c>
      <c r="C126" s="7" t="str">
        <f aca="false">IFERROR(heatmap_datos_globales!$H$97,"N/A")</f>
        <v>Satisfactorio</v>
      </c>
      <c r="D126" s="7" t="str">
        <f aca="false">IF(AND(A126=heatmap_datos_globales!$E$97,B126=heatmap_datos_globales!$I$97,C126=heatmap_datos_globales!$H$97,heatmap_datos_globales!$K$97="OK"),"OK","FALLA")</f>
        <v>OK</v>
      </c>
    </row>
    <row r="129" customFormat="false" ht="17.35" hidden="false" customHeight="false" outlineLevel="0" collapsed="false">
      <c r="A129" s="1" t="s">
        <v>259</v>
      </c>
    </row>
    <row r="130" customFormat="false" ht="15" hidden="false" customHeight="false" outlineLevel="0" collapsed="false">
      <c r="A130" s="2" t="s">
        <v>119</v>
      </c>
      <c r="B130" s="2"/>
      <c r="C130" s="2"/>
      <c r="D130" s="2"/>
    </row>
    <row r="131" customFormat="false" ht="15" hidden="false" customHeight="false" outlineLevel="0" collapsed="false">
      <c r="A131" s="0" t="s">
        <v>126</v>
      </c>
      <c r="B131" s="6" t="str">
        <f aca="false">IFERROR(heatmap_datos_globales!$I$98,"")</f>
        <v>1.05</v>
      </c>
      <c r="C131" s="7" t="str">
        <f aca="false">IFERROR(heatmap_datos_globales!$H$98,"N/A")</f>
        <v>Satisfactorio</v>
      </c>
      <c r="D131" s="7" t="str">
        <f aca="false">IF(AND(A131=heatmap_datos_globales!$E$98,B131=heatmap_datos_globales!$I$98,C131=heatmap_datos_globales!$H$98,heatmap_datos_globales!$K$98="OK"),"OK","FALLA")</f>
        <v>OK</v>
      </c>
    </row>
    <row r="132" customFormat="false" ht="15" hidden="false" customHeight="false" outlineLevel="0" collapsed="false">
      <c r="A132" s="0" t="s">
        <v>127</v>
      </c>
      <c r="B132" s="6" t="str">
        <f aca="false">IFERROR(heatmap_datos_globales!$I$99,"")</f>
        <v>-0.47</v>
      </c>
      <c r="C132" s="7" t="str">
        <f aca="false">IFERROR(heatmap_datos_globales!$H$99,"N/A")</f>
        <v>Satisfactorio</v>
      </c>
      <c r="D132" s="7" t="str">
        <f aca="false">IF(AND(A132=heatmap_datos_globales!$E$99,B132=heatmap_datos_globales!$I$99,C132=heatmap_datos_globales!$H$99,heatmap_datos_globales!$K$99="OK"),"OK","FALLA")</f>
        <v>OK</v>
      </c>
    </row>
    <row r="133" customFormat="false" ht="15" hidden="false" customHeight="false" outlineLevel="0" collapsed="false">
      <c r="A133" s="0" t="s">
        <v>128</v>
      </c>
      <c r="B133" s="6" t="str">
        <f aca="false">IFERROR(heatmap_datos_globales!$I$100,"")</f>
        <v>2.88</v>
      </c>
      <c r="C133" s="7" t="str">
        <f aca="false">IFERROR(heatmap_datos_globales!$H$100,"N/A")</f>
        <v>Cuestionable</v>
      </c>
      <c r="D133" s="7" t="str">
        <f aca="false">IF(AND(A133=heatmap_datos_globales!$E$100,B133=heatmap_datos_globales!$I$100,C133=heatmap_datos_globales!$H$100,heatmap_datos_globales!$K$100="OK"),"OK","FALLA")</f>
        <v>OK</v>
      </c>
    </row>
    <row r="134" customFormat="false" ht="15" hidden="false" customHeight="false" outlineLevel="0" collapsed="false">
      <c r="A134" s="0" t="s">
        <v>129</v>
      </c>
      <c r="B134" s="6" t="str">
        <f aca="false">IFERROR(heatmap_datos_globales!$I$101,"")</f>
        <v>0.95</v>
      </c>
      <c r="C134" s="7" t="str">
        <f aca="false">IFERROR(heatmap_datos_globales!$H$101,"N/A")</f>
        <v>Satisfactorio</v>
      </c>
      <c r="D134" s="7" t="str">
        <f aca="false">IF(AND(A134=heatmap_datos_globales!$E$101,B134=heatmap_datos_globales!$I$101,C134=heatmap_datos_globales!$H$101,heatmap_datos_globales!$K$101="OK"),"OK","FALLA")</f>
        <v>OK</v>
      </c>
    </row>
    <row r="135" customFormat="false" ht="15" hidden="false" customHeight="false" outlineLevel="0" collapsed="false">
      <c r="A135" s="0" t="s">
        <v>130</v>
      </c>
      <c r="B135" s="6" t="str">
        <f aca="false">IFERROR(heatmap_datos_globales!$I$102,"")</f>
        <v>-0.74</v>
      </c>
      <c r="C135" s="7" t="str">
        <f aca="false">IFERROR(heatmap_datos_globales!$H$102,"N/A")</f>
        <v>Satisfactorio</v>
      </c>
      <c r="D135" s="7" t="str">
        <f aca="false">IF(AND(A135=heatmap_datos_globales!$E$102,B135=heatmap_datos_globales!$I$102,C135=heatmap_datos_globales!$H$102,heatmap_datos_globales!$K$102="OK"),"OK","FALLA")</f>
        <v>OK</v>
      </c>
    </row>
    <row r="136" customFormat="false" ht="15" hidden="false" customHeight="false" outlineLevel="0" collapsed="false">
      <c r="A136" s="0" t="s">
        <v>131</v>
      </c>
      <c r="B136" s="6" t="str">
        <f aca="false">IFERROR(heatmap_datos_globales!$I$103,"")</f>
        <v>-0.35</v>
      </c>
      <c r="C136" s="7" t="str">
        <f aca="false">IFERROR(heatmap_datos_globales!$H$103,"N/A")</f>
        <v>Satisfactorio</v>
      </c>
      <c r="D136" s="7" t="str">
        <f aca="false">IF(AND(A136=heatmap_datos_globales!$E$103,B136=heatmap_datos_globales!$I$103,C136=heatmap_datos_globales!$H$103,heatmap_datos_globales!$K$103="OK"),"OK","FALLA")</f>
        <v>OK</v>
      </c>
    </row>
    <row r="137" customFormat="false" ht="15" hidden="false" customHeight="false" outlineLevel="0" collapsed="false">
      <c r="A137" s="0" t="s">
        <v>132</v>
      </c>
      <c r="B137" s="6" t="str">
        <f aca="false">IFERROR(heatmap_datos_globales!$I$104,"")</f>
        <v>2.03</v>
      </c>
      <c r="C137" s="7" t="str">
        <f aca="false">IFERROR(heatmap_datos_globales!$H$104,"N/A")</f>
        <v>Cuestionable</v>
      </c>
      <c r="D137" s="7" t="str">
        <f aca="false">IF(AND(A137=heatmap_datos_globales!$E$104,B137=heatmap_datos_globales!$I$104,C137=heatmap_datos_globales!$H$104,heatmap_datos_globales!$K$104="OK"),"OK","FALLA")</f>
        <v>OK</v>
      </c>
    </row>
    <row r="138" customFormat="false" ht="15" hidden="false" customHeight="false" outlineLevel="0" collapsed="false">
      <c r="A138" s="0" t="s">
        <v>133</v>
      </c>
      <c r="B138" s="6" t="str">
        <f aca="false">IFERROR(heatmap_datos_globales!$I$105,"")</f>
        <v>-0.36</v>
      </c>
      <c r="C138" s="7" t="str">
        <f aca="false">IFERROR(heatmap_datos_globales!$H$105,"N/A")</f>
        <v>Satisfactorio</v>
      </c>
      <c r="D138" s="7" t="str">
        <f aca="false">IF(AND(A138=heatmap_datos_globales!$E$105,B138=heatmap_datos_globales!$I$105,C138=heatmap_datos_globales!$H$105,heatmap_datos_globales!$K$105="OK"),"OK","FALLA")</f>
        <v>OK</v>
      </c>
    </row>
    <row r="139" customFormat="false" ht="15" hidden="false" customHeight="false" outlineLevel="0" collapsed="false">
      <c r="A139" s="0" t="s">
        <v>134</v>
      </c>
      <c r="B139" s="6" t="str">
        <f aca="false">IFERROR(heatmap_datos_globales!$I$106,"")</f>
        <v>-0.12</v>
      </c>
      <c r="C139" s="7" t="str">
        <f aca="false">IFERROR(heatmap_datos_globales!$H$106,"N/A")</f>
        <v>Satisfactorio</v>
      </c>
      <c r="D139" s="7" t="str">
        <f aca="false">IF(AND(A139=heatmap_datos_globales!$E$106,B139=heatmap_datos_globales!$I$106,C139=heatmap_datos_globales!$H$106,heatmap_datos_globales!$K$106="OK"),"OK","FALLA")</f>
        <v>OK</v>
      </c>
    </row>
    <row r="140" customFormat="false" ht="15" hidden="false" customHeight="false" outlineLevel="0" collapsed="false">
      <c r="A140" s="0" t="s">
        <v>135</v>
      </c>
      <c r="B140" s="6" t="str">
        <f aca="false">IFERROR(heatmap_datos_globales!$I$107,"")</f>
        <v>0.17</v>
      </c>
      <c r="C140" s="7" t="str">
        <f aca="false">IFERROR(heatmap_datos_globales!$H$107,"N/A")</f>
        <v>Satisfactorio</v>
      </c>
      <c r="D140" s="7" t="str">
        <f aca="false">IF(AND(A140=heatmap_datos_globales!$E$107,B140=heatmap_datos_globales!$I$107,C140=heatmap_datos_globales!$H$107,heatmap_datos_globales!$K$107="OK"),"OK","FALLA")</f>
        <v>OK</v>
      </c>
    </row>
    <row r="141" customFormat="false" ht="15" hidden="false" customHeight="false" outlineLevel="0" collapsed="false">
      <c r="A141" s="0" t="s">
        <v>136</v>
      </c>
      <c r="B141" s="6" t="str">
        <f aca="false">IFERROR(heatmap_datos_globales!$I$108,"")</f>
        <v>-0.43</v>
      </c>
      <c r="C141" s="7" t="str">
        <f aca="false">IFERROR(heatmap_datos_globales!$H$108,"N/A")</f>
        <v>Satisfactorio</v>
      </c>
      <c r="D141" s="7" t="str">
        <f aca="false">IF(AND(A141=heatmap_datos_globales!$E$108,B141=heatmap_datos_globales!$I$108,C141=heatmap_datos_globales!$H$108,heatmap_datos_globales!$K$108="OK"),"OK","FALLA")</f>
        <v>OK</v>
      </c>
    </row>
    <row r="142" customFormat="false" ht="15" hidden="false" customHeight="false" outlineLevel="0" collapsed="false">
      <c r="A142" s="0" t="s">
        <v>137</v>
      </c>
      <c r="B142" s="6" t="str">
        <f aca="false">IFERROR(heatmap_datos_globales!$I$109,"")</f>
        <v>0.12</v>
      </c>
      <c r="C142" s="7" t="str">
        <f aca="false">IFERROR(heatmap_datos_globales!$H$109,"N/A")</f>
        <v>Satisfactorio</v>
      </c>
      <c r="D142" s="7" t="str">
        <f aca="false">IF(AND(A142=heatmap_datos_globales!$E$109,B142=heatmap_datos_globales!$I$109,C142=heatmap_datos_globales!$H$109,heatmap_datos_globales!$K$109="OK"),"OK","FALLA")</f>
        <v>OK</v>
      </c>
    </row>
    <row r="145" customFormat="false" ht="17.35" hidden="false" customHeight="false" outlineLevel="0" collapsed="false">
      <c r="A145" s="1" t="s">
        <v>260</v>
      </c>
    </row>
    <row r="146" customFormat="false" ht="15" hidden="false" customHeight="false" outlineLevel="0" collapsed="false">
      <c r="A146" s="2" t="s">
        <v>119</v>
      </c>
      <c r="B146" s="2"/>
      <c r="C146" s="2"/>
      <c r="D146" s="2"/>
    </row>
    <row r="147" customFormat="false" ht="15" hidden="false" customHeight="false" outlineLevel="0" collapsed="false">
      <c r="A147" s="0" t="s">
        <v>126</v>
      </c>
      <c r="B147" s="6" t="str">
        <f aca="false">IFERROR(heatmap_datos_globales!$I$110,"")</f>
        <v>0.36</v>
      </c>
      <c r="C147" s="7" t="str">
        <f aca="false">IFERROR(heatmap_datos_globales!$H$110,"N/A")</f>
        <v>Satisfactorio</v>
      </c>
      <c r="D147" s="7" t="str">
        <f aca="false">IF(AND(A147=heatmap_datos_globales!$E$110,B147=heatmap_datos_globales!$I$110,C147=heatmap_datos_globales!$H$110,heatmap_datos_globales!$K$110="OK"),"OK","FALLA")</f>
        <v>OK</v>
      </c>
    </row>
    <row r="148" customFormat="false" ht="15" hidden="false" customHeight="false" outlineLevel="0" collapsed="false">
      <c r="A148" s="0" t="s">
        <v>127</v>
      </c>
      <c r="B148" s="6" t="str">
        <f aca="false">IFERROR(heatmap_datos_globales!$I$111,"")</f>
        <v>-0.16</v>
      </c>
      <c r="C148" s="7" t="str">
        <f aca="false">IFERROR(heatmap_datos_globales!$H$111,"N/A")</f>
        <v>Satisfactorio</v>
      </c>
      <c r="D148" s="7" t="str">
        <f aca="false">IF(AND(A148=heatmap_datos_globales!$E$111,B148=heatmap_datos_globales!$I$111,C148=heatmap_datos_globales!$H$111,heatmap_datos_globales!$K$111="OK"),"OK","FALLA")</f>
        <v>OK</v>
      </c>
    </row>
    <row r="149" customFormat="false" ht="15" hidden="false" customHeight="false" outlineLevel="0" collapsed="false">
      <c r="A149" s="0" t="s">
        <v>128</v>
      </c>
      <c r="B149" s="6" t="str">
        <f aca="false">IFERROR(heatmap_datos_globales!$I$112,"")</f>
        <v>0.97</v>
      </c>
      <c r="C149" s="7" t="str">
        <f aca="false">IFERROR(heatmap_datos_globales!$H$112,"N/A")</f>
        <v>Satisfactorio</v>
      </c>
      <c r="D149" s="7" t="str">
        <f aca="false">IF(AND(A149=heatmap_datos_globales!$E$112,B149=heatmap_datos_globales!$I$112,C149=heatmap_datos_globales!$H$112,heatmap_datos_globales!$K$112="OK"),"OK","FALLA")</f>
        <v>OK</v>
      </c>
    </row>
    <row r="150" customFormat="false" ht="15" hidden="false" customHeight="false" outlineLevel="0" collapsed="false">
      <c r="A150" s="0" t="s">
        <v>129</v>
      </c>
      <c r="B150" s="6" t="str">
        <f aca="false">IFERROR(heatmap_datos_globales!$I$113,"")</f>
        <v>0.32</v>
      </c>
      <c r="C150" s="7" t="str">
        <f aca="false">IFERROR(heatmap_datos_globales!$H$113,"N/A")</f>
        <v>Satisfactorio</v>
      </c>
      <c r="D150" s="7" t="str">
        <f aca="false">IF(AND(A150=heatmap_datos_globales!$E$113,B150=heatmap_datos_globales!$I$113,C150=heatmap_datos_globales!$H$113,heatmap_datos_globales!$K$113="OK"),"OK","FALLA")</f>
        <v>OK</v>
      </c>
    </row>
    <row r="151" customFormat="false" ht="15" hidden="false" customHeight="false" outlineLevel="0" collapsed="false">
      <c r="A151" s="0" t="s">
        <v>130</v>
      </c>
      <c r="B151" s="6" t="str">
        <f aca="false">IFERROR(heatmap_datos_globales!$I$114,"")</f>
        <v>-0.25</v>
      </c>
      <c r="C151" s="7" t="str">
        <f aca="false">IFERROR(heatmap_datos_globales!$H$114,"N/A")</f>
        <v>Satisfactorio</v>
      </c>
      <c r="D151" s="7" t="str">
        <f aca="false">IF(AND(A151=heatmap_datos_globales!$E$114,B151=heatmap_datos_globales!$I$114,C151=heatmap_datos_globales!$H$114,heatmap_datos_globales!$K$114="OK"),"OK","FALLA")</f>
        <v>OK</v>
      </c>
    </row>
    <row r="152" customFormat="false" ht="15" hidden="false" customHeight="false" outlineLevel="0" collapsed="false">
      <c r="A152" s="0" t="s">
        <v>131</v>
      </c>
      <c r="B152" s="6" t="str">
        <f aca="false">IFERROR(heatmap_datos_globales!$I$115,"")</f>
        <v>-0.12</v>
      </c>
      <c r="C152" s="7" t="str">
        <f aca="false">IFERROR(heatmap_datos_globales!$H$115,"N/A")</f>
        <v>Satisfactorio</v>
      </c>
      <c r="D152" s="7" t="str">
        <f aca="false">IF(AND(A152=heatmap_datos_globales!$E$115,B152=heatmap_datos_globales!$I$115,C152=heatmap_datos_globales!$H$115,heatmap_datos_globales!$K$115="OK"),"OK","FALLA")</f>
        <v>OK</v>
      </c>
    </row>
    <row r="153" customFormat="false" ht="15" hidden="false" customHeight="false" outlineLevel="0" collapsed="false">
      <c r="A153" s="0" t="s">
        <v>132</v>
      </c>
      <c r="B153" s="6" t="str">
        <f aca="false">IFERROR(heatmap_datos_globales!$I$116,"")</f>
        <v>0.68</v>
      </c>
      <c r="C153" s="7" t="str">
        <f aca="false">IFERROR(heatmap_datos_globales!$H$116,"N/A")</f>
        <v>Satisfactorio</v>
      </c>
      <c r="D153" s="7" t="str">
        <f aca="false">IF(AND(A153=heatmap_datos_globales!$E$116,B153=heatmap_datos_globales!$I$116,C153=heatmap_datos_globales!$H$116,heatmap_datos_globales!$K$116="OK"),"OK","FALLA")</f>
        <v>OK</v>
      </c>
    </row>
    <row r="154" customFormat="false" ht="15" hidden="false" customHeight="false" outlineLevel="0" collapsed="false">
      <c r="A154" s="0" t="s">
        <v>133</v>
      </c>
      <c r="B154" s="6" t="str">
        <f aca="false">IFERROR(heatmap_datos_globales!$I$117,"")</f>
        <v>-0.12</v>
      </c>
      <c r="C154" s="7" t="str">
        <f aca="false">IFERROR(heatmap_datos_globales!$H$117,"N/A")</f>
        <v>Satisfactorio</v>
      </c>
      <c r="D154" s="7" t="str">
        <f aca="false">IF(AND(A154=heatmap_datos_globales!$E$117,B154=heatmap_datos_globales!$I$117,C154=heatmap_datos_globales!$H$117,heatmap_datos_globales!$K$117="OK"),"OK","FALLA")</f>
        <v>OK</v>
      </c>
    </row>
    <row r="155" customFormat="false" ht="15" hidden="false" customHeight="false" outlineLevel="0" collapsed="false">
      <c r="A155" s="0" t="s">
        <v>134</v>
      </c>
      <c r="B155" s="6" t="str">
        <f aca="false">IFERROR(heatmap_datos_globales!$I$118,"")</f>
        <v>-0.04</v>
      </c>
      <c r="C155" s="7" t="str">
        <f aca="false">IFERROR(heatmap_datos_globales!$H$118,"N/A")</f>
        <v>Satisfactorio</v>
      </c>
      <c r="D155" s="7" t="str">
        <f aca="false">IF(AND(A155=heatmap_datos_globales!$E$118,B155=heatmap_datos_globales!$I$118,C155=heatmap_datos_globales!$H$118,heatmap_datos_globales!$K$118="OK"),"OK","FALLA")</f>
        <v>OK</v>
      </c>
    </row>
    <row r="156" customFormat="false" ht="15" hidden="false" customHeight="false" outlineLevel="0" collapsed="false">
      <c r="A156" s="0" t="s">
        <v>135</v>
      </c>
      <c r="B156" s="6" t="str">
        <f aca="false">IFERROR(heatmap_datos_globales!$I$119,"")</f>
        <v>0.06</v>
      </c>
      <c r="C156" s="7" t="str">
        <f aca="false">IFERROR(heatmap_datos_globales!$H$119,"N/A")</f>
        <v>Satisfactorio</v>
      </c>
      <c r="D156" s="7" t="str">
        <f aca="false">IF(AND(A156=heatmap_datos_globales!$E$119,B156=heatmap_datos_globales!$I$119,C156=heatmap_datos_globales!$H$119,heatmap_datos_globales!$K$119="OK"),"OK","FALLA")</f>
        <v>OK</v>
      </c>
    </row>
    <row r="157" customFormat="false" ht="15" hidden="false" customHeight="false" outlineLevel="0" collapsed="false">
      <c r="A157" s="0" t="s">
        <v>136</v>
      </c>
      <c r="B157" s="6" t="str">
        <f aca="false">IFERROR(heatmap_datos_globales!$I$120,"")</f>
        <v>-0.15</v>
      </c>
      <c r="C157" s="7" t="str">
        <f aca="false">IFERROR(heatmap_datos_globales!$H$120,"N/A")</f>
        <v>Satisfactorio</v>
      </c>
      <c r="D157" s="7" t="str">
        <f aca="false">IF(AND(A157=heatmap_datos_globales!$E$120,B157=heatmap_datos_globales!$I$120,C157=heatmap_datos_globales!$H$120,heatmap_datos_globales!$K$120="OK"),"OK","FALLA")</f>
        <v>OK</v>
      </c>
    </row>
    <row r="158" customFormat="false" ht="15" hidden="false" customHeight="false" outlineLevel="0" collapsed="false">
      <c r="A158" s="0" t="s">
        <v>137</v>
      </c>
      <c r="B158" s="6" t="str">
        <f aca="false">IFERROR(heatmap_datos_globales!$I$121,"")</f>
        <v>0.04</v>
      </c>
      <c r="C158" s="7" t="str">
        <f aca="false">IFERROR(heatmap_datos_globales!$H$121,"N/A")</f>
        <v>Satisfactorio</v>
      </c>
      <c r="D158" s="7" t="str">
        <f aca="false">IF(AND(A158=heatmap_datos_globales!$E$121,B158=heatmap_datos_globales!$I$121,C158=heatmap_datos_globales!$H$121,heatmap_datos_globales!$K$121="OK"),"OK","FALLA")</f>
        <v>OK</v>
      </c>
    </row>
    <row r="161" customFormat="false" ht="17.35" hidden="false" customHeight="false" outlineLevel="0" collapsed="false">
      <c r="A161" s="1" t="s">
        <v>261</v>
      </c>
    </row>
    <row r="162" customFormat="false" ht="15" hidden="false" customHeight="false" outlineLevel="0" collapsed="false">
      <c r="A162" s="2" t="s">
        <v>119</v>
      </c>
      <c r="B162" s="2"/>
      <c r="C162" s="2"/>
      <c r="D162" s="2"/>
    </row>
    <row r="163" customFormat="false" ht="15" hidden="false" customHeight="false" outlineLevel="0" collapsed="false">
      <c r="A163" s="0" t="s">
        <v>126</v>
      </c>
      <c r="B163" s="6" t="str">
        <f aca="false">IFERROR(heatmap_datos_globales!$I$122,"")</f>
        <v>0.37</v>
      </c>
      <c r="C163" s="7" t="str">
        <f aca="false">IFERROR(heatmap_datos_globales!$H$122,"N/A")</f>
        <v>Satisfactorio</v>
      </c>
      <c r="D163" s="7" t="str">
        <f aca="false">IF(AND(A163=heatmap_datos_globales!$E$122,B163=heatmap_datos_globales!$I$122,C163=heatmap_datos_globales!$H$122,heatmap_datos_globales!$K$122="OK"),"OK","FALLA")</f>
        <v>OK</v>
      </c>
    </row>
    <row r="164" customFormat="false" ht="15" hidden="false" customHeight="false" outlineLevel="0" collapsed="false">
      <c r="A164" s="0" t="s">
        <v>127</v>
      </c>
      <c r="B164" s="6" t="str">
        <f aca="false">IFERROR(heatmap_datos_globales!$I$123,"")</f>
        <v>-0.16</v>
      </c>
      <c r="C164" s="7" t="str">
        <f aca="false">IFERROR(heatmap_datos_globales!$H$123,"N/A")</f>
        <v>Satisfactorio</v>
      </c>
      <c r="D164" s="7" t="str">
        <f aca="false">IF(AND(A164=heatmap_datos_globales!$E$123,B164=heatmap_datos_globales!$I$123,C164=heatmap_datos_globales!$H$123,heatmap_datos_globales!$K$123="OK"),"OK","FALLA")</f>
        <v>OK</v>
      </c>
    </row>
    <row r="165" customFormat="false" ht="15" hidden="false" customHeight="false" outlineLevel="0" collapsed="false">
      <c r="A165" s="0" t="s">
        <v>128</v>
      </c>
      <c r="B165" s="6" t="str">
        <f aca="false">IFERROR(heatmap_datos_globales!$I$124,"")</f>
        <v>0.99</v>
      </c>
      <c r="C165" s="7" t="str">
        <f aca="false">IFERROR(heatmap_datos_globales!$H$124,"N/A")</f>
        <v>Satisfactorio</v>
      </c>
      <c r="D165" s="7" t="str">
        <f aca="false">IF(AND(A165=heatmap_datos_globales!$E$124,B165=heatmap_datos_globales!$I$124,C165=heatmap_datos_globales!$H$124,heatmap_datos_globales!$K$124="OK"),"OK","FALLA")</f>
        <v>OK</v>
      </c>
    </row>
    <row r="166" customFormat="false" ht="15" hidden="false" customHeight="false" outlineLevel="0" collapsed="false">
      <c r="A166" s="0" t="s">
        <v>129</v>
      </c>
      <c r="B166" s="6" t="str">
        <f aca="false">IFERROR(heatmap_datos_globales!$I$125,"")</f>
        <v>0.33</v>
      </c>
      <c r="C166" s="7" t="str">
        <f aca="false">IFERROR(heatmap_datos_globales!$H$125,"N/A")</f>
        <v>Satisfactorio</v>
      </c>
      <c r="D166" s="7" t="str">
        <f aca="false">IF(AND(A166=heatmap_datos_globales!$E$125,B166=heatmap_datos_globales!$I$125,C166=heatmap_datos_globales!$H$125,heatmap_datos_globales!$K$125="OK"),"OK","FALLA")</f>
        <v>OK</v>
      </c>
    </row>
    <row r="167" customFormat="false" ht="15" hidden="false" customHeight="false" outlineLevel="0" collapsed="false">
      <c r="A167" s="0" t="s">
        <v>130</v>
      </c>
      <c r="B167" s="6" t="str">
        <f aca="false">IFERROR(heatmap_datos_globales!$I$126,"")</f>
        <v>-0.26</v>
      </c>
      <c r="C167" s="7" t="str">
        <f aca="false">IFERROR(heatmap_datos_globales!$H$126,"N/A")</f>
        <v>Satisfactorio</v>
      </c>
      <c r="D167" s="7" t="str">
        <f aca="false">IF(AND(A167=heatmap_datos_globales!$E$126,B167=heatmap_datos_globales!$I$126,C167=heatmap_datos_globales!$H$126,heatmap_datos_globales!$K$126="OK"),"OK","FALLA")</f>
        <v>OK</v>
      </c>
    </row>
    <row r="168" customFormat="false" ht="15" hidden="false" customHeight="false" outlineLevel="0" collapsed="false">
      <c r="A168" s="0" t="s">
        <v>131</v>
      </c>
      <c r="B168" s="6" t="str">
        <f aca="false">IFERROR(heatmap_datos_globales!$I$127,"")</f>
        <v>-0.12</v>
      </c>
      <c r="C168" s="7" t="str">
        <f aca="false">IFERROR(heatmap_datos_globales!$H$127,"N/A")</f>
        <v>Satisfactorio</v>
      </c>
      <c r="D168" s="7" t="str">
        <f aca="false">IF(AND(A168=heatmap_datos_globales!$E$127,B168=heatmap_datos_globales!$I$127,C168=heatmap_datos_globales!$H$127,heatmap_datos_globales!$K$127="OK"),"OK","FALLA")</f>
        <v>OK</v>
      </c>
    </row>
    <row r="169" customFormat="false" ht="15" hidden="false" customHeight="false" outlineLevel="0" collapsed="false">
      <c r="A169" s="0" t="s">
        <v>132</v>
      </c>
      <c r="B169" s="6" t="str">
        <f aca="false">IFERROR(heatmap_datos_globales!$I$128,"")</f>
        <v>0.72</v>
      </c>
      <c r="C169" s="7" t="str">
        <f aca="false">IFERROR(heatmap_datos_globales!$H$128,"N/A")</f>
        <v>Satisfactorio</v>
      </c>
      <c r="D169" s="7" t="str">
        <f aca="false">IF(AND(A169=heatmap_datos_globales!$E$128,B169=heatmap_datos_globales!$I$128,C169=heatmap_datos_globales!$H$128,heatmap_datos_globales!$K$128="OK"),"OK","FALLA")</f>
        <v>OK</v>
      </c>
    </row>
    <row r="170" customFormat="false" ht="15" hidden="false" customHeight="false" outlineLevel="0" collapsed="false">
      <c r="A170" s="0" t="s">
        <v>133</v>
      </c>
      <c r="B170" s="6" t="str">
        <f aca="false">IFERROR(heatmap_datos_globales!$I$129,"")</f>
        <v>-0.13</v>
      </c>
      <c r="C170" s="7" t="str">
        <f aca="false">IFERROR(heatmap_datos_globales!$H$129,"N/A")</f>
        <v>Satisfactorio</v>
      </c>
      <c r="D170" s="7" t="str">
        <f aca="false">IF(AND(A170=heatmap_datos_globales!$E$129,B170=heatmap_datos_globales!$I$129,C170=heatmap_datos_globales!$H$129,heatmap_datos_globales!$K$129="OK"),"OK","FALLA")</f>
        <v>OK</v>
      </c>
    </row>
    <row r="171" customFormat="false" ht="15" hidden="false" customHeight="false" outlineLevel="0" collapsed="false">
      <c r="A171" s="0" t="s">
        <v>134</v>
      </c>
      <c r="B171" s="6" t="str">
        <f aca="false">IFERROR(heatmap_datos_globales!$I$130,"")</f>
        <v>-0.04</v>
      </c>
      <c r="C171" s="7" t="str">
        <f aca="false">IFERROR(heatmap_datos_globales!$H$130,"N/A")</f>
        <v>Satisfactorio</v>
      </c>
      <c r="D171" s="7" t="str">
        <f aca="false">IF(AND(A171=heatmap_datos_globales!$E$130,B171=heatmap_datos_globales!$I$130,C171=heatmap_datos_globales!$H$130,heatmap_datos_globales!$K$130="OK"),"OK","FALLA")</f>
        <v>OK</v>
      </c>
    </row>
    <row r="172" customFormat="false" ht="15" hidden="false" customHeight="false" outlineLevel="0" collapsed="false">
      <c r="A172" s="0" t="s">
        <v>135</v>
      </c>
      <c r="B172" s="6" t="str">
        <f aca="false">IFERROR(heatmap_datos_globales!$I$131,"")</f>
        <v>0.06</v>
      </c>
      <c r="C172" s="7" t="str">
        <f aca="false">IFERROR(heatmap_datos_globales!$H$131,"N/A")</f>
        <v>Satisfactorio</v>
      </c>
      <c r="D172" s="7" t="str">
        <f aca="false">IF(AND(A172=heatmap_datos_globales!$E$131,B172=heatmap_datos_globales!$I$131,C172=heatmap_datos_globales!$H$131,heatmap_datos_globales!$K$131="OK"),"OK","FALLA")</f>
        <v>OK</v>
      </c>
    </row>
    <row r="173" customFormat="false" ht="15" hidden="false" customHeight="false" outlineLevel="0" collapsed="false">
      <c r="A173" s="0" t="s">
        <v>136</v>
      </c>
      <c r="B173" s="6" t="str">
        <f aca="false">IFERROR(heatmap_datos_globales!$I$132,"")</f>
        <v>-0.15</v>
      </c>
      <c r="C173" s="7" t="str">
        <f aca="false">IFERROR(heatmap_datos_globales!$H$132,"N/A")</f>
        <v>Satisfactorio</v>
      </c>
      <c r="D173" s="7" t="str">
        <f aca="false">IF(AND(A173=heatmap_datos_globales!$E$132,B173=heatmap_datos_globales!$I$132,C173=heatmap_datos_globales!$H$132,heatmap_datos_globales!$K$132="OK"),"OK","FALLA")</f>
        <v>OK</v>
      </c>
    </row>
    <row r="174" customFormat="false" ht="15" hidden="false" customHeight="false" outlineLevel="0" collapsed="false">
      <c r="A174" s="0" t="s">
        <v>137</v>
      </c>
      <c r="B174" s="6" t="str">
        <f aca="false">IFERROR(heatmap_datos_globales!$I$133,"")</f>
        <v>0.04</v>
      </c>
      <c r="C174" s="7" t="str">
        <f aca="false">IFERROR(heatmap_datos_globales!$H$133,"N/A")</f>
        <v>Satisfactorio</v>
      </c>
      <c r="D174" s="7" t="str">
        <f aca="false">IF(AND(A174=heatmap_datos_globales!$E$133,B174=heatmap_datos_globales!$I$133,C174=heatmap_datos_globales!$H$133,heatmap_datos_globales!$K$133="OK"),"OK","FALLA")</f>
        <v>OK</v>
      </c>
    </row>
    <row r="177" customFormat="false" ht="17.35" hidden="false" customHeight="false" outlineLevel="0" collapsed="false">
      <c r="A177" s="1" t="s">
        <v>262</v>
      </c>
    </row>
    <row r="178" customFormat="false" ht="15" hidden="false" customHeight="false" outlineLevel="0" collapsed="false">
      <c r="A178" s="2" t="s">
        <v>119</v>
      </c>
      <c r="B178" s="2"/>
      <c r="C178" s="2"/>
      <c r="D178" s="2"/>
    </row>
    <row r="179" customFormat="false" ht="15" hidden="false" customHeight="false" outlineLevel="0" collapsed="false">
      <c r="A179" s="0" t="s">
        <v>126</v>
      </c>
      <c r="B179" s="6" t="str">
        <f aca="false">IFERROR(heatmap_datos_globales!$I$134,"")</f>
        <v>0.18</v>
      </c>
      <c r="C179" s="7" t="str">
        <f aca="false">IFERROR(heatmap_datos_globales!$H$134,"N/A")</f>
        <v>Satisfactorio</v>
      </c>
      <c r="D179" s="7" t="str">
        <f aca="false">IF(AND(A179=heatmap_datos_globales!$E$134,B179=heatmap_datos_globales!$I$134,C179=heatmap_datos_globales!$H$134,heatmap_datos_globales!$K$134="OK"),"OK","FALLA")</f>
        <v>OK</v>
      </c>
    </row>
    <row r="180" customFormat="false" ht="15" hidden="false" customHeight="false" outlineLevel="0" collapsed="false">
      <c r="A180" s="0" t="s">
        <v>127</v>
      </c>
      <c r="B180" s="6" t="str">
        <f aca="false">IFERROR(heatmap_datos_globales!$I$135,"")</f>
        <v>-0.08</v>
      </c>
      <c r="C180" s="7" t="str">
        <f aca="false">IFERROR(heatmap_datos_globales!$H$135,"N/A")</f>
        <v>Satisfactorio</v>
      </c>
      <c r="D180" s="7" t="str">
        <f aca="false">IF(AND(A180=heatmap_datos_globales!$E$135,B180=heatmap_datos_globales!$I$135,C180=heatmap_datos_globales!$H$135,heatmap_datos_globales!$K$135="OK"),"OK","FALLA")</f>
        <v>OK</v>
      </c>
    </row>
    <row r="181" customFormat="false" ht="15" hidden="false" customHeight="false" outlineLevel="0" collapsed="false">
      <c r="A181" s="0" t="s">
        <v>128</v>
      </c>
      <c r="B181" s="6" t="str">
        <f aca="false">IFERROR(heatmap_datos_globales!$I$136,"")</f>
        <v>0.50</v>
      </c>
      <c r="C181" s="7" t="str">
        <f aca="false">IFERROR(heatmap_datos_globales!$H$136,"N/A")</f>
        <v>Satisfactorio</v>
      </c>
      <c r="D181" s="7" t="str">
        <f aca="false">IF(AND(A181=heatmap_datos_globales!$E$136,B181=heatmap_datos_globales!$I$136,C181=heatmap_datos_globales!$H$136,heatmap_datos_globales!$K$136="OK"),"OK","FALLA")</f>
        <v>OK</v>
      </c>
    </row>
    <row r="182" customFormat="false" ht="15" hidden="false" customHeight="false" outlineLevel="0" collapsed="false">
      <c r="A182" s="0" t="s">
        <v>129</v>
      </c>
      <c r="B182" s="6" t="str">
        <f aca="false">IFERROR(heatmap_datos_globales!$I$137,"")</f>
        <v>0.16</v>
      </c>
      <c r="C182" s="7" t="str">
        <f aca="false">IFERROR(heatmap_datos_globales!$H$137,"N/A")</f>
        <v>Satisfactorio</v>
      </c>
      <c r="D182" s="7" t="str">
        <f aca="false">IF(AND(A182=heatmap_datos_globales!$E$137,B182=heatmap_datos_globales!$I$137,C182=heatmap_datos_globales!$H$137,heatmap_datos_globales!$K$137="OK"),"OK","FALLA")</f>
        <v>OK</v>
      </c>
    </row>
    <row r="183" customFormat="false" ht="15" hidden="false" customHeight="false" outlineLevel="0" collapsed="false">
      <c r="A183" s="0" t="s">
        <v>130</v>
      </c>
      <c r="B183" s="6" t="str">
        <f aca="false">IFERROR(heatmap_datos_globales!$I$138,"")</f>
        <v>-0.13</v>
      </c>
      <c r="C183" s="7" t="str">
        <f aca="false">IFERROR(heatmap_datos_globales!$H$138,"N/A")</f>
        <v>Satisfactorio</v>
      </c>
      <c r="D183" s="7" t="str">
        <f aca="false">IF(AND(A183=heatmap_datos_globales!$E$138,B183=heatmap_datos_globales!$I$138,C183=heatmap_datos_globales!$H$138,heatmap_datos_globales!$K$138="OK"),"OK","FALLA")</f>
        <v>OK</v>
      </c>
    </row>
    <row r="184" customFormat="false" ht="15" hidden="false" customHeight="false" outlineLevel="0" collapsed="false">
      <c r="A184" s="0" t="s">
        <v>131</v>
      </c>
      <c r="B184" s="6" t="str">
        <f aca="false">IFERROR(heatmap_datos_globales!$I$139,"")</f>
        <v>-0.06</v>
      </c>
      <c r="C184" s="7" t="str">
        <f aca="false">IFERROR(heatmap_datos_globales!$H$139,"N/A")</f>
        <v>Satisfactorio</v>
      </c>
      <c r="D184" s="7" t="str">
        <f aca="false">IF(AND(A184=heatmap_datos_globales!$E$139,B184=heatmap_datos_globales!$I$139,C184=heatmap_datos_globales!$H$139,heatmap_datos_globales!$K$139="OK"),"OK","FALLA")</f>
        <v>OK</v>
      </c>
    </row>
    <row r="185" customFormat="false" ht="15" hidden="false" customHeight="false" outlineLevel="0" collapsed="false">
      <c r="A185" s="0" t="s">
        <v>132</v>
      </c>
      <c r="B185" s="6" t="str">
        <f aca="false">IFERROR(heatmap_datos_globales!$I$140,"")</f>
        <v>0.36</v>
      </c>
      <c r="C185" s="7" t="str">
        <f aca="false">IFERROR(heatmap_datos_globales!$H$140,"N/A")</f>
        <v>Satisfactorio</v>
      </c>
      <c r="D185" s="7" t="str">
        <f aca="false">IF(AND(A185=heatmap_datos_globales!$E$140,B185=heatmap_datos_globales!$I$140,C185=heatmap_datos_globales!$H$140,heatmap_datos_globales!$K$140="OK"),"OK","FALLA")</f>
        <v>OK</v>
      </c>
    </row>
    <row r="186" customFormat="false" ht="15" hidden="false" customHeight="false" outlineLevel="0" collapsed="false">
      <c r="A186" s="0" t="s">
        <v>133</v>
      </c>
      <c r="B186" s="6" t="str">
        <f aca="false">IFERROR(heatmap_datos_globales!$I$141,"")</f>
        <v>-0.06</v>
      </c>
      <c r="C186" s="7" t="str">
        <f aca="false">IFERROR(heatmap_datos_globales!$H$141,"N/A")</f>
        <v>Satisfactorio</v>
      </c>
      <c r="D186" s="7" t="str">
        <f aca="false">IF(AND(A186=heatmap_datos_globales!$E$141,B186=heatmap_datos_globales!$I$141,C186=heatmap_datos_globales!$H$141,heatmap_datos_globales!$K$141="OK"),"OK","FALLA")</f>
        <v>OK</v>
      </c>
    </row>
    <row r="187" customFormat="false" ht="15" hidden="false" customHeight="false" outlineLevel="0" collapsed="false">
      <c r="A187" s="0" t="s">
        <v>134</v>
      </c>
      <c r="B187" s="6" t="str">
        <f aca="false">IFERROR(heatmap_datos_globales!$I$142,"")</f>
        <v>-0.02</v>
      </c>
      <c r="C187" s="7" t="str">
        <f aca="false">IFERROR(heatmap_datos_globales!$H$142,"N/A")</f>
        <v>Satisfactorio</v>
      </c>
      <c r="D187" s="7" t="str">
        <f aca="false">IF(AND(A187=heatmap_datos_globales!$E$142,B187=heatmap_datos_globales!$I$142,C187=heatmap_datos_globales!$H$142,heatmap_datos_globales!$K$142="OK"),"OK","FALLA")</f>
        <v>OK</v>
      </c>
    </row>
    <row r="188" customFormat="false" ht="15" hidden="false" customHeight="false" outlineLevel="0" collapsed="false">
      <c r="A188" s="0" t="s">
        <v>135</v>
      </c>
      <c r="B188" s="6" t="str">
        <f aca="false">IFERROR(heatmap_datos_globales!$I$143,"")</f>
        <v>0.03</v>
      </c>
      <c r="C188" s="7" t="str">
        <f aca="false">IFERROR(heatmap_datos_globales!$H$143,"N/A")</f>
        <v>Satisfactorio</v>
      </c>
      <c r="D188" s="7" t="str">
        <f aca="false">IF(AND(A188=heatmap_datos_globales!$E$143,B188=heatmap_datos_globales!$I$143,C188=heatmap_datos_globales!$H$143,heatmap_datos_globales!$K$143="OK"),"OK","FALLA")</f>
        <v>OK</v>
      </c>
    </row>
    <row r="189" customFormat="false" ht="15" hidden="false" customHeight="false" outlineLevel="0" collapsed="false">
      <c r="A189" s="0" t="s">
        <v>136</v>
      </c>
      <c r="B189" s="6" t="str">
        <f aca="false">IFERROR(heatmap_datos_globales!$I$144,"")</f>
        <v>-0.07</v>
      </c>
      <c r="C189" s="7" t="str">
        <f aca="false">IFERROR(heatmap_datos_globales!$H$144,"N/A")</f>
        <v>Satisfactorio</v>
      </c>
      <c r="D189" s="7" t="str">
        <f aca="false">IF(AND(A189=heatmap_datos_globales!$E$144,B189=heatmap_datos_globales!$I$144,C189=heatmap_datos_globales!$H$144,heatmap_datos_globales!$K$144="OK"),"OK","FALLA")</f>
        <v>OK</v>
      </c>
    </row>
    <row r="190" customFormat="false" ht="15" hidden="false" customHeight="false" outlineLevel="0" collapsed="false">
      <c r="A190" s="0" t="s">
        <v>137</v>
      </c>
      <c r="B190" s="6" t="str">
        <f aca="false">IFERROR(heatmap_datos_globales!$I$145,"")</f>
        <v>0.02</v>
      </c>
      <c r="C190" s="7" t="str">
        <f aca="false">IFERROR(heatmap_datos_globales!$H$145,"N/A")</f>
        <v>Satisfactorio</v>
      </c>
      <c r="D190" s="7" t="str">
        <f aca="false">IF(AND(A190=heatmap_datos_globales!$E$145,B190=heatmap_datos_globales!$I$145,C190=heatmap_datos_globales!$H$145,heatmap_datos_globales!$K$145="OK"),"OK","FALLA")</f>
        <v>OK</v>
      </c>
    </row>
    <row r="193" customFormat="false" ht="17.35" hidden="false" customHeight="false" outlineLevel="0" collapsed="false">
      <c r="A193" s="1" t="s">
        <v>263</v>
      </c>
    </row>
    <row r="194" customFormat="false" ht="15" hidden="false" customHeight="false" outlineLevel="0" collapsed="false">
      <c r="A194" s="2" t="s">
        <v>119</v>
      </c>
      <c r="B194" s="2"/>
      <c r="C194" s="2"/>
      <c r="D194" s="2"/>
    </row>
    <row r="195" customFormat="false" ht="15" hidden="false" customHeight="false" outlineLevel="0" collapsed="false">
      <c r="A195" s="0" t="s">
        <v>126</v>
      </c>
      <c r="B195" s="6" t="str">
        <f aca="false">IFERROR(heatmap_datos_globales!$I$146,"")</f>
        <v>0.76</v>
      </c>
      <c r="C195" s="7" t="str">
        <f aca="false">IFERROR(heatmap_datos_globales!$H$146,"N/A")</f>
        <v>Satisfactorio</v>
      </c>
      <c r="D195" s="7" t="str">
        <f aca="false">IF(AND(A195=heatmap_datos_globales!$E$146,B195=heatmap_datos_globales!$I$146,C195=heatmap_datos_globales!$H$146,heatmap_datos_globales!$K$146="OK"),"OK","FALLA")</f>
        <v>OK</v>
      </c>
    </row>
    <row r="196" customFormat="false" ht="15" hidden="false" customHeight="false" outlineLevel="0" collapsed="false">
      <c r="A196" s="0" t="s">
        <v>127</v>
      </c>
      <c r="B196" s="6" t="str">
        <f aca="false">IFERROR(heatmap_datos_globales!$I$147,"")</f>
        <v>-0.74</v>
      </c>
      <c r="C196" s="7" t="str">
        <f aca="false">IFERROR(heatmap_datos_globales!$H$147,"N/A")</f>
        <v>Satisfactorio</v>
      </c>
      <c r="D196" s="7" t="str">
        <f aca="false">IF(AND(A196=heatmap_datos_globales!$E$147,B196=heatmap_datos_globales!$I$147,C196=heatmap_datos_globales!$H$147,heatmap_datos_globales!$K$147="OK"),"OK","FALLA")</f>
        <v>OK</v>
      </c>
    </row>
    <row r="197" customFormat="false" ht="15" hidden="false" customHeight="false" outlineLevel="0" collapsed="false">
      <c r="A197" s="0" t="s">
        <v>128</v>
      </c>
      <c r="B197" s="6" t="str">
        <f aca="false">IFERROR(heatmap_datos_globales!$I$148,"")</f>
        <v>2.55</v>
      </c>
      <c r="C197" s="7" t="str">
        <f aca="false">IFERROR(heatmap_datos_globales!$H$148,"N/A")</f>
        <v>Cuestionable</v>
      </c>
      <c r="D197" s="7" t="str">
        <f aca="false">IF(AND(A197=heatmap_datos_globales!$E$148,B197=heatmap_datos_globales!$I$148,C197=heatmap_datos_globales!$H$148,heatmap_datos_globales!$K$148="OK"),"OK","FALLA")</f>
        <v>OK</v>
      </c>
    </row>
    <row r="198" customFormat="false" ht="15" hidden="false" customHeight="false" outlineLevel="0" collapsed="false">
      <c r="A198" s="0" t="s">
        <v>129</v>
      </c>
      <c r="B198" s="6" t="str">
        <f aca="false">IFERROR(heatmap_datos_globales!$I$149,"")</f>
        <v>0.65</v>
      </c>
      <c r="C198" s="7" t="str">
        <f aca="false">IFERROR(heatmap_datos_globales!$H$149,"N/A")</f>
        <v>Satisfactorio</v>
      </c>
      <c r="D198" s="7" t="str">
        <f aca="false">IF(AND(A198=heatmap_datos_globales!$E$149,B198=heatmap_datos_globales!$I$149,C198=heatmap_datos_globales!$H$149,heatmap_datos_globales!$K$149="OK"),"OK","FALLA")</f>
        <v>OK</v>
      </c>
    </row>
    <row r="199" customFormat="false" ht="15" hidden="false" customHeight="false" outlineLevel="0" collapsed="false">
      <c r="A199" s="0" t="s">
        <v>130</v>
      </c>
      <c r="B199" s="6" t="str">
        <f aca="false">IFERROR(heatmap_datos_globales!$I$150,"")</f>
        <v>-1.01</v>
      </c>
      <c r="C199" s="7" t="str">
        <f aca="false">IFERROR(heatmap_datos_globales!$H$150,"N/A")</f>
        <v>Satisfactorio</v>
      </c>
      <c r="D199" s="7" t="str">
        <f aca="false">IF(AND(A199=heatmap_datos_globales!$E$150,B199=heatmap_datos_globales!$I$150,C199=heatmap_datos_globales!$H$150,heatmap_datos_globales!$K$150="OK"),"OK","FALLA")</f>
        <v>OK</v>
      </c>
    </row>
    <row r="200" customFormat="false" ht="15" hidden="false" customHeight="false" outlineLevel="0" collapsed="false">
      <c r="A200" s="0" t="s">
        <v>131</v>
      </c>
      <c r="B200" s="6" t="str">
        <f aca="false">IFERROR(heatmap_datos_globales!$I$151,"")</f>
        <v>-0.63</v>
      </c>
      <c r="C200" s="7" t="str">
        <f aca="false">IFERROR(heatmap_datos_globales!$H$151,"N/A")</f>
        <v>Satisfactorio</v>
      </c>
      <c r="D200" s="7" t="str">
        <f aca="false">IF(AND(A200=heatmap_datos_globales!$E$151,B200=heatmap_datos_globales!$I$151,C200=heatmap_datos_globales!$H$151,heatmap_datos_globales!$K$151="OK"),"OK","FALLA")</f>
        <v>OK</v>
      </c>
    </row>
    <row r="201" customFormat="false" ht="15" hidden="false" customHeight="false" outlineLevel="0" collapsed="false">
      <c r="A201" s="0" t="s">
        <v>132</v>
      </c>
      <c r="B201" s="6" t="str">
        <f aca="false">IFERROR(heatmap_datos_globales!$I$152,"")</f>
        <v>1.72</v>
      </c>
      <c r="C201" s="7" t="str">
        <f aca="false">IFERROR(heatmap_datos_globales!$H$152,"N/A")</f>
        <v>Satisfactorio</v>
      </c>
      <c r="D201" s="7" t="str">
        <f aca="false">IF(AND(A201=heatmap_datos_globales!$E$152,B201=heatmap_datos_globales!$I$152,C201=heatmap_datos_globales!$H$152,heatmap_datos_globales!$K$152="OK"),"OK","FALLA")</f>
        <v>OK</v>
      </c>
    </row>
    <row r="202" customFormat="false" ht="15" hidden="false" customHeight="false" outlineLevel="0" collapsed="false">
      <c r="A202" s="0" t="s">
        <v>133</v>
      </c>
      <c r="B202" s="6" t="str">
        <f aca="false">IFERROR(heatmap_datos_globales!$I$153,"")</f>
        <v>-0.63</v>
      </c>
      <c r="C202" s="7" t="str">
        <f aca="false">IFERROR(heatmap_datos_globales!$H$153,"N/A")</f>
        <v>Satisfactorio</v>
      </c>
      <c r="D202" s="7" t="str">
        <f aca="false">IF(AND(A202=heatmap_datos_globales!$E$153,B202=heatmap_datos_globales!$I$153,C202=heatmap_datos_globales!$H$153,heatmap_datos_globales!$K$153="OK"),"OK","FALLA")</f>
        <v>OK</v>
      </c>
    </row>
    <row r="203" customFormat="false" ht="15" hidden="false" customHeight="false" outlineLevel="0" collapsed="false">
      <c r="A203" s="0" t="s">
        <v>134</v>
      </c>
      <c r="B203" s="6" t="str">
        <f aca="false">IFERROR(heatmap_datos_globales!$I$154,"")</f>
        <v>-0.40</v>
      </c>
      <c r="C203" s="7" t="str">
        <f aca="false">IFERROR(heatmap_datos_globales!$H$154,"N/A")</f>
        <v>Satisfactorio</v>
      </c>
      <c r="D203" s="7" t="str">
        <f aca="false">IF(AND(A203=heatmap_datos_globales!$E$154,B203=heatmap_datos_globales!$I$154,C203=heatmap_datos_globales!$H$154,heatmap_datos_globales!$K$154="OK"),"OK","FALLA")</f>
        <v>OK</v>
      </c>
    </row>
    <row r="204" customFormat="false" ht="15" hidden="false" customHeight="false" outlineLevel="0" collapsed="false">
      <c r="A204" s="0" t="s">
        <v>135</v>
      </c>
      <c r="B204" s="6" t="str">
        <f aca="false">IFERROR(heatmap_datos_globales!$I$155,"")</f>
        <v>-0.12</v>
      </c>
      <c r="C204" s="7" t="str">
        <f aca="false">IFERROR(heatmap_datos_globales!$H$155,"N/A")</f>
        <v>Satisfactorio</v>
      </c>
      <c r="D204" s="7" t="str">
        <f aca="false">IF(AND(A204=heatmap_datos_globales!$E$155,B204=heatmap_datos_globales!$I$155,C204=heatmap_datos_globales!$H$155,heatmap_datos_globales!$K$155="OK"),"OK","FALLA")</f>
        <v>OK</v>
      </c>
    </row>
    <row r="205" customFormat="false" ht="15" hidden="false" customHeight="false" outlineLevel="0" collapsed="false">
      <c r="A205" s="0" t="s">
        <v>136</v>
      </c>
      <c r="B205" s="6" t="str">
        <f aca="false">IFERROR(heatmap_datos_globales!$I$156,"")</f>
        <v>-0.71</v>
      </c>
      <c r="C205" s="7" t="str">
        <f aca="false">IFERROR(heatmap_datos_globales!$H$156,"N/A")</f>
        <v>Satisfactorio</v>
      </c>
      <c r="D205" s="7" t="str">
        <f aca="false">IF(AND(A205=heatmap_datos_globales!$E$156,B205=heatmap_datos_globales!$I$156,C205=heatmap_datos_globales!$H$156,heatmap_datos_globales!$K$156="OK"),"OK","FALLA")</f>
        <v>OK</v>
      </c>
    </row>
    <row r="206" customFormat="false" ht="15" hidden="false" customHeight="false" outlineLevel="0" collapsed="false">
      <c r="A206" s="0" t="s">
        <v>137</v>
      </c>
      <c r="B206" s="6" t="str">
        <f aca="false">IFERROR(heatmap_datos_globales!$I$157,"")</f>
        <v>-0.17</v>
      </c>
      <c r="C206" s="7" t="str">
        <f aca="false">IFERROR(heatmap_datos_globales!$H$157,"N/A")</f>
        <v>Satisfactorio</v>
      </c>
      <c r="D206" s="7" t="str">
        <f aca="false">IF(AND(A206=heatmap_datos_globales!$E$157,B206=heatmap_datos_globales!$I$157,C206=heatmap_datos_globales!$H$157,heatmap_datos_globales!$K$157="OK"),"OK","FALLA")</f>
        <v>OK</v>
      </c>
    </row>
    <row r="209" customFormat="false" ht="17.35" hidden="false" customHeight="false" outlineLevel="0" collapsed="false">
      <c r="A209" s="1" t="s">
        <v>264</v>
      </c>
    </row>
    <row r="210" customFormat="false" ht="15" hidden="false" customHeight="false" outlineLevel="0" collapsed="false">
      <c r="A210" s="2" t="s">
        <v>119</v>
      </c>
      <c r="B210" s="2"/>
      <c r="C210" s="2"/>
      <c r="D210" s="2"/>
    </row>
    <row r="211" customFormat="false" ht="15" hidden="false" customHeight="false" outlineLevel="0" collapsed="false">
      <c r="A211" s="0" t="s">
        <v>126</v>
      </c>
      <c r="B211" s="6" t="str">
        <f aca="false">IFERROR(heatmap_datos_globales!$I$158,"")</f>
        <v>0.26</v>
      </c>
      <c r="C211" s="7" t="str">
        <f aca="false">IFERROR(heatmap_datos_globales!$H$158,"N/A")</f>
        <v>Satisfactorio</v>
      </c>
      <c r="D211" s="7" t="str">
        <f aca="false">IF(AND(A211=heatmap_datos_globales!$E$158,B211=heatmap_datos_globales!$I$158,C211=heatmap_datos_globales!$H$158,heatmap_datos_globales!$K$158="OK"),"OK","FALLA")</f>
        <v>OK</v>
      </c>
    </row>
    <row r="212" customFormat="false" ht="15" hidden="false" customHeight="false" outlineLevel="0" collapsed="false">
      <c r="A212" s="0" t="s">
        <v>127</v>
      </c>
      <c r="B212" s="6" t="str">
        <f aca="false">IFERROR(heatmap_datos_globales!$I$159,"")</f>
        <v>-0.25</v>
      </c>
      <c r="C212" s="7" t="str">
        <f aca="false">IFERROR(heatmap_datos_globales!$H$159,"N/A")</f>
        <v>Satisfactorio</v>
      </c>
      <c r="D212" s="7" t="str">
        <f aca="false">IF(AND(A212=heatmap_datos_globales!$E$159,B212=heatmap_datos_globales!$I$159,C212=heatmap_datos_globales!$H$159,heatmap_datos_globales!$K$159="OK"),"OK","FALLA")</f>
        <v>OK</v>
      </c>
    </row>
    <row r="213" customFormat="false" ht="15" hidden="false" customHeight="false" outlineLevel="0" collapsed="false">
      <c r="A213" s="0" t="s">
        <v>128</v>
      </c>
      <c r="B213" s="6" t="str">
        <f aca="false">IFERROR(heatmap_datos_globales!$I$160,"")</f>
        <v>0.87</v>
      </c>
      <c r="C213" s="7" t="str">
        <f aca="false">IFERROR(heatmap_datos_globales!$H$160,"N/A")</f>
        <v>Satisfactorio</v>
      </c>
      <c r="D213" s="7" t="str">
        <f aca="false">IF(AND(A213=heatmap_datos_globales!$E$160,B213=heatmap_datos_globales!$I$160,C213=heatmap_datos_globales!$H$160,heatmap_datos_globales!$K$160="OK"),"OK","FALLA")</f>
        <v>OK</v>
      </c>
    </row>
    <row r="214" customFormat="false" ht="15" hidden="false" customHeight="false" outlineLevel="0" collapsed="false">
      <c r="A214" s="0" t="s">
        <v>129</v>
      </c>
      <c r="B214" s="6" t="str">
        <f aca="false">IFERROR(heatmap_datos_globales!$I$161,"")</f>
        <v>0.22</v>
      </c>
      <c r="C214" s="7" t="str">
        <f aca="false">IFERROR(heatmap_datos_globales!$H$161,"N/A")</f>
        <v>Satisfactorio</v>
      </c>
      <c r="D214" s="7" t="str">
        <f aca="false">IF(AND(A214=heatmap_datos_globales!$E$161,B214=heatmap_datos_globales!$I$161,C214=heatmap_datos_globales!$H$161,heatmap_datos_globales!$K$161="OK"),"OK","FALLA")</f>
        <v>OK</v>
      </c>
    </row>
    <row r="215" customFormat="false" ht="15" hidden="false" customHeight="false" outlineLevel="0" collapsed="false">
      <c r="A215" s="0" t="s">
        <v>130</v>
      </c>
      <c r="B215" s="6" t="str">
        <f aca="false">IFERROR(heatmap_datos_globales!$I$162,"")</f>
        <v>-0.34</v>
      </c>
      <c r="C215" s="7" t="str">
        <f aca="false">IFERROR(heatmap_datos_globales!$H$162,"N/A")</f>
        <v>Satisfactorio</v>
      </c>
      <c r="D215" s="7" t="str">
        <f aca="false">IF(AND(A215=heatmap_datos_globales!$E$162,B215=heatmap_datos_globales!$I$162,C215=heatmap_datos_globales!$H$162,heatmap_datos_globales!$K$162="OK"),"OK","FALLA")</f>
        <v>OK</v>
      </c>
    </row>
    <row r="216" customFormat="false" ht="15" hidden="false" customHeight="false" outlineLevel="0" collapsed="false">
      <c r="A216" s="0" t="s">
        <v>131</v>
      </c>
      <c r="B216" s="6" t="str">
        <f aca="false">IFERROR(heatmap_datos_globales!$I$163,"")</f>
        <v>-0.21</v>
      </c>
      <c r="C216" s="7" t="str">
        <f aca="false">IFERROR(heatmap_datos_globales!$H$163,"N/A")</f>
        <v>Satisfactorio</v>
      </c>
      <c r="D216" s="7" t="str">
        <f aca="false">IF(AND(A216=heatmap_datos_globales!$E$163,B216=heatmap_datos_globales!$I$163,C216=heatmap_datos_globales!$H$163,heatmap_datos_globales!$K$163="OK"),"OK","FALLA")</f>
        <v>OK</v>
      </c>
    </row>
    <row r="217" customFormat="false" ht="15" hidden="false" customHeight="false" outlineLevel="0" collapsed="false">
      <c r="A217" s="0" t="s">
        <v>132</v>
      </c>
      <c r="B217" s="6" t="str">
        <f aca="false">IFERROR(heatmap_datos_globales!$I$164,"")</f>
        <v>0.59</v>
      </c>
      <c r="C217" s="7" t="str">
        <f aca="false">IFERROR(heatmap_datos_globales!$H$164,"N/A")</f>
        <v>Satisfactorio</v>
      </c>
      <c r="D217" s="7" t="str">
        <f aca="false">IF(AND(A217=heatmap_datos_globales!$E$164,B217=heatmap_datos_globales!$I$164,C217=heatmap_datos_globales!$H$164,heatmap_datos_globales!$K$164="OK"),"OK","FALLA")</f>
        <v>OK</v>
      </c>
    </row>
    <row r="218" customFormat="false" ht="15" hidden="false" customHeight="false" outlineLevel="0" collapsed="false">
      <c r="A218" s="0" t="s">
        <v>133</v>
      </c>
      <c r="B218" s="6" t="str">
        <f aca="false">IFERROR(heatmap_datos_globales!$I$165,"")</f>
        <v>-0.22</v>
      </c>
      <c r="C218" s="7" t="str">
        <f aca="false">IFERROR(heatmap_datos_globales!$H$165,"N/A")</f>
        <v>Satisfactorio</v>
      </c>
      <c r="D218" s="7" t="str">
        <f aca="false">IF(AND(A218=heatmap_datos_globales!$E$165,B218=heatmap_datos_globales!$I$165,C218=heatmap_datos_globales!$H$165,heatmap_datos_globales!$K$165="OK"),"OK","FALLA")</f>
        <v>OK</v>
      </c>
    </row>
    <row r="219" customFormat="false" ht="15" hidden="false" customHeight="false" outlineLevel="0" collapsed="false">
      <c r="A219" s="0" t="s">
        <v>134</v>
      </c>
      <c r="B219" s="6" t="str">
        <f aca="false">IFERROR(heatmap_datos_globales!$I$166,"")</f>
        <v>-0.14</v>
      </c>
      <c r="C219" s="7" t="str">
        <f aca="false">IFERROR(heatmap_datos_globales!$H$166,"N/A")</f>
        <v>Satisfactorio</v>
      </c>
      <c r="D219" s="7" t="str">
        <f aca="false">IF(AND(A219=heatmap_datos_globales!$E$166,B219=heatmap_datos_globales!$I$166,C219=heatmap_datos_globales!$H$166,heatmap_datos_globales!$K$166="OK"),"OK","FALLA")</f>
        <v>OK</v>
      </c>
    </row>
    <row r="220" customFormat="false" ht="15" hidden="false" customHeight="false" outlineLevel="0" collapsed="false">
      <c r="A220" s="0" t="s">
        <v>135</v>
      </c>
      <c r="B220" s="6" t="str">
        <f aca="false">IFERROR(heatmap_datos_globales!$I$167,"")</f>
        <v>-0.04</v>
      </c>
      <c r="C220" s="7" t="str">
        <f aca="false">IFERROR(heatmap_datos_globales!$H$167,"N/A")</f>
        <v>Satisfactorio</v>
      </c>
      <c r="D220" s="7" t="str">
        <f aca="false">IF(AND(A220=heatmap_datos_globales!$E$167,B220=heatmap_datos_globales!$I$167,C220=heatmap_datos_globales!$H$167,heatmap_datos_globales!$K$167="OK"),"OK","FALLA")</f>
        <v>OK</v>
      </c>
    </row>
    <row r="221" customFormat="false" ht="15" hidden="false" customHeight="false" outlineLevel="0" collapsed="false">
      <c r="A221" s="0" t="s">
        <v>136</v>
      </c>
      <c r="B221" s="6" t="str">
        <f aca="false">IFERROR(heatmap_datos_globales!$I$168,"")</f>
        <v>-0.24</v>
      </c>
      <c r="C221" s="7" t="str">
        <f aca="false">IFERROR(heatmap_datos_globales!$H$168,"N/A")</f>
        <v>Satisfactorio</v>
      </c>
      <c r="D221" s="7" t="str">
        <f aca="false">IF(AND(A221=heatmap_datos_globales!$E$168,B221=heatmap_datos_globales!$I$168,C221=heatmap_datos_globales!$H$168,heatmap_datos_globales!$K$168="OK"),"OK","FALLA")</f>
        <v>OK</v>
      </c>
    </row>
    <row r="222" customFormat="false" ht="15" hidden="false" customHeight="false" outlineLevel="0" collapsed="false">
      <c r="A222" s="0" t="s">
        <v>137</v>
      </c>
      <c r="B222" s="6" t="str">
        <f aca="false">IFERROR(heatmap_datos_globales!$I$169,"")</f>
        <v>-0.06</v>
      </c>
      <c r="C222" s="7" t="str">
        <f aca="false">IFERROR(heatmap_datos_globales!$H$169,"N/A")</f>
        <v>Satisfactorio</v>
      </c>
      <c r="D222" s="7" t="str">
        <f aca="false">IF(AND(A222=heatmap_datos_globales!$E$169,B222=heatmap_datos_globales!$I$169,C222=heatmap_datos_globales!$H$169,heatmap_datos_globales!$K$169="OK"),"OK","FALLA")</f>
        <v>OK</v>
      </c>
    </row>
    <row r="225" customFormat="false" ht="17.35" hidden="false" customHeight="false" outlineLevel="0" collapsed="false">
      <c r="A225" s="1" t="s">
        <v>265</v>
      </c>
    </row>
    <row r="226" customFormat="false" ht="15" hidden="false" customHeight="false" outlineLevel="0" collapsed="false">
      <c r="A226" s="2" t="s">
        <v>119</v>
      </c>
      <c r="B226" s="2"/>
      <c r="C226" s="2"/>
      <c r="D226" s="2"/>
    </row>
    <row r="227" customFormat="false" ht="15" hidden="false" customHeight="false" outlineLevel="0" collapsed="false">
      <c r="A227" s="0" t="s">
        <v>126</v>
      </c>
      <c r="B227" s="6" t="str">
        <f aca="false">IFERROR(heatmap_datos_globales!$I$170,"")</f>
        <v>0.27</v>
      </c>
      <c r="C227" s="7" t="str">
        <f aca="false">IFERROR(heatmap_datos_globales!$H$170,"N/A")</f>
        <v>Satisfactorio</v>
      </c>
      <c r="D227" s="7" t="str">
        <f aca="false">IF(AND(A227=heatmap_datos_globales!$E$170,B227=heatmap_datos_globales!$I$170,C227=heatmap_datos_globales!$H$170,heatmap_datos_globales!$K$170="OK"),"OK","FALLA")</f>
        <v>OK</v>
      </c>
    </row>
    <row r="228" customFormat="false" ht="15" hidden="false" customHeight="false" outlineLevel="0" collapsed="false">
      <c r="A228" s="0" t="s">
        <v>127</v>
      </c>
      <c r="B228" s="6" t="str">
        <f aca="false">IFERROR(heatmap_datos_globales!$I$171,"")</f>
        <v>-0.26</v>
      </c>
      <c r="C228" s="7" t="str">
        <f aca="false">IFERROR(heatmap_datos_globales!$H$171,"N/A")</f>
        <v>Satisfactorio</v>
      </c>
      <c r="D228" s="7" t="str">
        <f aca="false">IF(AND(A228=heatmap_datos_globales!$E$171,B228=heatmap_datos_globales!$I$171,C228=heatmap_datos_globales!$H$171,heatmap_datos_globales!$K$171="OK"),"OK","FALLA")</f>
        <v>OK</v>
      </c>
    </row>
    <row r="229" customFormat="false" ht="15" hidden="false" customHeight="false" outlineLevel="0" collapsed="false">
      <c r="A229" s="0" t="s">
        <v>128</v>
      </c>
      <c r="B229" s="6" t="str">
        <f aca="false">IFERROR(heatmap_datos_globales!$I$172,"")</f>
        <v>0.89</v>
      </c>
      <c r="C229" s="7" t="str">
        <f aca="false">IFERROR(heatmap_datos_globales!$H$172,"N/A")</f>
        <v>Satisfactorio</v>
      </c>
      <c r="D229" s="7" t="str">
        <f aca="false">IF(AND(A229=heatmap_datos_globales!$E$172,B229=heatmap_datos_globales!$I$172,C229=heatmap_datos_globales!$H$172,heatmap_datos_globales!$K$172="OK"),"OK","FALLA")</f>
        <v>OK</v>
      </c>
    </row>
    <row r="230" customFormat="false" ht="15" hidden="false" customHeight="false" outlineLevel="0" collapsed="false">
      <c r="A230" s="0" t="s">
        <v>129</v>
      </c>
      <c r="B230" s="6" t="str">
        <f aca="false">IFERROR(heatmap_datos_globales!$I$173,"")</f>
        <v>0.23</v>
      </c>
      <c r="C230" s="7" t="str">
        <f aca="false">IFERROR(heatmap_datos_globales!$H$173,"N/A")</f>
        <v>Satisfactorio</v>
      </c>
      <c r="D230" s="7" t="str">
        <f aca="false">IF(AND(A230=heatmap_datos_globales!$E$173,B230=heatmap_datos_globales!$I$173,C230=heatmap_datos_globales!$H$173,heatmap_datos_globales!$K$173="OK"),"OK","FALLA")</f>
        <v>OK</v>
      </c>
    </row>
    <row r="231" customFormat="false" ht="15" hidden="false" customHeight="false" outlineLevel="0" collapsed="false">
      <c r="A231" s="0" t="s">
        <v>130</v>
      </c>
      <c r="B231" s="6" t="str">
        <f aca="false">IFERROR(heatmap_datos_globales!$I$174,"")</f>
        <v>-0.37</v>
      </c>
      <c r="C231" s="7" t="str">
        <f aca="false">IFERROR(heatmap_datos_globales!$H$174,"N/A")</f>
        <v>Satisfactorio</v>
      </c>
      <c r="D231" s="7" t="str">
        <f aca="false">IF(AND(A231=heatmap_datos_globales!$E$174,B231=heatmap_datos_globales!$I$174,C231=heatmap_datos_globales!$H$174,heatmap_datos_globales!$K$174="OK"),"OK","FALLA")</f>
        <v>OK</v>
      </c>
    </row>
    <row r="232" customFormat="false" ht="15" hidden="false" customHeight="false" outlineLevel="0" collapsed="false">
      <c r="A232" s="0" t="s">
        <v>131</v>
      </c>
      <c r="B232" s="6" t="str">
        <f aca="false">IFERROR(heatmap_datos_globales!$I$175,"")</f>
        <v>-0.23</v>
      </c>
      <c r="C232" s="7" t="str">
        <f aca="false">IFERROR(heatmap_datos_globales!$H$175,"N/A")</f>
        <v>Satisfactorio</v>
      </c>
      <c r="D232" s="7" t="str">
        <f aca="false">IF(AND(A232=heatmap_datos_globales!$E$175,B232=heatmap_datos_globales!$I$175,C232=heatmap_datos_globales!$H$175,heatmap_datos_globales!$K$175="OK"),"OK","FALLA")</f>
        <v>OK</v>
      </c>
    </row>
    <row r="233" customFormat="false" ht="15" hidden="false" customHeight="false" outlineLevel="0" collapsed="false">
      <c r="A233" s="0" t="s">
        <v>132</v>
      </c>
      <c r="B233" s="6" t="str">
        <f aca="false">IFERROR(heatmap_datos_globales!$I$176,"")</f>
        <v>0.61</v>
      </c>
      <c r="C233" s="7" t="str">
        <f aca="false">IFERROR(heatmap_datos_globales!$H$176,"N/A")</f>
        <v>Satisfactorio</v>
      </c>
      <c r="D233" s="7" t="str">
        <f aca="false">IF(AND(A233=heatmap_datos_globales!$E$176,B233=heatmap_datos_globales!$I$176,C233=heatmap_datos_globales!$H$176,heatmap_datos_globales!$K$176="OK"),"OK","FALLA")</f>
        <v>OK</v>
      </c>
    </row>
    <row r="234" customFormat="false" ht="15" hidden="false" customHeight="false" outlineLevel="0" collapsed="false">
      <c r="A234" s="0" t="s">
        <v>133</v>
      </c>
      <c r="B234" s="6" t="str">
        <f aca="false">IFERROR(heatmap_datos_globales!$I$177,"")</f>
        <v>-0.23</v>
      </c>
      <c r="C234" s="7" t="str">
        <f aca="false">IFERROR(heatmap_datos_globales!$H$177,"N/A")</f>
        <v>Satisfactorio</v>
      </c>
      <c r="D234" s="7" t="str">
        <f aca="false">IF(AND(A234=heatmap_datos_globales!$E$177,B234=heatmap_datos_globales!$I$177,C234=heatmap_datos_globales!$H$177,heatmap_datos_globales!$K$177="OK"),"OK","FALLA")</f>
        <v>OK</v>
      </c>
    </row>
    <row r="235" customFormat="false" ht="15" hidden="false" customHeight="false" outlineLevel="0" collapsed="false">
      <c r="A235" s="0" t="s">
        <v>134</v>
      </c>
      <c r="B235" s="6" t="str">
        <f aca="false">IFERROR(heatmap_datos_globales!$I$178,"")</f>
        <v>-0.14</v>
      </c>
      <c r="C235" s="7" t="str">
        <f aca="false">IFERROR(heatmap_datos_globales!$H$178,"N/A")</f>
        <v>Satisfactorio</v>
      </c>
      <c r="D235" s="7" t="str">
        <f aca="false">IF(AND(A235=heatmap_datos_globales!$E$178,B235=heatmap_datos_globales!$I$178,C235=heatmap_datos_globales!$H$178,heatmap_datos_globales!$K$178="OK"),"OK","FALLA")</f>
        <v>OK</v>
      </c>
    </row>
    <row r="236" customFormat="false" ht="15" hidden="false" customHeight="false" outlineLevel="0" collapsed="false">
      <c r="A236" s="0" t="s">
        <v>135</v>
      </c>
      <c r="B236" s="6" t="str">
        <f aca="false">IFERROR(heatmap_datos_globales!$I$179,"")</f>
        <v>-0.04</v>
      </c>
      <c r="C236" s="7" t="str">
        <f aca="false">IFERROR(heatmap_datos_globales!$H$179,"N/A")</f>
        <v>Satisfactorio</v>
      </c>
      <c r="D236" s="7" t="str">
        <f aca="false">IF(AND(A236=heatmap_datos_globales!$E$179,B236=heatmap_datos_globales!$I$179,C236=heatmap_datos_globales!$H$179,heatmap_datos_globales!$K$179="OK"),"OK","FALLA")</f>
        <v>OK</v>
      </c>
    </row>
    <row r="237" customFormat="false" ht="15" hidden="false" customHeight="false" outlineLevel="0" collapsed="false">
      <c r="A237" s="0" t="s">
        <v>136</v>
      </c>
      <c r="B237" s="6" t="str">
        <f aca="false">IFERROR(heatmap_datos_globales!$I$180,"")</f>
        <v>-0.24</v>
      </c>
      <c r="C237" s="7" t="str">
        <f aca="false">IFERROR(heatmap_datos_globales!$H$180,"N/A")</f>
        <v>Satisfactorio</v>
      </c>
      <c r="D237" s="7" t="str">
        <f aca="false">IF(AND(A237=heatmap_datos_globales!$E$180,B237=heatmap_datos_globales!$I$180,C237=heatmap_datos_globales!$H$180,heatmap_datos_globales!$K$180="OK"),"OK","FALLA")</f>
        <v>OK</v>
      </c>
    </row>
    <row r="238" customFormat="false" ht="15" hidden="false" customHeight="false" outlineLevel="0" collapsed="false">
      <c r="A238" s="0" t="s">
        <v>137</v>
      </c>
      <c r="B238" s="6" t="str">
        <f aca="false">IFERROR(heatmap_datos_globales!$I$181,"")</f>
        <v>-0.06</v>
      </c>
      <c r="C238" s="7" t="str">
        <f aca="false">IFERROR(heatmap_datos_globales!$H$181,"N/A")</f>
        <v>Satisfactorio</v>
      </c>
      <c r="D238" s="7" t="str">
        <f aca="false">IF(AND(A238=heatmap_datos_globales!$E$181,B238=heatmap_datos_globales!$I$181,C238=heatmap_datos_globales!$H$181,heatmap_datos_globales!$K$181="OK"),"OK","FALLA")</f>
        <v>OK</v>
      </c>
    </row>
    <row r="241" customFormat="false" ht="17.35" hidden="false" customHeight="false" outlineLevel="0" collapsed="false">
      <c r="A241" s="1" t="s">
        <v>266</v>
      </c>
    </row>
    <row r="242" customFormat="false" ht="15" hidden="false" customHeight="false" outlineLevel="0" collapsed="false">
      <c r="A242" s="2" t="s">
        <v>119</v>
      </c>
      <c r="B242" s="2"/>
      <c r="C242" s="2"/>
      <c r="D242" s="2"/>
    </row>
    <row r="243" customFormat="false" ht="15" hidden="false" customHeight="false" outlineLevel="0" collapsed="false">
      <c r="A243" s="0" t="s">
        <v>126</v>
      </c>
      <c r="B243" s="6" t="str">
        <f aca="false">IFERROR(heatmap_datos_globales!$I$182,"")</f>
        <v>0.13</v>
      </c>
      <c r="C243" s="7" t="str">
        <f aca="false">IFERROR(heatmap_datos_globales!$H$182,"N/A")</f>
        <v>Satisfactorio</v>
      </c>
      <c r="D243" s="7" t="str">
        <f aca="false">IF(AND(A243=heatmap_datos_globales!$E$182,B243=heatmap_datos_globales!$I$182,C243=heatmap_datos_globales!$H$182,heatmap_datos_globales!$K$182="OK"),"OK","FALLA")</f>
        <v>OK</v>
      </c>
    </row>
    <row r="244" customFormat="false" ht="15" hidden="false" customHeight="false" outlineLevel="0" collapsed="false">
      <c r="A244" s="0" t="s">
        <v>127</v>
      </c>
      <c r="B244" s="6" t="str">
        <f aca="false">IFERROR(heatmap_datos_globales!$I$183,"")</f>
        <v>-0.13</v>
      </c>
      <c r="C244" s="7" t="str">
        <f aca="false">IFERROR(heatmap_datos_globales!$H$183,"N/A")</f>
        <v>Satisfactorio</v>
      </c>
      <c r="D244" s="7" t="str">
        <f aca="false">IF(AND(A244=heatmap_datos_globales!$E$183,B244=heatmap_datos_globales!$I$183,C244=heatmap_datos_globales!$H$183,heatmap_datos_globales!$K$183="OK"),"OK","FALLA")</f>
        <v>OK</v>
      </c>
    </row>
    <row r="245" customFormat="false" ht="15" hidden="false" customHeight="false" outlineLevel="0" collapsed="false">
      <c r="A245" s="0" t="s">
        <v>128</v>
      </c>
      <c r="B245" s="6" t="str">
        <f aca="false">IFERROR(heatmap_datos_globales!$I$184,"")</f>
        <v>0.45</v>
      </c>
      <c r="C245" s="7" t="str">
        <f aca="false">IFERROR(heatmap_datos_globales!$H$184,"N/A")</f>
        <v>Satisfactorio</v>
      </c>
      <c r="D245" s="7" t="str">
        <f aca="false">IF(AND(A245=heatmap_datos_globales!$E$184,B245=heatmap_datos_globales!$I$184,C245=heatmap_datos_globales!$H$184,heatmap_datos_globales!$K$184="OK"),"OK","FALLA")</f>
        <v>OK</v>
      </c>
    </row>
    <row r="246" customFormat="false" ht="15" hidden="false" customHeight="false" outlineLevel="0" collapsed="false">
      <c r="A246" s="0" t="s">
        <v>129</v>
      </c>
      <c r="B246" s="6" t="str">
        <f aca="false">IFERROR(heatmap_datos_globales!$I$185,"")</f>
        <v>0.11</v>
      </c>
      <c r="C246" s="7" t="str">
        <f aca="false">IFERROR(heatmap_datos_globales!$H$185,"N/A")</f>
        <v>Satisfactorio</v>
      </c>
      <c r="D246" s="7" t="str">
        <f aca="false">IF(AND(A246=heatmap_datos_globales!$E$185,B246=heatmap_datos_globales!$I$185,C246=heatmap_datos_globales!$H$185,heatmap_datos_globales!$K$185="OK"),"OK","FALLA")</f>
        <v>OK</v>
      </c>
    </row>
    <row r="247" customFormat="false" ht="15" hidden="false" customHeight="false" outlineLevel="0" collapsed="false">
      <c r="A247" s="0" t="s">
        <v>130</v>
      </c>
      <c r="B247" s="6" t="str">
        <f aca="false">IFERROR(heatmap_datos_globales!$I$186,"")</f>
        <v>-0.18</v>
      </c>
      <c r="C247" s="7" t="str">
        <f aca="false">IFERROR(heatmap_datos_globales!$H$186,"N/A")</f>
        <v>Satisfactorio</v>
      </c>
      <c r="D247" s="7" t="str">
        <f aca="false">IF(AND(A247=heatmap_datos_globales!$E$186,B247=heatmap_datos_globales!$I$186,C247=heatmap_datos_globales!$H$186,heatmap_datos_globales!$K$186="OK"),"OK","FALLA")</f>
        <v>OK</v>
      </c>
    </row>
    <row r="248" customFormat="false" ht="15" hidden="false" customHeight="false" outlineLevel="0" collapsed="false">
      <c r="A248" s="0" t="s">
        <v>131</v>
      </c>
      <c r="B248" s="6" t="str">
        <f aca="false">IFERROR(heatmap_datos_globales!$I$187,"")</f>
        <v>-0.11</v>
      </c>
      <c r="C248" s="7" t="str">
        <f aca="false">IFERROR(heatmap_datos_globales!$H$187,"N/A")</f>
        <v>Satisfactorio</v>
      </c>
      <c r="D248" s="7" t="str">
        <f aca="false">IF(AND(A248=heatmap_datos_globales!$E$187,B248=heatmap_datos_globales!$I$187,C248=heatmap_datos_globales!$H$187,heatmap_datos_globales!$K$187="OK"),"OK","FALLA")</f>
        <v>OK</v>
      </c>
    </row>
    <row r="249" customFormat="false" ht="15" hidden="false" customHeight="false" outlineLevel="0" collapsed="false">
      <c r="A249" s="0" t="s">
        <v>132</v>
      </c>
      <c r="B249" s="6" t="str">
        <f aca="false">IFERROR(heatmap_datos_globales!$I$188,"")</f>
        <v>0.31</v>
      </c>
      <c r="C249" s="7" t="str">
        <f aca="false">IFERROR(heatmap_datos_globales!$H$188,"N/A")</f>
        <v>Satisfactorio</v>
      </c>
      <c r="D249" s="7" t="str">
        <f aca="false">IF(AND(A249=heatmap_datos_globales!$E$188,B249=heatmap_datos_globales!$I$188,C249=heatmap_datos_globales!$H$188,heatmap_datos_globales!$K$188="OK"),"OK","FALLA")</f>
        <v>OK</v>
      </c>
    </row>
    <row r="250" customFormat="false" ht="15" hidden="false" customHeight="false" outlineLevel="0" collapsed="false">
      <c r="A250" s="0" t="s">
        <v>133</v>
      </c>
      <c r="B250" s="6" t="str">
        <f aca="false">IFERROR(heatmap_datos_globales!$I$189,"")</f>
        <v>-0.12</v>
      </c>
      <c r="C250" s="7" t="str">
        <f aca="false">IFERROR(heatmap_datos_globales!$H$189,"N/A")</f>
        <v>Satisfactorio</v>
      </c>
      <c r="D250" s="7" t="str">
        <f aca="false">IF(AND(A250=heatmap_datos_globales!$E$189,B250=heatmap_datos_globales!$I$189,C250=heatmap_datos_globales!$H$189,heatmap_datos_globales!$K$189="OK"),"OK","FALLA")</f>
        <v>OK</v>
      </c>
    </row>
    <row r="251" customFormat="false" ht="15" hidden="false" customHeight="false" outlineLevel="0" collapsed="false">
      <c r="A251" s="0" t="s">
        <v>134</v>
      </c>
      <c r="B251" s="6" t="str">
        <f aca="false">IFERROR(heatmap_datos_globales!$I$190,"")</f>
        <v>-0.07</v>
      </c>
      <c r="C251" s="7" t="str">
        <f aca="false">IFERROR(heatmap_datos_globales!$H$190,"N/A")</f>
        <v>Satisfactorio</v>
      </c>
      <c r="D251" s="7" t="str">
        <f aca="false">IF(AND(A251=heatmap_datos_globales!$E$190,B251=heatmap_datos_globales!$I$190,C251=heatmap_datos_globales!$H$190,heatmap_datos_globales!$K$190="OK"),"OK","FALLA")</f>
        <v>OK</v>
      </c>
    </row>
    <row r="252" customFormat="false" ht="15" hidden="false" customHeight="false" outlineLevel="0" collapsed="false">
      <c r="A252" s="0" t="s">
        <v>135</v>
      </c>
      <c r="B252" s="6" t="str">
        <f aca="false">IFERROR(heatmap_datos_globales!$I$191,"")</f>
        <v>-0.02</v>
      </c>
      <c r="C252" s="7" t="str">
        <f aca="false">IFERROR(heatmap_datos_globales!$H$191,"N/A")</f>
        <v>Satisfactorio</v>
      </c>
      <c r="D252" s="7" t="str">
        <f aca="false">IF(AND(A252=heatmap_datos_globales!$E$191,B252=heatmap_datos_globales!$I$191,C252=heatmap_datos_globales!$H$191,heatmap_datos_globales!$K$191="OK"),"OK","FALLA")</f>
        <v>OK</v>
      </c>
    </row>
    <row r="253" customFormat="false" ht="15" hidden="false" customHeight="false" outlineLevel="0" collapsed="false">
      <c r="A253" s="0" t="s">
        <v>136</v>
      </c>
      <c r="B253" s="6" t="str">
        <f aca="false">IFERROR(heatmap_datos_globales!$I$192,"")</f>
        <v>-0.12</v>
      </c>
      <c r="C253" s="7" t="str">
        <f aca="false">IFERROR(heatmap_datos_globales!$H$192,"N/A")</f>
        <v>Satisfactorio</v>
      </c>
      <c r="D253" s="7" t="str">
        <f aca="false">IF(AND(A253=heatmap_datos_globales!$E$192,B253=heatmap_datos_globales!$I$192,C253=heatmap_datos_globales!$H$192,heatmap_datos_globales!$K$192="OK"),"OK","FALLA")</f>
        <v>OK</v>
      </c>
    </row>
    <row r="254" customFormat="false" ht="15" hidden="false" customHeight="false" outlineLevel="0" collapsed="false">
      <c r="A254" s="0" t="s">
        <v>137</v>
      </c>
      <c r="B254" s="6" t="str">
        <f aca="false">IFERROR(heatmap_datos_globales!$I$193,"")</f>
        <v>-0.03</v>
      </c>
      <c r="C254" s="7" t="str">
        <f aca="false">IFERROR(heatmap_datos_globales!$H$193,"N/A")</f>
        <v>Satisfactorio</v>
      </c>
      <c r="D254" s="7" t="str">
        <f aca="false">IF(AND(A254=heatmap_datos_globales!$E$193,B254=heatmap_datos_globales!$I$193,C254=heatmap_datos_globales!$H$193,heatmap_datos_globales!$K$193="OK"),"OK","FALLA")</f>
        <v>OK</v>
      </c>
    </row>
    <row r="257" customFormat="false" ht="17.35" hidden="false" customHeight="false" outlineLevel="0" collapsed="false">
      <c r="A257" s="1" t="s">
        <v>267</v>
      </c>
    </row>
    <row r="258" customFormat="false" ht="15" hidden="false" customHeight="false" outlineLevel="0" collapsed="false">
      <c r="A258" s="2" t="s">
        <v>119</v>
      </c>
      <c r="B258" s="2"/>
      <c r="C258" s="2"/>
      <c r="D258" s="2"/>
    </row>
    <row r="259" customFormat="false" ht="15" hidden="false" customHeight="false" outlineLevel="0" collapsed="false">
      <c r="A259" s="0" t="s">
        <v>126</v>
      </c>
      <c r="B259" s="6" t="str">
        <f aca="false">IFERROR(heatmap_datos_globales!$I$194,"")</f>
        <v>0.24</v>
      </c>
      <c r="C259" s="7" t="str">
        <f aca="false">IFERROR(heatmap_datos_globales!$H$194,"N/A")</f>
        <v>Satisfactorio</v>
      </c>
      <c r="D259" s="7" t="str">
        <f aca="false">IF(AND(A259=heatmap_datos_globales!$E$194,B259=heatmap_datos_globales!$I$194,C259=heatmap_datos_globales!$H$194,heatmap_datos_globales!$K$194="OK"),"OK","FALLA")</f>
        <v>OK</v>
      </c>
    </row>
    <row r="260" customFormat="false" ht="15" hidden="false" customHeight="false" outlineLevel="0" collapsed="false">
      <c r="A260" s="0" t="s">
        <v>127</v>
      </c>
      <c r="B260" s="6" t="str">
        <f aca="false">IFERROR(heatmap_datos_globales!$I$195,"")</f>
        <v>0.08</v>
      </c>
      <c r="C260" s="7" t="str">
        <f aca="false">IFERROR(heatmap_datos_globales!$H$195,"N/A")</f>
        <v>Satisfactorio</v>
      </c>
      <c r="D260" s="7" t="str">
        <f aca="false">IF(AND(A260=heatmap_datos_globales!$E$195,B260=heatmap_datos_globales!$I$195,C260=heatmap_datos_globales!$H$195,heatmap_datos_globales!$K$195="OK"),"OK","FALLA")</f>
        <v>OK</v>
      </c>
    </row>
    <row r="261" customFormat="false" ht="15" hidden="false" customHeight="false" outlineLevel="0" collapsed="false">
      <c r="A261" s="0" t="s">
        <v>128</v>
      </c>
      <c r="B261" s="6" t="str">
        <f aca="false">IFERROR(heatmap_datos_globales!$I$196,"")</f>
        <v>0.44</v>
      </c>
      <c r="C261" s="7" t="str">
        <f aca="false">IFERROR(heatmap_datos_globales!$H$196,"N/A")</f>
        <v>Satisfactorio</v>
      </c>
      <c r="D261" s="7" t="str">
        <f aca="false">IF(AND(A261=heatmap_datos_globales!$E$196,B261=heatmap_datos_globales!$I$196,C261=heatmap_datos_globales!$H$196,heatmap_datos_globales!$K$196="OK"),"OK","FALLA")</f>
        <v>OK</v>
      </c>
    </row>
    <row r="262" customFormat="false" ht="15" hidden="false" customHeight="false" outlineLevel="0" collapsed="false">
      <c r="A262" s="0" t="s">
        <v>129</v>
      </c>
      <c r="B262" s="6" t="str">
        <f aca="false">IFERROR(heatmap_datos_globales!$I$197,"")</f>
        <v>0.23</v>
      </c>
      <c r="C262" s="7" t="str">
        <f aca="false">IFERROR(heatmap_datos_globales!$H$197,"N/A")</f>
        <v>Satisfactorio</v>
      </c>
      <c r="D262" s="7" t="str">
        <f aca="false">IF(AND(A262=heatmap_datos_globales!$E$197,B262=heatmap_datos_globales!$I$197,C262=heatmap_datos_globales!$H$197,heatmap_datos_globales!$K$197="OK"),"OK","FALLA")</f>
        <v>OK</v>
      </c>
    </row>
    <row r="263" customFormat="false" ht="15" hidden="false" customHeight="false" outlineLevel="0" collapsed="false">
      <c r="A263" s="0" t="s">
        <v>130</v>
      </c>
      <c r="B263" s="6" t="str">
        <f aca="false">IFERROR(heatmap_datos_globales!$I$198,"")</f>
        <v>0.05</v>
      </c>
      <c r="C263" s="7" t="str">
        <f aca="false">IFERROR(heatmap_datos_globales!$H$198,"N/A")</f>
        <v>Satisfactorio</v>
      </c>
      <c r="D263" s="7" t="str">
        <f aca="false">IF(AND(A263=heatmap_datos_globales!$E$198,B263=heatmap_datos_globales!$I$198,C263=heatmap_datos_globales!$H$198,heatmap_datos_globales!$K$198="OK"),"OK","FALLA")</f>
        <v>OK</v>
      </c>
    </row>
    <row r="264" customFormat="false" ht="15" hidden="false" customHeight="false" outlineLevel="0" collapsed="false">
      <c r="A264" s="0" t="s">
        <v>131</v>
      </c>
      <c r="B264" s="6" t="str">
        <f aca="false">IFERROR(heatmap_datos_globales!$I$199,"")</f>
        <v>0.09</v>
      </c>
      <c r="C264" s="7" t="str">
        <f aca="false">IFERROR(heatmap_datos_globales!$H$199,"N/A")</f>
        <v>Satisfactorio</v>
      </c>
      <c r="D264" s="7" t="str">
        <f aca="false">IF(AND(A264=heatmap_datos_globales!$E$199,B264=heatmap_datos_globales!$I$199,C264=heatmap_datos_globales!$H$199,heatmap_datos_globales!$K$199="OK"),"OK","FALLA")</f>
        <v>OK</v>
      </c>
    </row>
    <row r="265" customFormat="false" ht="15" hidden="false" customHeight="false" outlineLevel="0" collapsed="false">
      <c r="A265" s="0" t="s">
        <v>132</v>
      </c>
      <c r="B265" s="6" t="str">
        <f aca="false">IFERROR(heatmap_datos_globales!$I$200,"")</f>
        <v>0.35</v>
      </c>
      <c r="C265" s="7" t="str">
        <f aca="false">IFERROR(heatmap_datos_globales!$H$200,"N/A")</f>
        <v>Satisfactorio</v>
      </c>
      <c r="D265" s="7" t="str">
        <f aca="false">IF(AND(A265=heatmap_datos_globales!$E$200,B265=heatmap_datos_globales!$I$200,C265=heatmap_datos_globales!$H$200,heatmap_datos_globales!$K$200="OK"),"OK","FALLA")</f>
        <v>OK</v>
      </c>
    </row>
    <row r="266" customFormat="false" ht="15" hidden="false" customHeight="false" outlineLevel="0" collapsed="false">
      <c r="A266" s="0" t="s">
        <v>133</v>
      </c>
      <c r="B266" s="6" t="str">
        <f aca="false">IFERROR(heatmap_datos_globales!$I$201,"")</f>
        <v>0.09</v>
      </c>
      <c r="C266" s="7" t="str">
        <f aca="false">IFERROR(heatmap_datos_globales!$H$201,"N/A")</f>
        <v>Satisfactorio</v>
      </c>
      <c r="D266" s="7" t="str">
        <f aca="false">IF(AND(A266=heatmap_datos_globales!$E$201,B266=heatmap_datos_globales!$I$201,C266=heatmap_datos_globales!$H$201,heatmap_datos_globales!$K$201="OK"),"OK","FALLA")</f>
        <v>OK</v>
      </c>
    </row>
    <row r="267" customFormat="false" ht="15" hidden="false" customHeight="false" outlineLevel="0" collapsed="false">
      <c r="A267" s="0" t="s">
        <v>134</v>
      </c>
      <c r="B267" s="6" t="str">
        <f aca="false">IFERROR(heatmap_datos_globales!$I$202,"")</f>
        <v>0.12</v>
      </c>
      <c r="C267" s="7" t="str">
        <f aca="false">IFERROR(heatmap_datos_globales!$H$202,"N/A")</f>
        <v>Satisfactorio</v>
      </c>
      <c r="D267" s="7" t="str">
        <f aca="false">IF(AND(A267=heatmap_datos_globales!$E$202,B267=heatmap_datos_globales!$I$202,C267=heatmap_datos_globales!$H$202,heatmap_datos_globales!$K$202="OK"),"OK","FALLA")</f>
        <v>OK</v>
      </c>
    </row>
    <row r="268" customFormat="false" ht="15" hidden="false" customHeight="false" outlineLevel="0" collapsed="false">
      <c r="A268" s="0" t="s">
        <v>135</v>
      </c>
      <c r="B268" s="6" t="str">
        <f aca="false">IFERROR(heatmap_datos_globales!$I$203,"")</f>
        <v>0.15</v>
      </c>
      <c r="C268" s="7" t="str">
        <f aca="false">IFERROR(heatmap_datos_globales!$H$203,"N/A")</f>
        <v>Satisfactorio</v>
      </c>
      <c r="D268" s="7" t="str">
        <f aca="false">IF(AND(A268=heatmap_datos_globales!$E$203,B268=heatmap_datos_globales!$I$203,C268=heatmap_datos_globales!$H$203,heatmap_datos_globales!$K$203="OK"),"OK","FALLA")</f>
        <v>OK</v>
      </c>
    </row>
    <row r="269" customFormat="false" ht="15" hidden="false" customHeight="false" outlineLevel="0" collapsed="false">
      <c r="A269" s="0" t="s">
        <v>136</v>
      </c>
      <c r="B269" s="6" t="str">
        <f aca="false">IFERROR(heatmap_datos_globales!$I$204,"")</f>
        <v>0.08</v>
      </c>
      <c r="C269" s="7" t="str">
        <f aca="false">IFERROR(heatmap_datos_globales!$H$204,"N/A")</f>
        <v>Satisfactorio</v>
      </c>
      <c r="D269" s="7" t="str">
        <f aca="false">IF(AND(A269=heatmap_datos_globales!$E$204,B269=heatmap_datos_globales!$I$204,C269=heatmap_datos_globales!$H$204,heatmap_datos_globales!$K$204="OK"),"OK","FALLA")</f>
        <v>OK</v>
      </c>
    </row>
    <row r="270" customFormat="false" ht="15" hidden="false" customHeight="false" outlineLevel="0" collapsed="false">
      <c r="A270" s="0" t="s">
        <v>137</v>
      </c>
      <c r="B270" s="6" t="str">
        <f aca="false">IFERROR(heatmap_datos_globales!$I$205,"")</f>
        <v>0.14</v>
      </c>
      <c r="C270" s="7" t="str">
        <f aca="false">IFERROR(heatmap_datos_globales!$H$205,"N/A")</f>
        <v>Satisfactorio</v>
      </c>
      <c r="D270" s="7" t="str">
        <f aca="false">IF(AND(A270=heatmap_datos_globales!$E$205,B270=heatmap_datos_globales!$I$205,C270=heatmap_datos_globales!$H$205,heatmap_datos_globales!$K$205="OK"),"OK","FALLA")</f>
        <v>OK</v>
      </c>
    </row>
    <row r="273" customFormat="false" ht="17.35" hidden="false" customHeight="false" outlineLevel="0" collapsed="false">
      <c r="A273" s="1" t="s">
        <v>268</v>
      </c>
    </row>
    <row r="274" customFormat="false" ht="15" hidden="false" customHeight="false" outlineLevel="0" collapsed="false">
      <c r="A274" s="2" t="s">
        <v>119</v>
      </c>
      <c r="B274" s="2"/>
      <c r="C274" s="2"/>
      <c r="D274" s="2"/>
    </row>
    <row r="275" customFormat="false" ht="15" hidden="false" customHeight="false" outlineLevel="0" collapsed="false">
      <c r="A275" s="0" t="s">
        <v>126</v>
      </c>
      <c r="B275" s="6" t="str">
        <f aca="false">IFERROR(heatmap_datos_globales!$I$206,"")</f>
        <v>0.22</v>
      </c>
      <c r="C275" s="7" t="str">
        <f aca="false">IFERROR(heatmap_datos_globales!$H$206,"N/A")</f>
        <v>Satisfactorio</v>
      </c>
      <c r="D275" s="7" t="str">
        <f aca="false">IF(AND(A275=heatmap_datos_globales!$E$206,B275=heatmap_datos_globales!$I$206,C275=heatmap_datos_globales!$H$206,heatmap_datos_globales!$K$206="OK"),"OK","FALLA")</f>
        <v>OK</v>
      </c>
    </row>
    <row r="276" customFormat="false" ht="15" hidden="false" customHeight="false" outlineLevel="0" collapsed="false">
      <c r="A276" s="0" t="s">
        <v>127</v>
      </c>
      <c r="B276" s="6" t="str">
        <f aca="false">IFERROR(heatmap_datos_globales!$I$207,"")</f>
        <v>0.07</v>
      </c>
      <c r="C276" s="7" t="str">
        <f aca="false">IFERROR(heatmap_datos_globales!$H$207,"N/A")</f>
        <v>Satisfactorio</v>
      </c>
      <c r="D276" s="7" t="str">
        <f aca="false">IF(AND(A276=heatmap_datos_globales!$E$207,B276=heatmap_datos_globales!$I$207,C276=heatmap_datos_globales!$H$207,heatmap_datos_globales!$K$207="OK"),"OK","FALLA")</f>
        <v>OK</v>
      </c>
    </row>
    <row r="277" customFormat="false" ht="15" hidden="false" customHeight="false" outlineLevel="0" collapsed="false">
      <c r="A277" s="0" t="s">
        <v>128</v>
      </c>
      <c r="B277" s="6" t="str">
        <f aca="false">IFERROR(heatmap_datos_globales!$I$208,"")</f>
        <v>0.39</v>
      </c>
      <c r="C277" s="7" t="str">
        <f aca="false">IFERROR(heatmap_datos_globales!$H$208,"N/A")</f>
        <v>Satisfactorio</v>
      </c>
      <c r="D277" s="7" t="str">
        <f aca="false">IF(AND(A277=heatmap_datos_globales!$E$208,B277=heatmap_datos_globales!$I$208,C277=heatmap_datos_globales!$H$208,heatmap_datos_globales!$K$208="OK"),"OK","FALLA")</f>
        <v>OK</v>
      </c>
    </row>
    <row r="278" customFormat="false" ht="15" hidden="false" customHeight="false" outlineLevel="0" collapsed="false">
      <c r="A278" s="0" t="s">
        <v>129</v>
      </c>
      <c r="B278" s="6" t="str">
        <f aca="false">IFERROR(heatmap_datos_globales!$I$209,"")</f>
        <v>0.21</v>
      </c>
      <c r="C278" s="7" t="str">
        <f aca="false">IFERROR(heatmap_datos_globales!$H$209,"N/A")</f>
        <v>Satisfactorio</v>
      </c>
      <c r="D278" s="7" t="str">
        <f aca="false">IF(AND(A278=heatmap_datos_globales!$E$209,B278=heatmap_datos_globales!$I$209,C278=heatmap_datos_globales!$H$209,heatmap_datos_globales!$K$209="OK"),"OK","FALLA")</f>
        <v>OK</v>
      </c>
    </row>
    <row r="279" customFormat="false" ht="15" hidden="false" customHeight="false" outlineLevel="0" collapsed="false">
      <c r="A279" s="0" t="s">
        <v>130</v>
      </c>
      <c r="B279" s="6" t="str">
        <f aca="false">IFERROR(heatmap_datos_globales!$I$210,"")</f>
        <v>0.05</v>
      </c>
      <c r="C279" s="7" t="str">
        <f aca="false">IFERROR(heatmap_datos_globales!$H$210,"N/A")</f>
        <v>Satisfactorio</v>
      </c>
      <c r="D279" s="7" t="str">
        <f aca="false">IF(AND(A279=heatmap_datos_globales!$E$210,B279=heatmap_datos_globales!$I$210,C279=heatmap_datos_globales!$H$210,heatmap_datos_globales!$K$210="OK"),"OK","FALLA")</f>
        <v>OK</v>
      </c>
    </row>
    <row r="280" customFormat="false" ht="15" hidden="false" customHeight="false" outlineLevel="0" collapsed="false">
      <c r="A280" s="0" t="s">
        <v>131</v>
      </c>
      <c r="B280" s="6" t="str">
        <f aca="false">IFERROR(heatmap_datos_globales!$I$211,"")</f>
        <v>0.08</v>
      </c>
      <c r="C280" s="7" t="str">
        <f aca="false">IFERROR(heatmap_datos_globales!$H$211,"N/A")</f>
        <v>Satisfactorio</v>
      </c>
      <c r="D280" s="7" t="str">
        <f aca="false">IF(AND(A280=heatmap_datos_globales!$E$211,B280=heatmap_datos_globales!$I$211,C280=heatmap_datos_globales!$H$211,heatmap_datos_globales!$K$211="OK"),"OK","FALLA")</f>
        <v>OK</v>
      </c>
    </row>
    <row r="281" customFormat="false" ht="15" hidden="false" customHeight="false" outlineLevel="0" collapsed="false">
      <c r="A281" s="0" t="s">
        <v>132</v>
      </c>
      <c r="B281" s="6" t="str">
        <f aca="false">IFERROR(heatmap_datos_globales!$I$212,"")</f>
        <v>0.31</v>
      </c>
      <c r="C281" s="7" t="str">
        <f aca="false">IFERROR(heatmap_datos_globales!$H$212,"N/A")</f>
        <v>Satisfactorio</v>
      </c>
      <c r="D281" s="7" t="str">
        <f aca="false">IF(AND(A281=heatmap_datos_globales!$E$212,B281=heatmap_datos_globales!$I$212,C281=heatmap_datos_globales!$H$212,heatmap_datos_globales!$K$212="OK"),"OK","FALLA")</f>
        <v>OK</v>
      </c>
    </row>
    <row r="282" customFormat="false" ht="15" hidden="false" customHeight="false" outlineLevel="0" collapsed="false">
      <c r="A282" s="0" t="s">
        <v>133</v>
      </c>
      <c r="B282" s="6" t="str">
        <f aca="false">IFERROR(heatmap_datos_globales!$I$213,"")</f>
        <v>0.08</v>
      </c>
      <c r="C282" s="7" t="str">
        <f aca="false">IFERROR(heatmap_datos_globales!$H$213,"N/A")</f>
        <v>Satisfactorio</v>
      </c>
      <c r="D282" s="7" t="str">
        <f aca="false">IF(AND(A282=heatmap_datos_globales!$E$213,B282=heatmap_datos_globales!$I$213,C282=heatmap_datos_globales!$H$213,heatmap_datos_globales!$K$213="OK"),"OK","FALLA")</f>
        <v>OK</v>
      </c>
    </row>
    <row r="283" customFormat="false" ht="15" hidden="false" customHeight="false" outlineLevel="0" collapsed="false">
      <c r="A283" s="0" t="s">
        <v>134</v>
      </c>
      <c r="B283" s="6" t="str">
        <f aca="false">IFERROR(heatmap_datos_globales!$I$214,"")</f>
        <v>0.11</v>
      </c>
      <c r="C283" s="7" t="str">
        <f aca="false">IFERROR(heatmap_datos_globales!$H$214,"N/A")</f>
        <v>Satisfactorio</v>
      </c>
      <c r="D283" s="7" t="str">
        <f aca="false">IF(AND(A283=heatmap_datos_globales!$E$214,B283=heatmap_datos_globales!$I$214,C283=heatmap_datos_globales!$H$214,heatmap_datos_globales!$K$214="OK"),"OK","FALLA")</f>
        <v>OK</v>
      </c>
    </row>
    <row r="284" customFormat="false" ht="15" hidden="false" customHeight="false" outlineLevel="0" collapsed="false">
      <c r="A284" s="0" t="s">
        <v>135</v>
      </c>
      <c r="B284" s="6" t="str">
        <f aca="false">IFERROR(heatmap_datos_globales!$I$215,"")</f>
        <v>0.13</v>
      </c>
      <c r="C284" s="7" t="str">
        <f aca="false">IFERROR(heatmap_datos_globales!$H$215,"N/A")</f>
        <v>Satisfactorio</v>
      </c>
      <c r="D284" s="7" t="str">
        <f aca="false">IF(AND(A284=heatmap_datos_globales!$E$215,B284=heatmap_datos_globales!$I$215,C284=heatmap_datos_globales!$H$215,heatmap_datos_globales!$K$215="OK"),"OK","FALLA")</f>
        <v>OK</v>
      </c>
    </row>
    <row r="285" customFormat="false" ht="15" hidden="false" customHeight="false" outlineLevel="0" collapsed="false">
      <c r="A285" s="0" t="s">
        <v>136</v>
      </c>
      <c r="B285" s="6" t="str">
        <f aca="false">IFERROR(heatmap_datos_globales!$I$216,"")</f>
        <v>0.08</v>
      </c>
      <c r="C285" s="7" t="str">
        <f aca="false">IFERROR(heatmap_datos_globales!$H$216,"N/A")</f>
        <v>Satisfactorio</v>
      </c>
      <c r="D285" s="7" t="str">
        <f aca="false">IF(AND(A285=heatmap_datos_globales!$E$216,B285=heatmap_datos_globales!$I$216,C285=heatmap_datos_globales!$H$216,heatmap_datos_globales!$K$216="OK"),"OK","FALLA")</f>
        <v>OK</v>
      </c>
    </row>
    <row r="286" customFormat="false" ht="15" hidden="false" customHeight="false" outlineLevel="0" collapsed="false">
      <c r="A286" s="0" t="s">
        <v>137</v>
      </c>
      <c r="B286" s="6" t="str">
        <f aca="false">IFERROR(heatmap_datos_globales!$I$217,"")</f>
        <v>0.13</v>
      </c>
      <c r="C286" s="7" t="str">
        <f aca="false">IFERROR(heatmap_datos_globales!$H$217,"N/A")</f>
        <v>Satisfactorio</v>
      </c>
      <c r="D286" s="7" t="str">
        <f aca="false">IF(AND(A286=heatmap_datos_globales!$E$217,B286=heatmap_datos_globales!$I$217,C286=heatmap_datos_globales!$H$217,heatmap_datos_globales!$K$217="OK"),"OK","FALLA")</f>
        <v>OK</v>
      </c>
    </row>
    <row r="289" customFormat="false" ht="17.35" hidden="false" customHeight="false" outlineLevel="0" collapsed="false">
      <c r="A289" s="1" t="s">
        <v>269</v>
      </c>
    </row>
    <row r="290" customFormat="false" ht="15" hidden="false" customHeight="false" outlineLevel="0" collapsed="false">
      <c r="A290" s="2" t="s">
        <v>119</v>
      </c>
      <c r="B290" s="2"/>
      <c r="C290" s="2"/>
      <c r="D290" s="2"/>
    </row>
    <row r="291" customFormat="false" ht="15" hidden="false" customHeight="false" outlineLevel="0" collapsed="false">
      <c r="A291" s="0" t="s">
        <v>126</v>
      </c>
      <c r="B291" s="6" t="str">
        <f aca="false">IFERROR(heatmap_datos_globales!$I$218,"")</f>
        <v>0.49</v>
      </c>
      <c r="C291" s="7" t="str">
        <f aca="false">IFERROR(heatmap_datos_globales!$H$218,"N/A")</f>
        <v>Satisfactorio</v>
      </c>
      <c r="D291" s="7" t="str">
        <f aca="false">IF(AND(A291=heatmap_datos_globales!$E$218,B291=heatmap_datos_globales!$I$218,C291=heatmap_datos_globales!$H$218,heatmap_datos_globales!$K$218="OK"),"OK","FALLA")</f>
        <v>OK</v>
      </c>
    </row>
    <row r="292" customFormat="false" ht="15" hidden="false" customHeight="false" outlineLevel="0" collapsed="false">
      <c r="A292" s="0" t="s">
        <v>127</v>
      </c>
      <c r="B292" s="6" t="str">
        <f aca="false">IFERROR(heatmap_datos_globales!$I$219,"")</f>
        <v>0.16</v>
      </c>
      <c r="C292" s="7" t="str">
        <f aca="false">IFERROR(heatmap_datos_globales!$H$219,"N/A")</f>
        <v>Satisfactorio</v>
      </c>
      <c r="D292" s="7" t="str">
        <f aca="false">IF(AND(A292=heatmap_datos_globales!$E$219,B292=heatmap_datos_globales!$I$219,C292=heatmap_datos_globales!$H$219,heatmap_datos_globales!$K$219="OK"),"OK","FALLA")</f>
        <v>OK</v>
      </c>
    </row>
    <row r="293" customFormat="false" ht="15" hidden="false" customHeight="false" outlineLevel="0" collapsed="false">
      <c r="A293" s="0" t="s">
        <v>128</v>
      </c>
      <c r="B293" s="6" t="str">
        <f aca="false">IFERROR(heatmap_datos_globales!$I$220,"")</f>
        <v>0.88</v>
      </c>
      <c r="C293" s="7" t="str">
        <f aca="false">IFERROR(heatmap_datos_globales!$H$220,"N/A")</f>
        <v>Satisfactorio</v>
      </c>
      <c r="D293" s="7" t="str">
        <f aca="false">IF(AND(A293=heatmap_datos_globales!$E$220,B293=heatmap_datos_globales!$I$220,C293=heatmap_datos_globales!$H$220,heatmap_datos_globales!$K$220="OK"),"OK","FALLA")</f>
        <v>OK</v>
      </c>
    </row>
    <row r="294" customFormat="false" ht="15" hidden="false" customHeight="false" outlineLevel="0" collapsed="false">
      <c r="A294" s="0" t="s">
        <v>129</v>
      </c>
      <c r="B294" s="6" t="str">
        <f aca="false">IFERROR(heatmap_datos_globales!$I$221,"")</f>
        <v>0.47</v>
      </c>
      <c r="C294" s="7" t="str">
        <f aca="false">IFERROR(heatmap_datos_globales!$H$221,"N/A")</f>
        <v>Satisfactorio</v>
      </c>
      <c r="D294" s="7" t="str">
        <f aca="false">IF(AND(A294=heatmap_datos_globales!$E$221,B294=heatmap_datos_globales!$I$221,C294=heatmap_datos_globales!$H$221,heatmap_datos_globales!$K$221="OK"),"OK","FALLA")</f>
        <v>OK</v>
      </c>
    </row>
    <row r="295" customFormat="false" ht="15" hidden="false" customHeight="false" outlineLevel="0" collapsed="false">
      <c r="A295" s="0" t="s">
        <v>130</v>
      </c>
      <c r="B295" s="6" t="str">
        <f aca="false">IFERROR(heatmap_datos_globales!$I$222,"")</f>
        <v>0.10</v>
      </c>
      <c r="C295" s="7" t="str">
        <f aca="false">IFERROR(heatmap_datos_globales!$H$222,"N/A")</f>
        <v>Satisfactorio</v>
      </c>
      <c r="D295" s="7" t="str">
        <f aca="false">IF(AND(A295=heatmap_datos_globales!$E$222,B295=heatmap_datos_globales!$I$222,C295=heatmap_datos_globales!$H$222,heatmap_datos_globales!$K$222="OK"),"OK","FALLA")</f>
        <v>OK</v>
      </c>
    </row>
    <row r="296" customFormat="false" ht="15" hidden="false" customHeight="false" outlineLevel="0" collapsed="false">
      <c r="A296" s="0" t="s">
        <v>131</v>
      </c>
      <c r="B296" s="6" t="str">
        <f aca="false">IFERROR(heatmap_datos_globales!$I$223,"")</f>
        <v>0.19</v>
      </c>
      <c r="C296" s="7" t="str">
        <f aca="false">IFERROR(heatmap_datos_globales!$H$223,"N/A")</f>
        <v>Satisfactorio</v>
      </c>
      <c r="D296" s="7" t="str">
        <f aca="false">IF(AND(A296=heatmap_datos_globales!$E$223,B296=heatmap_datos_globales!$I$223,C296=heatmap_datos_globales!$H$223,heatmap_datos_globales!$K$223="OK"),"OK","FALLA")</f>
        <v>OK</v>
      </c>
    </row>
    <row r="297" customFormat="false" ht="15" hidden="false" customHeight="false" outlineLevel="0" collapsed="false">
      <c r="A297" s="0" t="s">
        <v>132</v>
      </c>
      <c r="B297" s="6" t="str">
        <f aca="false">IFERROR(heatmap_datos_globales!$I$224,"")</f>
        <v>0.70</v>
      </c>
      <c r="C297" s="7" t="str">
        <f aca="false">IFERROR(heatmap_datos_globales!$H$224,"N/A")</f>
        <v>Satisfactorio</v>
      </c>
      <c r="D297" s="7" t="str">
        <f aca="false">IF(AND(A297=heatmap_datos_globales!$E$224,B297=heatmap_datos_globales!$I$224,C297=heatmap_datos_globales!$H$224,heatmap_datos_globales!$K$224="OK"),"OK","FALLA")</f>
        <v>OK</v>
      </c>
    </row>
    <row r="298" customFormat="false" ht="15" hidden="false" customHeight="false" outlineLevel="0" collapsed="false">
      <c r="A298" s="0" t="s">
        <v>133</v>
      </c>
      <c r="B298" s="6" t="str">
        <f aca="false">IFERROR(heatmap_datos_globales!$I$225,"")</f>
        <v>0.19</v>
      </c>
      <c r="C298" s="7" t="str">
        <f aca="false">IFERROR(heatmap_datos_globales!$H$225,"N/A")</f>
        <v>Satisfactorio</v>
      </c>
      <c r="D298" s="7" t="str">
        <f aca="false">IF(AND(A298=heatmap_datos_globales!$E$225,B298=heatmap_datos_globales!$I$225,C298=heatmap_datos_globales!$H$225,heatmap_datos_globales!$K$225="OK"),"OK","FALLA")</f>
        <v>OK</v>
      </c>
    </row>
    <row r="299" customFormat="false" ht="15" hidden="false" customHeight="false" outlineLevel="0" collapsed="false">
      <c r="A299" s="0" t="s">
        <v>134</v>
      </c>
      <c r="B299" s="6" t="str">
        <f aca="false">IFERROR(heatmap_datos_globales!$I$226,"")</f>
        <v>0.24</v>
      </c>
      <c r="C299" s="7" t="str">
        <f aca="false">IFERROR(heatmap_datos_globales!$H$226,"N/A")</f>
        <v>Satisfactorio</v>
      </c>
      <c r="D299" s="7" t="str">
        <f aca="false">IF(AND(A299=heatmap_datos_globales!$E$226,B299=heatmap_datos_globales!$I$226,C299=heatmap_datos_globales!$H$226,heatmap_datos_globales!$K$226="OK"),"OK","FALLA")</f>
        <v>OK</v>
      </c>
    </row>
    <row r="300" customFormat="false" ht="15" hidden="false" customHeight="false" outlineLevel="0" collapsed="false">
      <c r="A300" s="0" t="s">
        <v>135</v>
      </c>
      <c r="B300" s="6" t="str">
        <f aca="false">IFERROR(heatmap_datos_globales!$I$227,"")</f>
        <v>0.30</v>
      </c>
      <c r="C300" s="7" t="str">
        <f aca="false">IFERROR(heatmap_datos_globales!$H$227,"N/A")</f>
        <v>Satisfactorio</v>
      </c>
      <c r="D300" s="7" t="str">
        <f aca="false">IF(AND(A300=heatmap_datos_globales!$E$227,B300=heatmap_datos_globales!$I$227,C300=heatmap_datos_globales!$H$227,heatmap_datos_globales!$K$227="OK"),"OK","FALLA")</f>
        <v>OK</v>
      </c>
    </row>
    <row r="301" customFormat="false" ht="15" hidden="false" customHeight="false" outlineLevel="0" collapsed="false">
      <c r="A301" s="0" t="s">
        <v>136</v>
      </c>
      <c r="B301" s="6" t="str">
        <f aca="false">IFERROR(heatmap_datos_globales!$I$228,"")</f>
        <v>0.17</v>
      </c>
      <c r="C301" s="7" t="str">
        <f aca="false">IFERROR(heatmap_datos_globales!$H$228,"N/A")</f>
        <v>Satisfactorio</v>
      </c>
      <c r="D301" s="7" t="str">
        <f aca="false">IF(AND(A301=heatmap_datos_globales!$E$228,B301=heatmap_datos_globales!$I$228,C301=heatmap_datos_globales!$H$228,heatmap_datos_globales!$K$228="OK"),"OK","FALLA")</f>
        <v>OK</v>
      </c>
    </row>
    <row r="302" customFormat="false" ht="15" hidden="false" customHeight="false" outlineLevel="0" collapsed="false">
      <c r="A302" s="0" t="s">
        <v>137</v>
      </c>
      <c r="B302" s="6" t="str">
        <f aca="false">IFERROR(heatmap_datos_globales!$I$229,"")</f>
        <v>0.29</v>
      </c>
      <c r="C302" s="7" t="str">
        <f aca="false">IFERROR(heatmap_datos_globales!$H$229,"N/A")</f>
        <v>Satisfactorio</v>
      </c>
      <c r="D302" s="7" t="str">
        <f aca="false">IF(AND(A302=heatmap_datos_globales!$E$229,B302=heatmap_datos_globales!$I$229,C302=heatmap_datos_globales!$H$229,heatmap_datos_globales!$K$229="OK"),"OK","FALLA")</f>
        <v>OK</v>
      </c>
    </row>
    <row r="305" customFormat="false" ht="17.35" hidden="false" customHeight="false" outlineLevel="0" collapsed="false">
      <c r="A305" s="1" t="s">
        <v>270</v>
      </c>
    </row>
    <row r="306" customFormat="false" ht="15" hidden="false" customHeight="false" outlineLevel="0" collapsed="false">
      <c r="A306" s="2" t="s">
        <v>119</v>
      </c>
      <c r="B306" s="2"/>
      <c r="C306" s="2"/>
      <c r="D306" s="2"/>
    </row>
    <row r="307" customFormat="false" ht="15" hidden="false" customHeight="false" outlineLevel="0" collapsed="false">
      <c r="A307" s="0" t="s">
        <v>126</v>
      </c>
      <c r="B307" s="6" t="str">
        <f aca="false">IFERROR(heatmap_datos_globales!$I$230,"")</f>
        <v>0.25</v>
      </c>
      <c r="C307" s="7" t="str">
        <f aca="false">IFERROR(heatmap_datos_globales!$H$230,"N/A")</f>
        <v>Satisfactorio</v>
      </c>
      <c r="D307" s="7" t="str">
        <f aca="false">IF(AND(A307=heatmap_datos_globales!$E$230,B307=heatmap_datos_globales!$I$230,C307=heatmap_datos_globales!$H$230,heatmap_datos_globales!$K$230="OK"),"OK","FALLA")</f>
        <v>OK</v>
      </c>
    </row>
    <row r="308" customFormat="false" ht="15" hidden="false" customHeight="false" outlineLevel="0" collapsed="false">
      <c r="A308" s="0" t="s">
        <v>127</v>
      </c>
      <c r="B308" s="6" t="str">
        <f aca="false">IFERROR(heatmap_datos_globales!$I$231,"")</f>
        <v>0.08</v>
      </c>
      <c r="C308" s="7" t="str">
        <f aca="false">IFERROR(heatmap_datos_globales!$H$231,"N/A")</f>
        <v>Satisfactorio</v>
      </c>
      <c r="D308" s="7" t="str">
        <f aca="false">IF(AND(A308=heatmap_datos_globales!$E$231,B308=heatmap_datos_globales!$I$231,C308=heatmap_datos_globales!$H$231,heatmap_datos_globales!$K$231="OK"),"OK","FALLA")</f>
        <v>OK</v>
      </c>
    </row>
    <row r="309" customFormat="false" ht="15" hidden="false" customHeight="false" outlineLevel="0" collapsed="false">
      <c r="A309" s="0" t="s">
        <v>128</v>
      </c>
      <c r="B309" s="6" t="str">
        <f aca="false">IFERROR(heatmap_datos_globales!$I$232,"")</f>
        <v>0.44</v>
      </c>
      <c r="C309" s="7" t="str">
        <f aca="false">IFERROR(heatmap_datos_globales!$H$232,"N/A")</f>
        <v>Satisfactorio</v>
      </c>
      <c r="D309" s="7" t="str">
        <f aca="false">IF(AND(A309=heatmap_datos_globales!$E$232,B309=heatmap_datos_globales!$I$232,C309=heatmap_datos_globales!$H$232,heatmap_datos_globales!$K$232="OK"),"OK","FALLA")</f>
        <v>OK</v>
      </c>
    </row>
    <row r="310" customFormat="false" ht="15" hidden="false" customHeight="false" outlineLevel="0" collapsed="false">
      <c r="A310" s="0" t="s">
        <v>129</v>
      </c>
      <c r="B310" s="6" t="str">
        <f aca="false">IFERROR(heatmap_datos_globales!$I$233,"")</f>
        <v>0.23</v>
      </c>
      <c r="C310" s="7" t="str">
        <f aca="false">IFERROR(heatmap_datos_globales!$H$233,"N/A")</f>
        <v>Satisfactorio</v>
      </c>
      <c r="D310" s="7" t="str">
        <f aca="false">IF(AND(A310=heatmap_datos_globales!$E$233,B310=heatmap_datos_globales!$I$233,C310=heatmap_datos_globales!$H$233,heatmap_datos_globales!$K$233="OK"),"OK","FALLA")</f>
        <v>OK</v>
      </c>
    </row>
    <row r="311" customFormat="false" ht="15" hidden="false" customHeight="false" outlineLevel="0" collapsed="false">
      <c r="A311" s="0" t="s">
        <v>130</v>
      </c>
      <c r="B311" s="6" t="str">
        <f aca="false">IFERROR(heatmap_datos_globales!$I$234,"")</f>
        <v>0.05</v>
      </c>
      <c r="C311" s="7" t="str">
        <f aca="false">IFERROR(heatmap_datos_globales!$H$234,"N/A")</f>
        <v>Satisfactorio</v>
      </c>
      <c r="D311" s="7" t="str">
        <f aca="false">IF(AND(A311=heatmap_datos_globales!$E$234,B311=heatmap_datos_globales!$I$234,C311=heatmap_datos_globales!$H$234,heatmap_datos_globales!$K$234="OK"),"OK","FALLA")</f>
        <v>OK</v>
      </c>
    </row>
    <row r="312" customFormat="false" ht="15" hidden="false" customHeight="false" outlineLevel="0" collapsed="false">
      <c r="A312" s="0" t="s">
        <v>131</v>
      </c>
      <c r="B312" s="6" t="str">
        <f aca="false">IFERROR(heatmap_datos_globales!$I$235,"")</f>
        <v>0.10</v>
      </c>
      <c r="C312" s="7" t="str">
        <f aca="false">IFERROR(heatmap_datos_globales!$H$235,"N/A")</f>
        <v>Satisfactorio</v>
      </c>
      <c r="D312" s="7" t="str">
        <f aca="false">IF(AND(A312=heatmap_datos_globales!$E$235,B312=heatmap_datos_globales!$I$235,C312=heatmap_datos_globales!$H$235,heatmap_datos_globales!$K$235="OK"),"OK","FALLA")</f>
        <v>OK</v>
      </c>
    </row>
    <row r="313" customFormat="false" ht="15" hidden="false" customHeight="false" outlineLevel="0" collapsed="false">
      <c r="A313" s="0" t="s">
        <v>132</v>
      </c>
      <c r="B313" s="6" t="str">
        <f aca="false">IFERROR(heatmap_datos_globales!$I$236,"")</f>
        <v>0.35</v>
      </c>
      <c r="C313" s="7" t="str">
        <f aca="false">IFERROR(heatmap_datos_globales!$H$236,"N/A")</f>
        <v>Satisfactorio</v>
      </c>
      <c r="D313" s="7" t="str">
        <f aca="false">IF(AND(A313=heatmap_datos_globales!$E$236,B313=heatmap_datos_globales!$I$236,C313=heatmap_datos_globales!$H$236,heatmap_datos_globales!$K$236="OK"),"OK","FALLA")</f>
        <v>OK</v>
      </c>
    </row>
    <row r="314" customFormat="false" ht="15" hidden="false" customHeight="false" outlineLevel="0" collapsed="false">
      <c r="A314" s="0" t="s">
        <v>133</v>
      </c>
      <c r="B314" s="6" t="str">
        <f aca="false">IFERROR(heatmap_datos_globales!$I$237,"")</f>
        <v>0.09</v>
      </c>
      <c r="C314" s="7" t="str">
        <f aca="false">IFERROR(heatmap_datos_globales!$H$237,"N/A")</f>
        <v>Satisfactorio</v>
      </c>
      <c r="D314" s="7" t="str">
        <f aca="false">IF(AND(A314=heatmap_datos_globales!$E$237,B314=heatmap_datos_globales!$I$237,C314=heatmap_datos_globales!$H$237,heatmap_datos_globales!$K$237="OK"),"OK","FALLA")</f>
        <v>OK</v>
      </c>
    </row>
    <row r="315" customFormat="false" ht="15" hidden="false" customHeight="false" outlineLevel="0" collapsed="false">
      <c r="A315" s="0" t="s">
        <v>134</v>
      </c>
      <c r="B315" s="6" t="str">
        <f aca="false">IFERROR(heatmap_datos_globales!$I$238,"")</f>
        <v>0.12</v>
      </c>
      <c r="C315" s="7" t="str">
        <f aca="false">IFERROR(heatmap_datos_globales!$H$238,"N/A")</f>
        <v>Satisfactorio</v>
      </c>
      <c r="D315" s="7" t="str">
        <f aca="false">IF(AND(A315=heatmap_datos_globales!$E$238,B315=heatmap_datos_globales!$I$238,C315=heatmap_datos_globales!$H$238,heatmap_datos_globales!$K$238="OK"),"OK","FALLA")</f>
        <v>OK</v>
      </c>
    </row>
    <row r="316" customFormat="false" ht="15" hidden="false" customHeight="false" outlineLevel="0" collapsed="false">
      <c r="A316" s="0" t="s">
        <v>135</v>
      </c>
      <c r="B316" s="6" t="str">
        <f aca="false">IFERROR(heatmap_datos_globales!$I$239,"")</f>
        <v>0.15</v>
      </c>
      <c r="C316" s="7" t="str">
        <f aca="false">IFERROR(heatmap_datos_globales!$H$239,"N/A")</f>
        <v>Satisfactorio</v>
      </c>
      <c r="D316" s="7" t="str">
        <f aca="false">IF(AND(A316=heatmap_datos_globales!$E$239,B316=heatmap_datos_globales!$I$239,C316=heatmap_datos_globales!$H$239,heatmap_datos_globales!$K$239="OK"),"OK","FALLA")</f>
        <v>OK</v>
      </c>
    </row>
    <row r="317" customFormat="false" ht="15" hidden="false" customHeight="false" outlineLevel="0" collapsed="false">
      <c r="A317" s="0" t="s">
        <v>136</v>
      </c>
      <c r="B317" s="6" t="str">
        <f aca="false">IFERROR(heatmap_datos_globales!$I$240,"")</f>
        <v>0.08</v>
      </c>
      <c r="C317" s="7" t="str">
        <f aca="false">IFERROR(heatmap_datos_globales!$H$240,"N/A")</f>
        <v>Satisfactorio</v>
      </c>
      <c r="D317" s="7" t="str">
        <f aca="false">IF(AND(A317=heatmap_datos_globales!$E$240,B317=heatmap_datos_globales!$I$240,C317=heatmap_datos_globales!$H$240,heatmap_datos_globales!$K$240="OK"),"OK","FALLA")</f>
        <v>OK</v>
      </c>
    </row>
    <row r="318" customFormat="false" ht="15" hidden="false" customHeight="false" outlineLevel="0" collapsed="false">
      <c r="A318" s="0" t="s">
        <v>137</v>
      </c>
      <c r="B318" s="6" t="str">
        <f aca="false">IFERROR(heatmap_datos_globales!$I$241,"")</f>
        <v>0.14</v>
      </c>
      <c r="C318" s="7" t="str">
        <f aca="false">IFERROR(heatmap_datos_globales!$H$241,"N/A")</f>
        <v>Satisfactorio</v>
      </c>
      <c r="D318" s="7" t="str">
        <f aca="false">IF(AND(A318=heatmap_datos_globales!$E$241,B318=heatmap_datos_globales!$I$241,C318=heatmap_datos_globales!$H$241,heatmap_datos_globales!$K$241="OK"),"OK","FALLA")</f>
        <v>OK</v>
      </c>
    </row>
  </sheetData>
  <conditionalFormatting sqref="D307:D318">
    <cfRule type="expression" priority="2" aboveAverage="0" equalAverage="0" bottom="0" percent="0" rank="0" text="" dxfId="0">
      <formula>D307="FALLA"</formula>
    </cfRule>
    <cfRule type="expression" priority="3" aboveAverage="0" equalAverage="0" bottom="0" percent="0" rank="0" text="" dxfId="1">
      <formula>D307="OK"</formula>
    </cfRule>
  </conditionalFormatting>
  <conditionalFormatting sqref="D291:D302">
    <cfRule type="expression" priority="4" aboveAverage="0" equalAverage="0" bottom="0" percent="0" rank="0" text="" dxfId="0">
      <formula>D291="FALLA"</formula>
    </cfRule>
    <cfRule type="expression" priority="5" aboveAverage="0" equalAverage="0" bottom="0" percent="0" rank="0" text="" dxfId="1">
      <formula>D291="OK"</formula>
    </cfRule>
  </conditionalFormatting>
  <conditionalFormatting sqref="D275:D286">
    <cfRule type="expression" priority="6" aboveAverage="0" equalAverage="0" bottom="0" percent="0" rank="0" text="" dxfId="0">
      <formula>D275="FALLA"</formula>
    </cfRule>
    <cfRule type="expression" priority="7" aboveAverage="0" equalAverage="0" bottom="0" percent="0" rank="0" text="" dxfId="1">
      <formula>D275="OK"</formula>
    </cfRule>
  </conditionalFormatting>
  <conditionalFormatting sqref="D259:D270">
    <cfRule type="expression" priority="8" aboveAverage="0" equalAverage="0" bottom="0" percent="0" rank="0" text="" dxfId="0">
      <formula>D259="FALLA"</formula>
    </cfRule>
    <cfRule type="expression" priority="9" aboveAverage="0" equalAverage="0" bottom="0" percent="0" rank="0" text="" dxfId="1">
      <formula>D259="OK"</formula>
    </cfRule>
  </conditionalFormatting>
  <conditionalFormatting sqref="D243:D254">
    <cfRule type="expression" priority="10" aboveAverage="0" equalAverage="0" bottom="0" percent="0" rank="0" text="" dxfId="0">
      <formula>D243="FALLA"</formula>
    </cfRule>
    <cfRule type="expression" priority="11" aboveAverage="0" equalAverage="0" bottom="0" percent="0" rank="0" text="" dxfId="1">
      <formula>D243="OK"</formula>
    </cfRule>
  </conditionalFormatting>
  <conditionalFormatting sqref="D227:D238">
    <cfRule type="expression" priority="12" aboveAverage="0" equalAverage="0" bottom="0" percent="0" rank="0" text="" dxfId="0">
      <formula>D227="FALLA"</formula>
    </cfRule>
    <cfRule type="expression" priority="13" aboveAverage="0" equalAverage="0" bottom="0" percent="0" rank="0" text="" dxfId="1">
      <formula>D227="OK"</formula>
    </cfRule>
  </conditionalFormatting>
  <conditionalFormatting sqref="D211:D222">
    <cfRule type="expression" priority="14" aboveAverage="0" equalAverage="0" bottom="0" percent="0" rank="0" text="" dxfId="0">
      <formula>D211="FALLA"</formula>
    </cfRule>
    <cfRule type="expression" priority="15" aboveAverage="0" equalAverage="0" bottom="0" percent="0" rank="0" text="" dxfId="1">
      <formula>D211="OK"</formula>
    </cfRule>
  </conditionalFormatting>
  <conditionalFormatting sqref="D195:D206">
    <cfRule type="expression" priority="16" aboveAverage="0" equalAverage="0" bottom="0" percent="0" rank="0" text="" dxfId="0">
      <formula>D195="FALLA"</formula>
    </cfRule>
    <cfRule type="expression" priority="17" aboveAverage="0" equalAverage="0" bottom="0" percent="0" rank="0" text="" dxfId="1">
      <formula>D195="OK"</formula>
    </cfRule>
  </conditionalFormatting>
  <conditionalFormatting sqref="D179:D190">
    <cfRule type="expression" priority="18" aboveAverage="0" equalAverage="0" bottom="0" percent="0" rank="0" text="" dxfId="0">
      <formula>D179="FALLA"</formula>
    </cfRule>
    <cfRule type="expression" priority="19" aboveAverage="0" equalAverage="0" bottom="0" percent="0" rank="0" text="" dxfId="1">
      <formula>D179="OK"</formula>
    </cfRule>
  </conditionalFormatting>
  <conditionalFormatting sqref="D163:D174">
    <cfRule type="expression" priority="20" aboveAverage="0" equalAverage="0" bottom="0" percent="0" rank="0" text="" dxfId="0">
      <formula>D163="FALLA"</formula>
    </cfRule>
    <cfRule type="expression" priority="21" aboveAverage="0" equalAverage="0" bottom="0" percent="0" rank="0" text="" dxfId="1">
      <formula>D163="OK"</formula>
    </cfRule>
  </conditionalFormatting>
  <conditionalFormatting sqref="D147:D158">
    <cfRule type="expression" priority="22" aboveAverage="0" equalAverage="0" bottom="0" percent="0" rank="0" text="" dxfId="0">
      <formula>D147="FALLA"</formula>
    </cfRule>
    <cfRule type="expression" priority="23" aboveAverage="0" equalAverage="0" bottom="0" percent="0" rank="0" text="" dxfId="1">
      <formula>D147="OK"</formula>
    </cfRule>
  </conditionalFormatting>
  <conditionalFormatting sqref="D131:D142">
    <cfRule type="expression" priority="24" aboveAverage="0" equalAverage="0" bottom="0" percent="0" rank="0" text="" dxfId="0">
      <formula>D131="FALLA"</formula>
    </cfRule>
    <cfRule type="expression" priority="25" aboveAverage="0" equalAverage="0" bottom="0" percent="0" rank="0" text="" dxfId="1">
      <formula>D131="OK"</formula>
    </cfRule>
  </conditionalFormatting>
  <conditionalFormatting sqref="D115:D126">
    <cfRule type="expression" priority="26" aboveAverage="0" equalAverage="0" bottom="0" percent="0" rank="0" text="" dxfId="0">
      <formula>D115="FALLA"</formula>
    </cfRule>
    <cfRule type="expression" priority="27" aboveAverage="0" equalAverage="0" bottom="0" percent="0" rank="0" text="" dxfId="1">
      <formula>D115="OK"</formula>
    </cfRule>
  </conditionalFormatting>
  <conditionalFormatting sqref="D99:D110">
    <cfRule type="expression" priority="28" aboveAverage="0" equalAverage="0" bottom="0" percent="0" rank="0" text="" dxfId="0">
      <formula>D99="FALLA"</formula>
    </cfRule>
    <cfRule type="expression" priority="29" aboveAverage="0" equalAverage="0" bottom="0" percent="0" rank="0" text="" dxfId="1">
      <formula>D99="OK"</formula>
    </cfRule>
  </conditionalFormatting>
  <conditionalFormatting sqref="D83:D94">
    <cfRule type="expression" priority="30" aboveAverage="0" equalAverage="0" bottom="0" percent="0" rank="0" text="" dxfId="0">
      <formula>D83="FALLA"</formula>
    </cfRule>
    <cfRule type="expression" priority="31" aboveAverage="0" equalAverage="0" bottom="0" percent="0" rank="0" text="" dxfId="1">
      <formula>D83="OK"</formula>
    </cfRule>
  </conditionalFormatting>
  <conditionalFormatting sqref="D67:D78">
    <cfRule type="expression" priority="32" aboveAverage="0" equalAverage="0" bottom="0" percent="0" rank="0" text="" dxfId="0">
      <formula>D67="FALLA"</formula>
    </cfRule>
    <cfRule type="expression" priority="33" aboveAverage="0" equalAverage="0" bottom="0" percent="0" rank="0" text="" dxfId="1">
      <formula>D67="OK"</formula>
    </cfRule>
  </conditionalFormatting>
  <conditionalFormatting sqref="D51:D62">
    <cfRule type="expression" priority="34" aboveAverage="0" equalAverage="0" bottom="0" percent="0" rank="0" text="" dxfId="0">
      <formula>D51="FALLA"</formula>
    </cfRule>
    <cfRule type="expression" priority="35" aboveAverage="0" equalAverage="0" bottom="0" percent="0" rank="0" text="" dxfId="1">
      <formula>D51="OK"</formula>
    </cfRule>
  </conditionalFormatting>
  <conditionalFormatting sqref="D35:D46">
    <cfRule type="expression" priority="36" aboveAverage="0" equalAverage="0" bottom="0" percent="0" rank="0" text="" dxfId="0">
      <formula>D35="FALLA"</formula>
    </cfRule>
    <cfRule type="expression" priority="37" aboveAverage="0" equalAverage="0" bottom="0" percent="0" rank="0" text="" dxfId="1">
      <formula>D35="OK"</formula>
    </cfRule>
  </conditionalFormatting>
  <conditionalFormatting sqref="D19:D30">
    <cfRule type="expression" priority="38" aboveAverage="0" equalAverage="0" bottom="0" percent="0" rank="0" text="" dxfId="0">
      <formula>D19="FALLA"</formula>
    </cfRule>
    <cfRule type="expression" priority="39" aboveAverage="0" equalAverage="0" bottom="0" percent="0" rank="0" text="" dxfId="1">
      <formula>D19="OK"</formula>
    </cfRule>
  </conditionalFormatting>
  <conditionalFormatting sqref="D3:D14">
    <cfRule type="expression" priority="40" aboveAverage="0" equalAverage="0" bottom="0" percent="0" rank="0" text="" dxfId="0">
      <formula>D3="FALLA"</formula>
    </cfRule>
    <cfRule type="expression" priority="41" aboveAverage="0" equalAverage="0" bottom="0" percent="0" rank="0" text="" dxfId="1">
      <formula>D3="OK"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9.71"/>
    <col collapsed="false" customWidth="true" hidden="false" outlineLevel="0" max="3" min="3" style="0" width="5.71"/>
    <col collapsed="false" customWidth="true" hidden="false" outlineLevel="0" max="4" min="4" style="0" width="12.71"/>
    <col collapsed="false" customWidth="true" hidden="false" outlineLevel="0" max="5" min="5" style="0" width="22.71"/>
    <col collapsed="false" customWidth="true" hidden="false" outlineLevel="0" max="6" min="6" style="0" width="34.71"/>
    <col collapsed="false" customWidth="true" hidden="false" outlineLevel="0" max="7" min="7" style="0" width="28.71"/>
    <col collapsed="false" customWidth="true" hidden="false" outlineLevel="0" max="8" min="8" style="0" width="23.71"/>
    <col collapsed="false" customWidth="true" hidden="false" outlineLevel="0" max="9" min="9" style="0" width="14.71"/>
    <col collapsed="false" customWidth="true" hidden="false" outlineLevel="0" max="10" min="10" style="0" width="18.71"/>
    <col collapsed="false" customWidth="true" hidden="false" outlineLevel="0" max="11" min="11" style="0" width="16.72"/>
    <col collapsed="false" customWidth="true" hidden="false" outlineLevel="0" max="13" min="12" style="0" width="17.71"/>
    <col collapsed="false" customWidth="true" hidden="false" outlineLevel="0" max="14" min="14" style="0" width="16.72"/>
    <col collapsed="false" customWidth="true" hidden="false" outlineLevel="0" max="15" min="15" style="0" width="17.71"/>
    <col collapsed="false" customWidth="true" hidden="false" outlineLevel="0" max="17" min="16" style="0" width="16.72"/>
    <col collapsed="false" customWidth="true" hidden="false" outlineLevel="0" max="18" min="18" style="0" width="14.71"/>
    <col collapsed="false" customWidth="true" hidden="false" outlineLevel="0" max="19" min="19" style="0" width="32.71"/>
    <col collapsed="false" customWidth="true" hidden="false" outlineLevel="0" max="20" min="20" style="0" width="14.71"/>
    <col collapsed="false" customWidth="true" hidden="false" outlineLevel="0" max="21" min="21" style="0" width="16.72"/>
    <col collapsed="false" customWidth="true" hidden="false" outlineLevel="0" max="22" min="22" style="0" width="19.71"/>
    <col collapsed="false" customWidth="true" hidden="false" outlineLevel="0" max="23" min="23" style="0" width="18.71"/>
    <col collapsed="false" customWidth="true" hidden="false" outlineLevel="0" max="24" min="24" style="0" width="16.72"/>
    <col collapsed="false" customWidth="true" hidden="false" outlineLevel="0" max="25" min="25" style="0" width="19.71"/>
    <col collapsed="false" customWidth="true" hidden="false" outlineLevel="0" max="26" min="26" style="0" width="18.71"/>
    <col collapsed="false" customWidth="true" hidden="false" outlineLevel="0" max="27" min="27" style="0" width="19.71"/>
    <col collapsed="false" customWidth="true" hidden="false" outlineLevel="0" max="28" min="28" style="0" width="15.71"/>
    <col collapsed="false" customWidth="true" hidden="false" outlineLevel="0" max="29" min="29" style="0" width="19.71"/>
    <col collapsed="false" customWidth="true" hidden="false" outlineLevel="0" max="30" min="30" style="0" width="13.71"/>
    <col collapsed="false" customWidth="true" hidden="false" outlineLevel="0" max="31" min="31" style="0" width="7.71"/>
    <col collapsed="false" customWidth="true" hidden="false" outlineLevel="0" max="32" min="32" style="0" width="3.71"/>
    <col collapsed="false" customWidth="true" hidden="false" outlineLevel="0" max="33" min="33" style="0" width="13.71"/>
    <col collapsed="false" customWidth="true" hidden="false" outlineLevel="0" max="34" min="34" style="0" width="12.71"/>
    <col collapsed="false" customWidth="true" hidden="false" outlineLevel="0" max="35" min="35" style="0" width="16.72"/>
  </cols>
  <sheetData>
    <row r="1" customFormat="false" ht="15" hidden="false" customHeight="false" outlineLevel="0" collapsed="false">
      <c r="A1" s="2" t="s">
        <v>271</v>
      </c>
      <c r="B1" s="2" t="s">
        <v>120</v>
      </c>
      <c r="C1" s="2" t="s">
        <v>272</v>
      </c>
      <c r="D1" s="2" t="s">
        <v>121</v>
      </c>
      <c r="E1" s="2" t="s">
        <v>273</v>
      </c>
      <c r="F1" s="2" t="s">
        <v>64</v>
      </c>
      <c r="G1" s="2" t="s">
        <v>25</v>
      </c>
      <c r="H1" s="2" t="s">
        <v>65</v>
      </c>
      <c r="I1" s="2" t="s">
        <v>180</v>
      </c>
      <c r="J1" s="2" t="s">
        <v>181</v>
      </c>
      <c r="K1" s="2" t="s">
        <v>34</v>
      </c>
      <c r="L1" s="2" t="s">
        <v>182</v>
      </c>
      <c r="M1" s="2" t="s">
        <v>183</v>
      </c>
      <c r="N1" s="2" t="s">
        <v>184</v>
      </c>
      <c r="O1" s="2" t="s">
        <v>185</v>
      </c>
      <c r="P1" s="2" t="s">
        <v>186</v>
      </c>
      <c r="Q1" s="2" t="s">
        <v>187</v>
      </c>
      <c r="R1" s="2" t="s">
        <v>188</v>
      </c>
      <c r="S1" s="2" t="s">
        <v>1</v>
      </c>
      <c r="T1" s="2" t="s">
        <v>119</v>
      </c>
      <c r="U1" s="2" t="s">
        <v>221</v>
      </c>
      <c r="V1" s="2" t="s">
        <v>222</v>
      </c>
      <c r="W1" s="2" t="s">
        <v>223</v>
      </c>
      <c r="X1" s="2" t="s">
        <v>224</v>
      </c>
      <c r="Y1" s="2" t="s">
        <v>225</v>
      </c>
      <c r="Z1" s="2" t="s">
        <v>226</v>
      </c>
      <c r="AA1" s="2" t="s">
        <v>227</v>
      </c>
      <c r="AB1" s="2" t="s">
        <v>228</v>
      </c>
      <c r="AC1" s="2" t="s">
        <v>229</v>
      </c>
      <c r="AD1" s="2" t="s">
        <v>230</v>
      </c>
      <c r="AE1" s="2" t="s">
        <v>231</v>
      </c>
      <c r="AF1" s="2" t="s">
        <v>232</v>
      </c>
      <c r="AG1" s="2" t="s">
        <v>233</v>
      </c>
      <c r="AH1" s="2" t="s">
        <v>234</v>
      </c>
      <c r="AI1" s="2" t="s">
        <v>235</v>
      </c>
    </row>
    <row r="2" customFormat="false" ht="15" hidden="false" customHeight="false" outlineLevel="0" collapsed="false">
      <c r="A2" s="8" t="s">
        <v>4</v>
      </c>
      <c r="B2" s="8" t="s">
        <v>8</v>
      </c>
      <c r="C2" s="8" t="n">
        <v>13</v>
      </c>
      <c r="D2" s="8" t="s">
        <v>6</v>
      </c>
      <c r="E2" s="8" t="s">
        <v>274</v>
      </c>
      <c r="F2" s="8" t="s">
        <v>70</v>
      </c>
      <c r="G2" s="8" t="s">
        <v>71</v>
      </c>
      <c r="H2" s="8" t="s">
        <v>72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customFormat="false" ht="15" hidden="false" customHeight="false" outlineLevel="0" collapsed="false">
      <c r="A3" s="8" t="s">
        <v>4</v>
      </c>
      <c r="B3" s="8" t="s">
        <v>8</v>
      </c>
      <c r="C3" s="8" t="n">
        <v>13</v>
      </c>
      <c r="D3" s="8" t="s">
        <v>6</v>
      </c>
      <c r="E3" s="8" t="s">
        <v>274</v>
      </c>
      <c r="F3" s="8" t="s">
        <v>70</v>
      </c>
      <c r="G3" s="8" t="s">
        <v>73</v>
      </c>
      <c r="H3" s="8" t="s">
        <v>74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customFormat="false" ht="15" hidden="false" customHeight="false" outlineLevel="0" collapsed="false">
      <c r="A4" s="8" t="s">
        <v>4</v>
      </c>
      <c r="B4" s="8" t="s">
        <v>8</v>
      </c>
      <c r="C4" s="8" t="n">
        <v>13</v>
      </c>
      <c r="D4" s="8" t="s">
        <v>6</v>
      </c>
      <c r="E4" s="8" t="s">
        <v>274</v>
      </c>
      <c r="F4" s="8" t="s">
        <v>70</v>
      </c>
      <c r="G4" s="8" t="s">
        <v>75</v>
      </c>
      <c r="H4" s="8" t="s">
        <v>76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customFormat="false" ht="15" hidden="false" customHeight="false" outlineLevel="0" collapsed="false">
      <c r="A5" s="8" t="s">
        <v>4</v>
      </c>
      <c r="B5" s="8" t="s">
        <v>8</v>
      </c>
      <c r="C5" s="8" t="n">
        <v>13</v>
      </c>
      <c r="D5" s="8" t="s">
        <v>6</v>
      </c>
      <c r="E5" s="8" t="s">
        <v>274</v>
      </c>
      <c r="F5" s="8" t="s">
        <v>70</v>
      </c>
      <c r="G5" s="8" t="s">
        <v>77</v>
      </c>
      <c r="H5" s="8" t="s">
        <v>78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customFormat="false" ht="15" hidden="false" customHeight="false" outlineLevel="0" collapsed="false">
      <c r="A6" s="8" t="s">
        <v>4</v>
      </c>
      <c r="B6" s="8" t="s">
        <v>8</v>
      </c>
      <c r="C6" s="8" t="n">
        <v>13</v>
      </c>
      <c r="D6" s="8" t="s">
        <v>6</v>
      </c>
      <c r="E6" s="8" t="s">
        <v>274</v>
      </c>
      <c r="F6" s="8" t="s">
        <v>70</v>
      </c>
      <c r="G6" s="8" t="s">
        <v>79</v>
      </c>
      <c r="H6" s="8" t="s">
        <v>78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customFormat="false" ht="15" hidden="false" customHeight="false" outlineLevel="0" collapsed="false">
      <c r="A7" s="8" t="s">
        <v>4</v>
      </c>
      <c r="B7" s="8" t="s">
        <v>8</v>
      </c>
      <c r="C7" s="8" t="n">
        <v>13</v>
      </c>
      <c r="D7" s="8" t="s">
        <v>6</v>
      </c>
      <c r="E7" s="8" t="s">
        <v>274</v>
      </c>
      <c r="F7" s="8" t="s">
        <v>70</v>
      </c>
      <c r="G7" s="8" t="s">
        <v>48</v>
      </c>
      <c r="H7" s="8" t="s">
        <v>80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customFormat="false" ht="15" hidden="false" customHeight="false" outlineLevel="0" collapsed="false">
      <c r="A8" s="8" t="s">
        <v>4</v>
      </c>
      <c r="B8" s="8" t="s">
        <v>8</v>
      </c>
      <c r="C8" s="8" t="n">
        <v>13</v>
      </c>
      <c r="D8" s="8" t="s">
        <v>6</v>
      </c>
      <c r="E8" s="8" t="s">
        <v>274</v>
      </c>
      <c r="F8" s="8" t="s">
        <v>81</v>
      </c>
      <c r="G8" s="8" t="s">
        <v>71</v>
      </c>
      <c r="H8" s="8" t="s">
        <v>72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customFormat="false" ht="15" hidden="false" customHeight="false" outlineLevel="0" collapsed="false">
      <c r="A9" s="8" t="s">
        <v>4</v>
      </c>
      <c r="B9" s="8" t="s">
        <v>8</v>
      </c>
      <c r="C9" s="8" t="n">
        <v>13</v>
      </c>
      <c r="D9" s="8" t="s">
        <v>6</v>
      </c>
      <c r="E9" s="8" t="s">
        <v>274</v>
      </c>
      <c r="F9" s="8" t="s">
        <v>81</v>
      </c>
      <c r="G9" s="8" t="s">
        <v>73</v>
      </c>
      <c r="H9" s="8" t="s">
        <v>74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customFormat="false" ht="15" hidden="false" customHeight="false" outlineLevel="0" collapsed="false">
      <c r="A10" s="8" t="s">
        <v>4</v>
      </c>
      <c r="B10" s="8" t="s">
        <v>8</v>
      </c>
      <c r="C10" s="8" t="n">
        <v>13</v>
      </c>
      <c r="D10" s="8" t="s">
        <v>6</v>
      </c>
      <c r="E10" s="8" t="s">
        <v>274</v>
      </c>
      <c r="F10" s="8" t="s">
        <v>81</v>
      </c>
      <c r="G10" s="8" t="s">
        <v>75</v>
      </c>
      <c r="H10" s="8" t="s">
        <v>76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customFormat="false" ht="15" hidden="false" customHeight="false" outlineLevel="0" collapsed="false">
      <c r="A11" s="8" t="s">
        <v>4</v>
      </c>
      <c r="B11" s="8" t="s">
        <v>8</v>
      </c>
      <c r="C11" s="8" t="n">
        <v>13</v>
      </c>
      <c r="D11" s="8" t="s">
        <v>6</v>
      </c>
      <c r="E11" s="8" t="s">
        <v>274</v>
      </c>
      <c r="F11" s="8" t="s">
        <v>81</v>
      </c>
      <c r="G11" s="8" t="s">
        <v>82</v>
      </c>
      <c r="H11" s="8" t="s">
        <v>83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customFormat="false" ht="15" hidden="false" customHeight="false" outlineLevel="0" collapsed="false">
      <c r="A12" s="8" t="s">
        <v>4</v>
      </c>
      <c r="B12" s="8" t="s">
        <v>8</v>
      </c>
      <c r="C12" s="8" t="n">
        <v>13</v>
      </c>
      <c r="D12" s="8" t="s">
        <v>6</v>
      </c>
      <c r="E12" s="8" t="s">
        <v>274</v>
      </c>
      <c r="F12" s="8" t="s">
        <v>81</v>
      </c>
      <c r="G12" s="8" t="s">
        <v>84</v>
      </c>
      <c r="H12" s="8" t="s">
        <v>85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customFormat="false" ht="15" hidden="false" customHeight="false" outlineLevel="0" collapsed="false">
      <c r="A13" s="8" t="s">
        <v>4</v>
      </c>
      <c r="B13" s="8" t="s">
        <v>8</v>
      </c>
      <c r="C13" s="8" t="n">
        <v>13</v>
      </c>
      <c r="D13" s="8" t="s">
        <v>6</v>
      </c>
      <c r="E13" s="8" t="s">
        <v>274</v>
      </c>
      <c r="F13" s="8" t="s">
        <v>81</v>
      </c>
      <c r="G13" s="8" t="s">
        <v>86</v>
      </c>
      <c r="H13" s="8" t="s">
        <v>87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customFormat="false" ht="15" hidden="false" customHeight="false" outlineLevel="0" collapsed="false">
      <c r="A14" s="8" t="s">
        <v>4</v>
      </c>
      <c r="B14" s="8" t="s">
        <v>8</v>
      </c>
      <c r="C14" s="8" t="n">
        <v>13</v>
      </c>
      <c r="D14" s="8" t="s">
        <v>6</v>
      </c>
      <c r="E14" s="8" t="s">
        <v>274</v>
      </c>
      <c r="F14" s="8" t="s">
        <v>81</v>
      </c>
      <c r="G14" s="8" t="s">
        <v>88</v>
      </c>
      <c r="H14" s="8" t="s">
        <v>89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customFormat="false" ht="15" hidden="false" customHeight="false" outlineLevel="0" collapsed="false">
      <c r="A15" s="8" t="s">
        <v>4</v>
      </c>
      <c r="B15" s="8" t="s">
        <v>8</v>
      </c>
      <c r="C15" s="8" t="n">
        <v>13</v>
      </c>
      <c r="D15" s="8" t="s">
        <v>6</v>
      </c>
      <c r="E15" s="8" t="s">
        <v>274</v>
      </c>
      <c r="F15" s="8" t="s">
        <v>81</v>
      </c>
      <c r="G15" s="8" t="s">
        <v>90</v>
      </c>
      <c r="H15" s="8" t="s">
        <v>91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customFormat="false" ht="15" hidden="false" customHeight="false" outlineLevel="0" collapsed="false">
      <c r="A16" s="8" t="s">
        <v>4</v>
      </c>
      <c r="B16" s="8" t="s">
        <v>8</v>
      </c>
      <c r="C16" s="8" t="n">
        <v>13</v>
      </c>
      <c r="D16" s="8" t="s">
        <v>6</v>
      </c>
      <c r="E16" s="8" t="s">
        <v>275</v>
      </c>
      <c r="F16" s="8" t="s">
        <v>70</v>
      </c>
      <c r="G16" s="8" t="s">
        <v>71</v>
      </c>
      <c r="H16" s="8" t="s">
        <v>72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customFormat="false" ht="15" hidden="false" customHeight="false" outlineLevel="0" collapsed="false">
      <c r="A17" s="8" t="s">
        <v>4</v>
      </c>
      <c r="B17" s="8" t="s">
        <v>8</v>
      </c>
      <c r="C17" s="8" t="n">
        <v>13</v>
      </c>
      <c r="D17" s="8" t="s">
        <v>6</v>
      </c>
      <c r="E17" s="8" t="s">
        <v>275</v>
      </c>
      <c r="F17" s="8" t="s">
        <v>70</v>
      </c>
      <c r="G17" s="8" t="s">
        <v>73</v>
      </c>
      <c r="H17" s="8" t="s">
        <v>74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customFormat="false" ht="15" hidden="false" customHeight="false" outlineLevel="0" collapsed="false">
      <c r="A18" s="8" t="s">
        <v>4</v>
      </c>
      <c r="B18" s="8" t="s">
        <v>8</v>
      </c>
      <c r="C18" s="8" t="n">
        <v>13</v>
      </c>
      <c r="D18" s="8" t="s">
        <v>6</v>
      </c>
      <c r="E18" s="8" t="s">
        <v>275</v>
      </c>
      <c r="F18" s="8" t="s">
        <v>70</v>
      </c>
      <c r="G18" s="8" t="s">
        <v>75</v>
      </c>
      <c r="H18" s="8" t="s">
        <v>76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customFormat="false" ht="15" hidden="false" customHeight="false" outlineLevel="0" collapsed="false">
      <c r="A19" s="8" t="s">
        <v>4</v>
      </c>
      <c r="B19" s="8" t="s">
        <v>8</v>
      </c>
      <c r="C19" s="8" t="n">
        <v>13</v>
      </c>
      <c r="D19" s="8" t="s">
        <v>6</v>
      </c>
      <c r="E19" s="8" t="s">
        <v>275</v>
      </c>
      <c r="F19" s="8" t="s">
        <v>70</v>
      </c>
      <c r="G19" s="8" t="s">
        <v>77</v>
      </c>
      <c r="H19" s="8" t="s">
        <v>78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customFormat="false" ht="15" hidden="false" customHeight="false" outlineLevel="0" collapsed="false">
      <c r="A20" s="8" t="s">
        <v>4</v>
      </c>
      <c r="B20" s="8" t="s">
        <v>8</v>
      </c>
      <c r="C20" s="8" t="n">
        <v>13</v>
      </c>
      <c r="D20" s="8" t="s">
        <v>6</v>
      </c>
      <c r="E20" s="8" t="s">
        <v>275</v>
      </c>
      <c r="F20" s="8" t="s">
        <v>70</v>
      </c>
      <c r="G20" s="8" t="s">
        <v>79</v>
      </c>
      <c r="H20" s="8" t="s">
        <v>78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customFormat="false" ht="15" hidden="false" customHeight="false" outlineLevel="0" collapsed="false">
      <c r="A21" s="8" t="s">
        <v>4</v>
      </c>
      <c r="B21" s="8" t="s">
        <v>8</v>
      </c>
      <c r="C21" s="8" t="n">
        <v>13</v>
      </c>
      <c r="D21" s="8" t="s">
        <v>6</v>
      </c>
      <c r="E21" s="8" t="s">
        <v>275</v>
      </c>
      <c r="F21" s="8" t="s">
        <v>70</v>
      </c>
      <c r="G21" s="8" t="s">
        <v>48</v>
      </c>
      <c r="H21" s="8" t="s">
        <v>80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customFormat="false" ht="15" hidden="false" customHeight="false" outlineLevel="0" collapsed="false">
      <c r="A22" s="8" t="s">
        <v>4</v>
      </c>
      <c r="B22" s="8" t="s">
        <v>8</v>
      </c>
      <c r="C22" s="8" t="n">
        <v>13</v>
      </c>
      <c r="D22" s="8" t="s">
        <v>6</v>
      </c>
      <c r="E22" s="8" t="s">
        <v>275</v>
      </c>
      <c r="F22" s="8" t="s">
        <v>81</v>
      </c>
      <c r="G22" s="8" t="s">
        <v>71</v>
      </c>
      <c r="H22" s="8" t="s">
        <v>72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customFormat="false" ht="15" hidden="false" customHeight="false" outlineLevel="0" collapsed="false">
      <c r="A23" s="8" t="s">
        <v>4</v>
      </c>
      <c r="B23" s="8" t="s">
        <v>8</v>
      </c>
      <c r="C23" s="8" t="n">
        <v>13</v>
      </c>
      <c r="D23" s="8" t="s">
        <v>6</v>
      </c>
      <c r="E23" s="8" t="s">
        <v>275</v>
      </c>
      <c r="F23" s="8" t="s">
        <v>81</v>
      </c>
      <c r="G23" s="8" t="s">
        <v>73</v>
      </c>
      <c r="H23" s="8" t="s">
        <v>74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customFormat="false" ht="15" hidden="false" customHeight="false" outlineLevel="0" collapsed="false">
      <c r="A24" s="8" t="s">
        <v>4</v>
      </c>
      <c r="B24" s="8" t="s">
        <v>8</v>
      </c>
      <c r="C24" s="8" t="n">
        <v>13</v>
      </c>
      <c r="D24" s="8" t="s">
        <v>6</v>
      </c>
      <c r="E24" s="8" t="s">
        <v>275</v>
      </c>
      <c r="F24" s="8" t="s">
        <v>81</v>
      </c>
      <c r="G24" s="8" t="s">
        <v>75</v>
      </c>
      <c r="H24" s="8" t="s">
        <v>76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customFormat="false" ht="15" hidden="false" customHeight="false" outlineLevel="0" collapsed="false">
      <c r="A25" s="8" t="s">
        <v>4</v>
      </c>
      <c r="B25" s="8" t="s">
        <v>8</v>
      </c>
      <c r="C25" s="8" t="n">
        <v>13</v>
      </c>
      <c r="D25" s="8" t="s">
        <v>6</v>
      </c>
      <c r="E25" s="8" t="s">
        <v>275</v>
      </c>
      <c r="F25" s="8" t="s">
        <v>81</v>
      </c>
      <c r="G25" s="8" t="s">
        <v>82</v>
      </c>
      <c r="H25" s="8" t="s">
        <v>83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customFormat="false" ht="15" hidden="false" customHeight="false" outlineLevel="0" collapsed="false">
      <c r="A26" s="8" t="s">
        <v>4</v>
      </c>
      <c r="B26" s="8" t="s">
        <v>8</v>
      </c>
      <c r="C26" s="8" t="n">
        <v>13</v>
      </c>
      <c r="D26" s="8" t="s">
        <v>6</v>
      </c>
      <c r="E26" s="8" t="s">
        <v>275</v>
      </c>
      <c r="F26" s="8" t="s">
        <v>81</v>
      </c>
      <c r="G26" s="8" t="s">
        <v>84</v>
      </c>
      <c r="H26" s="8" t="s">
        <v>85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customFormat="false" ht="15" hidden="false" customHeight="false" outlineLevel="0" collapsed="false">
      <c r="A27" s="8" t="s">
        <v>4</v>
      </c>
      <c r="B27" s="8" t="s">
        <v>8</v>
      </c>
      <c r="C27" s="8" t="n">
        <v>13</v>
      </c>
      <c r="D27" s="8" t="s">
        <v>6</v>
      </c>
      <c r="E27" s="8" t="s">
        <v>275</v>
      </c>
      <c r="F27" s="8" t="s">
        <v>81</v>
      </c>
      <c r="G27" s="8" t="s">
        <v>86</v>
      </c>
      <c r="H27" s="8" t="s">
        <v>87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customFormat="false" ht="15" hidden="false" customHeight="false" outlineLevel="0" collapsed="false">
      <c r="A28" s="8" t="s">
        <v>4</v>
      </c>
      <c r="B28" s="8" t="s">
        <v>8</v>
      </c>
      <c r="C28" s="8" t="n">
        <v>13</v>
      </c>
      <c r="D28" s="8" t="s">
        <v>6</v>
      </c>
      <c r="E28" s="8" t="s">
        <v>275</v>
      </c>
      <c r="F28" s="8" t="s">
        <v>81</v>
      </c>
      <c r="G28" s="8" t="s">
        <v>88</v>
      </c>
      <c r="H28" s="8" t="s">
        <v>89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customFormat="false" ht="15" hidden="false" customHeight="false" outlineLevel="0" collapsed="false">
      <c r="A29" s="8" t="s">
        <v>4</v>
      </c>
      <c r="B29" s="8" t="s">
        <v>8</v>
      </c>
      <c r="C29" s="8" t="n">
        <v>13</v>
      </c>
      <c r="D29" s="8" t="s">
        <v>6</v>
      </c>
      <c r="E29" s="8" t="s">
        <v>275</v>
      </c>
      <c r="F29" s="8" t="s">
        <v>81</v>
      </c>
      <c r="G29" s="8" t="s">
        <v>90</v>
      </c>
      <c r="H29" s="8" t="s">
        <v>91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customFormat="false" ht="26.85" hidden="false" customHeight="false" outlineLevel="0" collapsed="false">
      <c r="A30" s="8" t="s">
        <v>4</v>
      </c>
      <c r="B30" s="8" t="s">
        <v>8</v>
      </c>
      <c r="C30" s="8" t="n">
        <v>13</v>
      </c>
      <c r="D30" s="8" t="s">
        <v>6</v>
      </c>
      <c r="E30" s="8" t="s">
        <v>276</v>
      </c>
      <c r="F30" s="8"/>
      <c r="G30" s="8"/>
      <c r="H30" s="8"/>
      <c r="I30" s="8" t="s">
        <v>140</v>
      </c>
      <c r="J30" s="8" t="s">
        <v>189</v>
      </c>
      <c r="K30" s="8" t="s">
        <v>277</v>
      </c>
      <c r="L30" s="8" t="s">
        <v>278</v>
      </c>
      <c r="M30" s="8" t="s">
        <v>279</v>
      </c>
      <c r="N30" s="8" t="s">
        <v>280</v>
      </c>
      <c r="O30" s="8" t="s">
        <v>281</v>
      </c>
      <c r="P30" s="8" t="s">
        <v>282</v>
      </c>
      <c r="Q30" s="8" t="s">
        <v>283</v>
      </c>
      <c r="R30" s="8" t="s">
        <v>203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customFormat="false" ht="26.85" hidden="false" customHeight="false" outlineLevel="0" collapsed="false">
      <c r="A31" s="8" t="s">
        <v>4</v>
      </c>
      <c r="B31" s="8" t="s">
        <v>8</v>
      </c>
      <c r="C31" s="8" t="n">
        <v>13</v>
      </c>
      <c r="D31" s="8" t="s">
        <v>6</v>
      </c>
      <c r="E31" s="8" t="s">
        <v>276</v>
      </c>
      <c r="F31" s="8"/>
      <c r="G31" s="8"/>
      <c r="H31" s="8"/>
      <c r="I31" s="8" t="s">
        <v>190</v>
      </c>
      <c r="J31" s="8" t="s">
        <v>191</v>
      </c>
      <c r="K31" s="8" t="s">
        <v>284</v>
      </c>
      <c r="L31" s="8" t="s">
        <v>285</v>
      </c>
      <c r="M31" s="8" t="s">
        <v>286</v>
      </c>
      <c r="N31" s="8" t="s">
        <v>280</v>
      </c>
      <c r="O31" s="8" t="s">
        <v>281</v>
      </c>
      <c r="P31" s="8" t="s">
        <v>287</v>
      </c>
      <c r="Q31" s="8" t="s">
        <v>288</v>
      </c>
      <c r="R31" s="8" t="s">
        <v>203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customFormat="false" ht="26.85" hidden="false" customHeight="false" outlineLevel="0" collapsed="false">
      <c r="A32" s="8" t="s">
        <v>4</v>
      </c>
      <c r="B32" s="8" t="s">
        <v>8</v>
      </c>
      <c r="C32" s="8" t="n">
        <v>13</v>
      </c>
      <c r="D32" s="8" t="s">
        <v>6</v>
      </c>
      <c r="E32" s="8" t="s">
        <v>276</v>
      </c>
      <c r="F32" s="8"/>
      <c r="G32" s="8"/>
      <c r="H32" s="8"/>
      <c r="I32" s="8" t="s">
        <v>192</v>
      </c>
      <c r="J32" s="8" t="s">
        <v>193</v>
      </c>
      <c r="K32" s="8" t="s">
        <v>284</v>
      </c>
      <c r="L32" s="8" t="s">
        <v>289</v>
      </c>
      <c r="M32" s="8" t="s">
        <v>290</v>
      </c>
      <c r="N32" s="8" t="s">
        <v>280</v>
      </c>
      <c r="O32" s="8" t="s">
        <v>281</v>
      </c>
      <c r="P32" s="8" t="s">
        <v>291</v>
      </c>
      <c r="Q32" s="8" t="s">
        <v>292</v>
      </c>
      <c r="R32" s="8" t="s">
        <v>203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customFormat="false" ht="26.85" hidden="false" customHeight="false" outlineLevel="0" collapsed="false">
      <c r="A33" s="8" t="s">
        <v>4</v>
      </c>
      <c r="B33" s="8" t="s">
        <v>8</v>
      </c>
      <c r="C33" s="8" t="n">
        <v>13</v>
      </c>
      <c r="D33" s="8" t="s">
        <v>6</v>
      </c>
      <c r="E33" s="8" t="s">
        <v>276</v>
      </c>
      <c r="F33" s="8"/>
      <c r="G33" s="8"/>
      <c r="H33" s="8"/>
      <c r="I33" s="8" t="s">
        <v>194</v>
      </c>
      <c r="J33" s="8" t="s">
        <v>195</v>
      </c>
      <c r="K33" s="8" t="s">
        <v>293</v>
      </c>
      <c r="L33" s="8" t="s">
        <v>294</v>
      </c>
      <c r="M33" s="8" t="s">
        <v>295</v>
      </c>
      <c r="N33" s="8" t="s">
        <v>280</v>
      </c>
      <c r="O33" s="8" t="s">
        <v>281</v>
      </c>
      <c r="P33" s="8" t="s">
        <v>296</v>
      </c>
      <c r="Q33" s="8" t="s">
        <v>297</v>
      </c>
      <c r="R33" s="8" t="s">
        <v>203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customFormat="false" ht="26.85" hidden="false" customHeight="false" outlineLevel="0" collapsed="false">
      <c r="A34" s="8" t="s">
        <v>4</v>
      </c>
      <c r="B34" s="8" t="s">
        <v>8</v>
      </c>
      <c r="C34" s="8" t="n">
        <v>13</v>
      </c>
      <c r="D34" s="8" t="s">
        <v>6</v>
      </c>
      <c r="E34" s="8" t="s">
        <v>276</v>
      </c>
      <c r="F34" s="8"/>
      <c r="G34" s="8"/>
      <c r="H34" s="8"/>
      <c r="I34" s="8" t="s">
        <v>196</v>
      </c>
      <c r="J34" s="8" t="s">
        <v>197</v>
      </c>
      <c r="K34" s="8" t="s">
        <v>277</v>
      </c>
      <c r="L34" s="8" t="s">
        <v>278</v>
      </c>
      <c r="M34" s="8" t="s">
        <v>279</v>
      </c>
      <c r="N34" s="8" t="s">
        <v>280</v>
      </c>
      <c r="O34" s="8" t="s">
        <v>281</v>
      </c>
      <c r="P34" s="8" t="s">
        <v>282</v>
      </c>
      <c r="Q34" s="8" t="s">
        <v>283</v>
      </c>
      <c r="R34" s="8" t="s">
        <v>203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customFormat="false" ht="15" hidden="false" customHeight="false" outlineLevel="0" collapsed="false">
      <c r="A35" s="8" t="s">
        <v>4</v>
      </c>
      <c r="B35" s="8" t="s">
        <v>8</v>
      </c>
      <c r="C35" s="8" t="n">
        <v>13</v>
      </c>
      <c r="D35" s="8" t="s">
        <v>6</v>
      </c>
      <c r="E35" s="8" t="s">
        <v>298</v>
      </c>
      <c r="F35" s="8"/>
      <c r="G35" s="8" t="s">
        <v>7</v>
      </c>
      <c r="H35" s="8" t="s">
        <v>199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 t="s">
        <v>198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customFormat="false" ht="15" hidden="false" customHeight="false" outlineLevel="0" collapsed="false">
      <c r="A36" s="8" t="s">
        <v>4</v>
      </c>
      <c r="B36" s="8" t="s">
        <v>8</v>
      </c>
      <c r="C36" s="8" t="n">
        <v>13</v>
      </c>
      <c r="D36" s="8" t="s">
        <v>6</v>
      </c>
      <c r="E36" s="8" t="s">
        <v>298</v>
      </c>
      <c r="F36" s="8"/>
      <c r="G36" s="8" t="s">
        <v>200</v>
      </c>
      <c r="H36" s="8" t="s">
        <v>201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 t="s">
        <v>198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customFormat="false" ht="15" hidden="false" customHeight="false" outlineLevel="0" collapsed="false">
      <c r="A37" s="8" t="s">
        <v>4</v>
      </c>
      <c r="B37" s="8" t="s">
        <v>8</v>
      </c>
      <c r="C37" s="8" t="n">
        <v>13</v>
      </c>
      <c r="D37" s="8" t="s">
        <v>6</v>
      </c>
      <c r="E37" s="8" t="s">
        <v>298</v>
      </c>
      <c r="F37" s="8"/>
      <c r="G37" s="8" t="s">
        <v>5</v>
      </c>
      <c r="H37" s="8" t="s">
        <v>6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 t="s">
        <v>198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customFormat="false" ht="15" hidden="false" customHeight="false" outlineLevel="0" collapsed="false">
      <c r="A38" s="8" t="s">
        <v>4</v>
      </c>
      <c r="B38" s="8" t="s">
        <v>8</v>
      </c>
      <c r="C38" s="8" t="n">
        <v>13</v>
      </c>
      <c r="D38" s="8" t="s">
        <v>6</v>
      </c>
      <c r="E38" s="8" t="s">
        <v>298</v>
      </c>
      <c r="F38" s="8"/>
      <c r="G38" s="8" t="s">
        <v>202</v>
      </c>
      <c r="H38" s="8" t="s">
        <v>203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 t="s">
        <v>198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customFormat="false" ht="15" hidden="false" customHeight="false" outlineLevel="0" collapsed="false">
      <c r="A39" s="8" t="s">
        <v>4</v>
      </c>
      <c r="B39" s="8" t="s">
        <v>8</v>
      </c>
      <c r="C39" s="8" t="n">
        <v>13</v>
      </c>
      <c r="D39" s="8" t="s">
        <v>6</v>
      </c>
      <c r="E39" s="8" t="s">
        <v>298</v>
      </c>
      <c r="F39" s="8"/>
      <c r="G39" s="8" t="s">
        <v>204</v>
      </c>
      <c r="H39" s="8" t="s">
        <v>205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 t="s">
        <v>198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customFormat="false" ht="15" hidden="false" customHeight="false" outlineLevel="0" collapsed="false">
      <c r="A40" s="8" t="s">
        <v>4</v>
      </c>
      <c r="B40" s="8" t="s">
        <v>8</v>
      </c>
      <c r="C40" s="8" t="n">
        <v>13</v>
      </c>
      <c r="D40" s="8" t="s">
        <v>6</v>
      </c>
      <c r="E40" s="8" t="s">
        <v>298</v>
      </c>
      <c r="F40" s="8"/>
      <c r="G40" s="8" t="s">
        <v>206</v>
      </c>
      <c r="H40" s="8" t="s">
        <v>207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 t="s">
        <v>198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customFormat="false" ht="15" hidden="false" customHeight="false" outlineLevel="0" collapsed="false">
      <c r="A41" s="8" t="s">
        <v>4</v>
      </c>
      <c r="B41" s="8" t="s">
        <v>8</v>
      </c>
      <c r="C41" s="8" t="n">
        <v>13</v>
      </c>
      <c r="D41" s="8" t="s">
        <v>6</v>
      </c>
      <c r="E41" s="8" t="s">
        <v>298</v>
      </c>
      <c r="F41" s="8"/>
      <c r="G41" s="8" t="s">
        <v>208</v>
      </c>
      <c r="H41" s="8" t="s">
        <v>209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 t="s">
        <v>198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customFormat="false" ht="15" hidden="false" customHeight="false" outlineLevel="0" collapsed="false">
      <c r="A42" s="8" t="s">
        <v>4</v>
      </c>
      <c r="B42" s="8" t="s">
        <v>8</v>
      </c>
      <c r="C42" s="8" t="n">
        <v>13</v>
      </c>
      <c r="D42" s="8" t="s">
        <v>6</v>
      </c>
      <c r="E42" s="8" t="s">
        <v>298</v>
      </c>
      <c r="F42" s="8"/>
      <c r="G42" s="8" t="s">
        <v>210</v>
      </c>
      <c r="H42" s="8" t="s">
        <v>211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 t="s">
        <v>198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customFormat="false" ht="15" hidden="false" customHeight="false" outlineLevel="0" collapsed="false">
      <c r="A43" s="8" t="s">
        <v>4</v>
      </c>
      <c r="B43" s="8" t="s">
        <v>8</v>
      </c>
      <c r="C43" s="8" t="n">
        <v>13</v>
      </c>
      <c r="D43" s="8" t="s">
        <v>6</v>
      </c>
      <c r="E43" s="8" t="s">
        <v>298</v>
      </c>
      <c r="F43" s="8"/>
      <c r="G43" s="8" t="s">
        <v>212</v>
      </c>
      <c r="H43" s="8" t="s">
        <v>74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 t="s">
        <v>198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customFormat="false" ht="15" hidden="false" customHeight="false" outlineLevel="0" collapsed="false">
      <c r="A44" s="8" t="s">
        <v>4</v>
      </c>
      <c r="B44" s="8" t="s">
        <v>8</v>
      </c>
      <c r="C44" s="8" t="n">
        <v>13</v>
      </c>
      <c r="D44" s="8" t="s">
        <v>6</v>
      </c>
      <c r="E44" s="8" t="s">
        <v>298</v>
      </c>
      <c r="F44" s="8"/>
      <c r="G44" s="8" t="s">
        <v>213</v>
      </c>
      <c r="H44" s="8" t="s">
        <v>203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 t="s">
        <v>198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customFormat="false" ht="15" hidden="false" customHeight="false" outlineLevel="0" collapsed="false">
      <c r="A45" s="8" t="s">
        <v>4</v>
      </c>
      <c r="B45" s="8" t="s">
        <v>8</v>
      </c>
      <c r="C45" s="8" t="n">
        <v>13</v>
      </c>
      <c r="D45" s="8" t="s">
        <v>6</v>
      </c>
      <c r="E45" s="8" t="s">
        <v>298</v>
      </c>
      <c r="F45" s="8"/>
      <c r="G45" s="8" t="s">
        <v>214</v>
      </c>
      <c r="H45" s="8" t="s">
        <v>215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 t="s">
        <v>198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customFormat="false" ht="15" hidden="false" customHeight="false" outlineLevel="0" collapsed="false">
      <c r="A46" s="8" t="s">
        <v>4</v>
      </c>
      <c r="B46" s="8" t="s">
        <v>8</v>
      </c>
      <c r="C46" s="8" t="n">
        <v>13</v>
      </c>
      <c r="D46" s="8" t="s">
        <v>6</v>
      </c>
      <c r="E46" s="8" t="s">
        <v>298</v>
      </c>
      <c r="F46" s="8"/>
      <c r="G46" s="8" t="s">
        <v>216</v>
      </c>
      <c r="H46" s="8" t="s">
        <v>217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 t="s">
        <v>198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customFormat="false" ht="15" hidden="false" customHeight="false" outlineLevel="0" collapsed="false">
      <c r="A47" s="8" t="s">
        <v>4</v>
      </c>
      <c r="B47" s="8" t="s">
        <v>8</v>
      </c>
      <c r="C47" s="8" t="n">
        <v>13</v>
      </c>
      <c r="D47" s="8" t="s">
        <v>6</v>
      </c>
      <c r="E47" s="8" t="s">
        <v>298</v>
      </c>
      <c r="F47" s="8"/>
      <c r="G47" s="8" t="s">
        <v>218</v>
      </c>
      <c r="H47" s="8" t="s">
        <v>219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 t="s">
        <v>198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customFormat="false" ht="15" hidden="false" customHeight="false" outlineLevel="0" collapsed="false">
      <c r="A48" s="8" t="s">
        <v>4</v>
      </c>
      <c r="B48" s="8" t="s">
        <v>8</v>
      </c>
      <c r="C48" s="8" t="n">
        <v>13</v>
      </c>
      <c r="D48" s="8" t="s">
        <v>6</v>
      </c>
      <c r="E48" s="8" t="s">
        <v>298</v>
      </c>
      <c r="F48" s="8"/>
      <c r="G48" s="8" t="s">
        <v>220</v>
      </c>
      <c r="H48" s="8" t="s">
        <v>215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 t="s">
        <v>198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customFormat="false" ht="26.85" hidden="false" customHeight="false" outlineLevel="0" collapsed="false">
      <c r="A49" s="8" t="s">
        <v>4</v>
      </c>
      <c r="B49" s="8" t="s">
        <v>8</v>
      </c>
      <c r="C49" s="8" t="n">
        <v>13</v>
      </c>
      <c r="D49" s="8" t="s">
        <v>6</v>
      </c>
      <c r="E49" s="8" t="s">
        <v>299</v>
      </c>
      <c r="F49" s="8"/>
      <c r="G49" s="8"/>
      <c r="H49" s="8"/>
      <c r="I49" s="8"/>
      <c r="J49" s="8" t="s">
        <v>189</v>
      </c>
      <c r="K49" s="8"/>
      <c r="L49" s="8"/>
      <c r="M49" s="8"/>
      <c r="N49" s="8"/>
      <c r="O49" s="8"/>
      <c r="P49" s="8"/>
      <c r="Q49" s="8"/>
      <c r="R49" s="8"/>
      <c r="S49" s="8"/>
      <c r="T49" s="8" t="s">
        <v>126</v>
      </c>
      <c r="U49" s="8" t="s">
        <v>300</v>
      </c>
      <c r="V49" s="8" t="s">
        <v>301</v>
      </c>
      <c r="W49" s="8" t="s">
        <v>302</v>
      </c>
      <c r="X49" s="8" t="s">
        <v>233</v>
      </c>
      <c r="Y49" s="8" t="s">
        <v>303</v>
      </c>
      <c r="Z49" s="8" t="s">
        <v>233</v>
      </c>
      <c r="AA49" s="8" t="s">
        <v>304</v>
      </c>
      <c r="AB49" s="8" t="s">
        <v>233</v>
      </c>
      <c r="AC49" s="8" t="s">
        <v>305</v>
      </c>
      <c r="AD49" s="8" t="s">
        <v>233</v>
      </c>
      <c r="AE49" s="8"/>
      <c r="AF49" s="8"/>
      <c r="AG49" s="8"/>
      <c r="AH49" s="8"/>
      <c r="AI49" s="8"/>
    </row>
    <row r="50" customFormat="false" ht="26.85" hidden="false" customHeight="false" outlineLevel="0" collapsed="false">
      <c r="A50" s="8" t="s">
        <v>4</v>
      </c>
      <c r="B50" s="8" t="s">
        <v>8</v>
      </c>
      <c r="C50" s="8" t="n">
        <v>13</v>
      </c>
      <c r="D50" s="8" t="s">
        <v>6</v>
      </c>
      <c r="E50" s="8" t="s">
        <v>299</v>
      </c>
      <c r="F50" s="8"/>
      <c r="G50" s="8"/>
      <c r="H50" s="8"/>
      <c r="I50" s="8"/>
      <c r="J50" s="8" t="s">
        <v>189</v>
      </c>
      <c r="K50" s="8"/>
      <c r="L50" s="8"/>
      <c r="M50" s="8"/>
      <c r="N50" s="8"/>
      <c r="O50" s="8"/>
      <c r="P50" s="8"/>
      <c r="Q50" s="8"/>
      <c r="R50" s="8"/>
      <c r="S50" s="8"/>
      <c r="T50" s="8" t="s">
        <v>127</v>
      </c>
      <c r="U50" s="8" t="s">
        <v>306</v>
      </c>
      <c r="V50" s="8" t="s">
        <v>307</v>
      </c>
      <c r="W50" s="8" t="s">
        <v>308</v>
      </c>
      <c r="X50" s="8" t="s">
        <v>233</v>
      </c>
      <c r="Y50" s="8" t="s">
        <v>309</v>
      </c>
      <c r="Z50" s="8" t="s">
        <v>233</v>
      </c>
      <c r="AA50" s="8" t="s">
        <v>310</v>
      </c>
      <c r="AB50" s="8" t="s">
        <v>233</v>
      </c>
      <c r="AC50" s="8" t="s">
        <v>311</v>
      </c>
      <c r="AD50" s="8" t="s">
        <v>233</v>
      </c>
      <c r="AE50" s="8"/>
      <c r="AF50" s="8"/>
      <c r="AG50" s="8"/>
      <c r="AH50" s="8"/>
      <c r="AI50" s="8"/>
    </row>
    <row r="51" customFormat="false" ht="26.85" hidden="false" customHeight="false" outlineLevel="0" collapsed="false">
      <c r="A51" s="8" t="s">
        <v>4</v>
      </c>
      <c r="B51" s="8" t="s">
        <v>8</v>
      </c>
      <c r="C51" s="8" t="n">
        <v>13</v>
      </c>
      <c r="D51" s="8" t="s">
        <v>6</v>
      </c>
      <c r="E51" s="8" t="s">
        <v>299</v>
      </c>
      <c r="F51" s="8"/>
      <c r="G51" s="8"/>
      <c r="H51" s="8"/>
      <c r="I51" s="8"/>
      <c r="J51" s="8" t="s">
        <v>189</v>
      </c>
      <c r="K51" s="8"/>
      <c r="L51" s="8"/>
      <c r="M51" s="8"/>
      <c r="N51" s="8"/>
      <c r="O51" s="8"/>
      <c r="P51" s="8"/>
      <c r="Q51" s="8"/>
      <c r="R51" s="8"/>
      <c r="S51" s="8"/>
      <c r="T51" s="8" t="s">
        <v>128</v>
      </c>
      <c r="U51" s="8" t="s">
        <v>312</v>
      </c>
      <c r="V51" s="8" t="s">
        <v>313</v>
      </c>
      <c r="W51" s="8" t="s">
        <v>314</v>
      </c>
      <c r="X51" s="8" t="s">
        <v>233</v>
      </c>
      <c r="Y51" s="8" t="s">
        <v>315</v>
      </c>
      <c r="Z51" s="8" t="s">
        <v>233</v>
      </c>
      <c r="AA51" s="8" t="s">
        <v>316</v>
      </c>
      <c r="AB51" s="8" t="s">
        <v>233</v>
      </c>
      <c r="AC51" s="8" t="s">
        <v>317</v>
      </c>
      <c r="AD51" s="8" t="s">
        <v>233</v>
      </c>
      <c r="AE51" s="8"/>
      <c r="AF51" s="8"/>
      <c r="AG51" s="8"/>
      <c r="AH51" s="8"/>
      <c r="AI51" s="8"/>
    </row>
    <row r="52" customFormat="false" ht="26.85" hidden="false" customHeight="false" outlineLevel="0" collapsed="false">
      <c r="A52" s="8" t="s">
        <v>4</v>
      </c>
      <c r="B52" s="8" t="s">
        <v>8</v>
      </c>
      <c r="C52" s="8" t="n">
        <v>13</v>
      </c>
      <c r="D52" s="8" t="s">
        <v>6</v>
      </c>
      <c r="E52" s="8" t="s">
        <v>299</v>
      </c>
      <c r="F52" s="8"/>
      <c r="G52" s="8"/>
      <c r="H52" s="8"/>
      <c r="I52" s="8"/>
      <c r="J52" s="8" t="s">
        <v>189</v>
      </c>
      <c r="K52" s="8"/>
      <c r="L52" s="8"/>
      <c r="M52" s="8"/>
      <c r="N52" s="8"/>
      <c r="O52" s="8"/>
      <c r="P52" s="8"/>
      <c r="Q52" s="8"/>
      <c r="R52" s="8"/>
      <c r="S52" s="8"/>
      <c r="T52" s="8" t="s">
        <v>129</v>
      </c>
      <c r="U52" s="8" t="s">
        <v>318</v>
      </c>
      <c r="V52" s="8" t="s">
        <v>319</v>
      </c>
      <c r="W52" s="8" t="s">
        <v>320</v>
      </c>
      <c r="X52" s="8" t="s">
        <v>233</v>
      </c>
      <c r="Y52" s="8" t="s">
        <v>321</v>
      </c>
      <c r="Z52" s="8" t="s">
        <v>233</v>
      </c>
      <c r="AA52" s="8" t="s">
        <v>322</v>
      </c>
      <c r="AB52" s="8" t="s">
        <v>233</v>
      </c>
      <c r="AC52" s="8" t="s">
        <v>323</v>
      </c>
      <c r="AD52" s="8" t="s">
        <v>233</v>
      </c>
      <c r="AE52" s="8"/>
      <c r="AF52" s="8"/>
      <c r="AG52" s="8"/>
      <c r="AH52" s="8"/>
      <c r="AI52" s="8"/>
    </row>
    <row r="53" customFormat="false" ht="26.85" hidden="false" customHeight="false" outlineLevel="0" collapsed="false">
      <c r="A53" s="8" t="s">
        <v>4</v>
      </c>
      <c r="B53" s="8" t="s">
        <v>8</v>
      </c>
      <c r="C53" s="8" t="n">
        <v>13</v>
      </c>
      <c r="D53" s="8" t="s">
        <v>6</v>
      </c>
      <c r="E53" s="8" t="s">
        <v>299</v>
      </c>
      <c r="F53" s="8"/>
      <c r="G53" s="8"/>
      <c r="H53" s="8"/>
      <c r="I53" s="8"/>
      <c r="J53" s="8" t="s">
        <v>189</v>
      </c>
      <c r="K53" s="8"/>
      <c r="L53" s="8"/>
      <c r="M53" s="8"/>
      <c r="N53" s="8"/>
      <c r="O53" s="8"/>
      <c r="P53" s="8"/>
      <c r="Q53" s="8"/>
      <c r="R53" s="8"/>
      <c r="S53" s="8"/>
      <c r="T53" s="8" t="s">
        <v>130</v>
      </c>
      <c r="U53" s="8" t="s">
        <v>324</v>
      </c>
      <c r="V53" s="8" t="s">
        <v>325</v>
      </c>
      <c r="W53" s="8" t="s">
        <v>326</v>
      </c>
      <c r="X53" s="8" t="s">
        <v>233</v>
      </c>
      <c r="Y53" s="8" t="s">
        <v>327</v>
      </c>
      <c r="Z53" s="8" t="s">
        <v>233</v>
      </c>
      <c r="AA53" s="8" t="s">
        <v>328</v>
      </c>
      <c r="AB53" s="8" t="s">
        <v>233</v>
      </c>
      <c r="AC53" s="8" t="s">
        <v>329</v>
      </c>
      <c r="AD53" s="8" t="s">
        <v>233</v>
      </c>
      <c r="AE53" s="8"/>
      <c r="AF53" s="8"/>
      <c r="AG53" s="8"/>
      <c r="AH53" s="8"/>
      <c r="AI53" s="8"/>
    </row>
    <row r="54" customFormat="false" ht="26.85" hidden="false" customHeight="false" outlineLevel="0" collapsed="false">
      <c r="A54" s="8" t="s">
        <v>4</v>
      </c>
      <c r="B54" s="8" t="s">
        <v>8</v>
      </c>
      <c r="C54" s="8" t="n">
        <v>13</v>
      </c>
      <c r="D54" s="8" t="s">
        <v>6</v>
      </c>
      <c r="E54" s="8" t="s">
        <v>299</v>
      </c>
      <c r="F54" s="8"/>
      <c r="G54" s="8"/>
      <c r="H54" s="8"/>
      <c r="I54" s="8"/>
      <c r="J54" s="8" t="s">
        <v>189</v>
      </c>
      <c r="K54" s="8"/>
      <c r="L54" s="8"/>
      <c r="M54" s="8"/>
      <c r="N54" s="8"/>
      <c r="O54" s="8"/>
      <c r="P54" s="8"/>
      <c r="Q54" s="8"/>
      <c r="R54" s="8"/>
      <c r="S54" s="8"/>
      <c r="T54" s="8" t="s">
        <v>131</v>
      </c>
      <c r="U54" s="8" t="s">
        <v>330</v>
      </c>
      <c r="V54" s="8" t="s">
        <v>331</v>
      </c>
      <c r="W54" s="8" t="s">
        <v>332</v>
      </c>
      <c r="X54" s="8" t="s">
        <v>233</v>
      </c>
      <c r="Y54" s="8" t="s">
        <v>333</v>
      </c>
      <c r="Z54" s="8" t="s">
        <v>233</v>
      </c>
      <c r="AA54" s="8" t="s">
        <v>334</v>
      </c>
      <c r="AB54" s="8" t="s">
        <v>233</v>
      </c>
      <c r="AC54" s="8" t="s">
        <v>335</v>
      </c>
      <c r="AD54" s="8" t="s">
        <v>233</v>
      </c>
      <c r="AE54" s="8"/>
      <c r="AF54" s="8"/>
      <c r="AG54" s="8"/>
      <c r="AH54" s="8"/>
      <c r="AI54" s="8"/>
    </row>
    <row r="55" customFormat="false" ht="26.85" hidden="false" customHeight="false" outlineLevel="0" collapsed="false">
      <c r="A55" s="8" t="s">
        <v>4</v>
      </c>
      <c r="B55" s="8" t="s">
        <v>8</v>
      </c>
      <c r="C55" s="8" t="n">
        <v>13</v>
      </c>
      <c r="D55" s="8" t="s">
        <v>6</v>
      </c>
      <c r="E55" s="8" t="s">
        <v>299</v>
      </c>
      <c r="F55" s="8"/>
      <c r="G55" s="8"/>
      <c r="H55" s="8"/>
      <c r="I55" s="8"/>
      <c r="J55" s="8" t="s">
        <v>189</v>
      </c>
      <c r="K55" s="8"/>
      <c r="L55" s="8"/>
      <c r="M55" s="8"/>
      <c r="N55" s="8"/>
      <c r="O55" s="8"/>
      <c r="P55" s="8"/>
      <c r="Q55" s="8"/>
      <c r="R55" s="8"/>
      <c r="S55" s="8"/>
      <c r="T55" s="8" t="s">
        <v>132</v>
      </c>
      <c r="U55" s="8" t="s">
        <v>336</v>
      </c>
      <c r="V55" s="8" t="s">
        <v>337</v>
      </c>
      <c r="W55" s="8" t="s">
        <v>338</v>
      </c>
      <c r="X55" s="8" t="s">
        <v>233</v>
      </c>
      <c r="Y55" s="8" t="s">
        <v>339</v>
      </c>
      <c r="Z55" s="8" t="s">
        <v>233</v>
      </c>
      <c r="AA55" s="8" t="s">
        <v>340</v>
      </c>
      <c r="AB55" s="8" t="s">
        <v>233</v>
      </c>
      <c r="AC55" s="8" t="s">
        <v>341</v>
      </c>
      <c r="AD55" s="8" t="s">
        <v>233</v>
      </c>
      <c r="AE55" s="8"/>
      <c r="AF55" s="8"/>
      <c r="AG55" s="8"/>
      <c r="AH55" s="8"/>
      <c r="AI55" s="8"/>
    </row>
    <row r="56" customFormat="false" ht="26.85" hidden="false" customHeight="false" outlineLevel="0" collapsed="false">
      <c r="A56" s="8" t="s">
        <v>4</v>
      </c>
      <c r="B56" s="8" t="s">
        <v>8</v>
      </c>
      <c r="C56" s="8" t="n">
        <v>13</v>
      </c>
      <c r="D56" s="8" t="s">
        <v>6</v>
      </c>
      <c r="E56" s="8" t="s">
        <v>299</v>
      </c>
      <c r="F56" s="8"/>
      <c r="G56" s="8"/>
      <c r="H56" s="8"/>
      <c r="I56" s="8"/>
      <c r="J56" s="8" t="s">
        <v>189</v>
      </c>
      <c r="K56" s="8"/>
      <c r="L56" s="8"/>
      <c r="M56" s="8"/>
      <c r="N56" s="8"/>
      <c r="O56" s="8"/>
      <c r="P56" s="8"/>
      <c r="Q56" s="8"/>
      <c r="R56" s="8"/>
      <c r="S56" s="8"/>
      <c r="T56" s="8" t="s">
        <v>133</v>
      </c>
      <c r="U56" s="8" t="s">
        <v>342</v>
      </c>
      <c r="V56" s="8" t="s">
        <v>343</v>
      </c>
      <c r="W56" s="8" t="s">
        <v>344</v>
      </c>
      <c r="X56" s="8" t="s">
        <v>233</v>
      </c>
      <c r="Y56" s="8" t="s">
        <v>345</v>
      </c>
      <c r="Z56" s="8" t="s">
        <v>233</v>
      </c>
      <c r="AA56" s="8" t="s">
        <v>346</v>
      </c>
      <c r="AB56" s="8" t="s">
        <v>233</v>
      </c>
      <c r="AC56" s="8" t="s">
        <v>347</v>
      </c>
      <c r="AD56" s="8" t="s">
        <v>233</v>
      </c>
      <c r="AE56" s="8"/>
      <c r="AF56" s="8"/>
      <c r="AG56" s="8"/>
      <c r="AH56" s="8"/>
      <c r="AI56" s="8"/>
    </row>
    <row r="57" customFormat="false" ht="26.85" hidden="false" customHeight="false" outlineLevel="0" collapsed="false">
      <c r="A57" s="8" t="s">
        <v>4</v>
      </c>
      <c r="B57" s="8" t="s">
        <v>8</v>
      </c>
      <c r="C57" s="8" t="n">
        <v>13</v>
      </c>
      <c r="D57" s="8" t="s">
        <v>6</v>
      </c>
      <c r="E57" s="8" t="s">
        <v>299</v>
      </c>
      <c r="F57" s="8"/>
      <c r="G57" s="8"/>
      <c r="H57" s="8"/>
      <c r="I57" s="8"/>
      <c r="J57" s="8" t="s">
        <v>189</v>
      </c>
      <c r="K57" s="8"/>
      <c r="L57" s="8"/>
      <c r="M57" s="8"/>
      <c r="N57" s="8"/>
      <c r="O57" s="8"/>
      <c r="P57" s="8"/>
      <c r="Q57" s="8"/>
      <c r="R57" s="8"/>
      <c r="S57" s="8"/>
      <c r="T57" s="8" t="s">
        <v>134</v>
      </c>
      <c r="U57" s="8" t="s">
        <v>348</v>
      </c>
      <c r="V57" s="8" t="s">
        <v>349</v>
      </c>
      <c r="W57" s="8" t="s">
        <v>350</v>
      </c>
      <c r="X57" s="8" t="s">
        <v>233</v>
      </c>
      <c r="Y57" s="8" t="s">
        <v>351</v>
      </c>
      <c r="Z57" s="8" t="s">
        <v>233</v>
      </c>
      <c r="AA57" s="8" t="s">
        <v>352</v>
      </c>
      <c r="AB57" s="8" t="s">
        <v>233</v>
      </c>
      <c r="AC57" s="8" t="s">
        <v>353</v>
      </c>
      <c r="AD57" s="8" t="s">
        <v>233</v>
      </c>
      <c r="AE57" s="8"/>
      <c r="AF57" s="8"/>
      <c r="AG57" s="8"/>
      <c r="AH57" s="8"/>
      <c r="AI57" s="8"/>
    </row>
    <row r="58" customFormat="false" ht="26.85" hidden="false" customHeight="false" outlineLevel="0" collapsed="false">
      <c r="A58" s="8" t="s">
        <v>4</v>
      </c>
      <c r="B58" s="8" t="s">
        <v>8</v>
      </c>
      <c r="C58" s="8" t="n">
        <v>13</v>
      </c>
      <c r="D58" s="8" t="s">
        <v>6</v>
      </c>
      <c r="E58" s="8" t="s">
        <v>299</v>
      </c>
      <c r="F58" s="8"/>
      <c r="G58" s="8"/>
      <c r="H58" s="8"/>
      <c r="I58" s="8"/>
      <c r="J58" s="8" t="s">
        <v>189</v>
      </c>
      <c r="K58" s="8"/>
      <c r="L58" s="8"/>
      <c r="M58" s="8"/>
      <c r="N58" s="8"/>
      <c r="O58" s="8"/>
      <c r="P58" s="8"/>
      <c r="Q58" s="8"/>
      <c r="R58" s="8"/>
      <c r="S58" s="8"/>
      <c r="T58" s="8" t="s">
        <v>135</v>
      </c>
      <c r="U58" s="8" t="s">
        <v>354</v>
      </c>
      <c r="V58" s="8" t="s">
        <v>355</v>
      </c>
      <c r="W58" s="8" t="s">
        <v>356</v>
      </c>
      <c r="X58" s="8" t="s">
        <v>233</v>
      </c>
      <c r="Y58" s="8" t="s">
        <v>357</v>
      </c>
      <c r="Z58" s="8" t="s">
        <v>233</v>
      </c>
      <c r="AA58" s="8" t="s">
        <v>358</v>
      </c>
      <c r="AB58" s="8" t="s">
        <v>233</v>
      </c>
      <c r="AC58" s="8" t="s">
        <v>359</v>
      </c>
      <c r="AD58" s="8" t="s">
        <v>233</v>
      </c>
      <c r="AE58" s="8"/>
      <c r="AF58" s="8"/>
      <c r="AG58" s="8"/>
      <c r="AH58" s="8"/>
      <c r="AI58" s="8"/>
    </row>
    <row r="59" customFormat="false" ht="26.85" hidden="false" customHeight="false" outlineLevel="0" collapsed="false">
      <c r="A59" s="8" t="s">
        <v>4</v>
      </c>
      <c r="B59" s="8" t="s">
        <v>8</v>
      </c>
      <c r="C59" s="8" t="n">
        <v>13</v>
      </c>
      <c r="D59" s="8" t="s">
        <v>6</v>
      </c>
      <c r="E59" s="8" t="s">
        <v>299</v>
      </c>
      <c r="F59" s="8"/>
      <c r="G59" s="8"/>
      <c r="H59" s="8"/>
      <c r="I59" s="8"/>
      <c r="J59" s="8" t="s">
        <v>189</v>
      </c>
      <c r="K59" s="8"/>
      <c r="L59" s="8"/>
      <c r="M59" s="8"/>
      <c r="N59" s="8"/>
      <c r="O59" s="8"/>
      <c r="P59" s="8"/>
      <c r="Q59" s="8"/>
      <c r="R59" s="8"/>
      <c r="S59" s="8"/>
      <c r="T59" s="8" t="s">
        <v>136</v>
      </c>
      <c r="U59" s="8" t="s">
        <v>360</v>
      </c>
      <c r="V59" s="8" t="s">
        <v>361</v>
      </c>
      <c r="W59" s="8" t="s">
        <v>362</v>
      </c>
      <c r="X59" s="8" t="s">
        <v>233</v>
      </c>
      <c r="Y59" s="8" t="s">
        <v>363</v>
      </c>
      <c r="Z59" s="8" t="s">
        <v>233</v>
      </c>
      <c r="AA59" s="8" t="s">
        <v>364</v>
      </c>
      <c r="AB59" s="8" t="s">
        <v>233</v>
      </c>
      <c r="AC59" s="8" t="s">
        <v>365</v>
      </c>
      <c r="AD59" s="8" t="s">
        <v>233</v>
      </c>
      <c r="AE59" s="8"/>
      <c r="AF59" s="8"/>
      <c r="AG59" s="8"/>
      <c r="AH59" s="8"/>
      <c r="AI59" s="8"/>
    </row>
    <row r="60" customFormat="false" ht="26.85" hidden="false" customHeight="false" outlineLevel="0" collapsed="false">
      <c r="A60" s="8" t="s">
        <v>4</v>
      </c>
      <c r="B60" s="8" t="s">
        <v>8</v>
      </c>
      <c r="C60" s="8" t="n">
        <v>13</v>
      </c>
      <c r="D60" s="8" t="s">
        <v>6</v>
      </c>
      <c r="E60" s="8" t="s">
        <v>299</v>
      </c>
      <c r="F60" s="8"/>
      <c r="G60" s="8"/>
      <c r="H60" s="8"/>
      <c r="I60" s="8"/>
      <c r="J60" s="8" t="s">
        <v>189</v>
      </c>
      <c r="K60" s="8"/>
      <c r="L60" s="8"/>
      <c r="M60" s="8"/>
      <c r="N60" s="8"/>
      <c r="O60" s="8"/>
      <c r="P60" s="8"/>
      <c r="Q60" s="8"/>
      <c r="R60" s="8"/>
      <c r="S60" s="8"/>
      <c r="T60" s="8" t="s">
        <v>137</v>
      </c>
      <c r="U60" s="8" t="s">
        <v>366</v>
      </c>
      <c r="V60" s="8" t="s">
        <v>367</v>
      </c>
      <c r="W60" s="8" t="s">
        <v>368</v>
      </c>
      <c r="X60" s="8" t="s">
        <v>233</v>
      </c>
      <c r="Y60" s="8" t="s">
        <v>369</v>
      </c>
      <c r="Z60" s="8" t="s">
        <v>233</v>
      </c>
      <c r="AA60" s="8" t="s">
        <v>370</v>
      </c>
      <c r="AB60" s="8" t="s">
        <v>233</v>
      </c>
      <c r="AC60" s="8" t="s">
        <v>371</v>
      </c>
      <c r="AD60" s="8" t="s">
        <v>233</v>
      </c>
      <c r="AE60" s="8"/>
      <c r="AF60" s="8"/>
      <c r="AG60" s="8"/>
      <c r="AH60" s="8"/>
      <c r="AI60" s="8"/>
    </row>
    <row r="61" customFormat="false" ht="26.85" hidden="false" customHeight="false" outlineLevel="0" collapsed="false">
      <c r="A61" s="8" t="s">
        <v>4</v>
      </c>
      <c r="B61" s="8" t="s">
        <v>8</v>
      </c>
      <c r="C61" s="8" t="n">
        <v>13</v>
      </c>
      <c r="D61" s="8" t="s">
        <v>6</v>
      </c>
      <c r="E61" s="8" t="s">
        <v>299</v>
      </c>
      <c r="F61" s="8"/>
      <c r="G61" s="8"/>
      <c r="H61" s="8"/>
      <c r="I61" s="8"/>
      <c r="J61" s="8" t="s">
        <v>191</v>
      </c>
      <c r="K61" s="8"/>
      <c r="L61" s="8"/>
      <c r="M61" s="8"/>
      <c r="N61" s="8"/>
      <c r="O61" s="8"/>
      <c r="P61" s="8"/>
      <c r="Q61" s="8"/>
      <c r="R61" s="8"/>
      <c r="S61" s="8"/>
      <c r="T61" s="8" t="s">
        <v>126</v>
      </c>
      <c r="U61" s="8" t="s">
        <v>300</v>
      </c>
      <c r="V61" s="8" t="s">
        <v>301</v>
      </c>
      <c r="W61" s="8" t="s">
        <v>372</v>
      </c>
      <c r="X61" s="8" t="s">
        <v>233</v>
      </c>
      <c r="Y61" s="8" t="s">
        <v>373</v>
      </c>
      <c r="Z61" s="8" t="s">
        <v>233</v>
      </c>
      <c r="AA61" s="8" t="s">
        <v>374</v>
      </c>
      <c r="AB61" s="8" t="s">
        <v>233</v>
      </c>
      <c r="AC61" s="8" t="s">
        <v>375</v>
      </c>
      <c r="AD61" s="8" t="s">
        <v>233</v>
      </c>
      <c r="AE61" s="8"/>
      <c r="AF61" s="8"/>
      <c r="AG61" s="8"/>
      <c r="AH61" s="8"/>
      <c r="AI61" s="8"/>
    </row>
    <row r="62" customFormat="false" ht="26.85" hidden="false" customHeight="false" outlineLevel="0" collapsed="false">
      <c r="A62" s="8" t="s">
        <v>4</v>
      </c>
      <c r="B62" s="8" t="s">
        <v>8</v>
      </c>
      <c r="C62" s="8" t="n">
        <v>13</v>
      </c>
      <c r="D62" s="8" t="s">
        <v>6</v>
      </c>
      <c r="E62" s="8" t="s">
        <v>299</v>
      </c>
      <c r="F62" s="8"/>
      <c r="G62" s="8"/>
      <c r="H62" s="8"/>
      <c r="I62" s="8"/>
      <c r="J62" s="8" t="s">
        <v>191</v>
      </c>
      <c r="K62" s="8"/>
      <c r="L62" s="8"/>
      <c r="M62" s="8"/>
      <c r="N62" s="8"/>
      <c r="O62" s="8"/>
      <c r="P62" s="8"/>
      <c r="Q62" s="8"/>
      <c r="R62" s="8"/>
      <c r="S62" s="8"/>
      <c r="T62" s="8" t="s">
        <v>127</v>
      </c>
      <c r="U62" s="8" t="s">
        <v>306</v>
      </c>
      <c r="V62" s="8" t="s">
        <v>307</v>
      </c>
      <c r="W62" s="8" t="s">
        <v>376</v>
      </c>
      <c r="X62" s="8" t="s">
        <v>233</v>
      </c>
      <c r="Y62" s="8" t="s">
        <v>377</v>
      </c>
      <c r="Z62" s="8" t="s">
        <v>233</v>
      </c>
      <c r="AA62" s="8" t="s">
        <v>378</v>
      </c>
      <c r="AB62" s="8" t="s">
        <v>233</v>
      </c>
      <c r="AC62" s="8" t="s">
        <v>379</v>
      </c>
      <c r="AD62" s="8" t="s">
        <v>233</v>
      </c>
      <c r="AE62" s="8"/>
      <c r="AF62" s="8"/>
      <c r="AG62" s="8"/>
      <c r="AH62" s="8"/>
      <c r="AI62" s="8"/>
    </row>
    <row r="63" customFormat="false" ht="26.85" hidden="false" customHeight="false" outlineLevel="0" collapsed="false">
      <c r="A63" s="8" t="s">
        <v>4</v>
      </c>
      <c r="B63" s="8" t="s">
        <v>8</v>
      </c>
      <c r="C63" s="8" t="n">
        <v>13</v>
      </c>
      <c r="D63" s="8" t="s">
        <v>6</v>
      </c>
      <c r="E63" s="8" t="s">
        <v>299</v>
      </c>
      <c r="F63" s="8"/>
      <c r="G63" s="8"/>
      <c r="H63" s="8"/>
      <c r="I63" s="8"/>
      <c r="J63" s="8" t="s">
        <v>191</v>
      </c>
      <c r="K63" s="8"/>
      <c r="L63" s="8"/>
      <c r="M63" s="8"/>
      <c r="N63" s="8"/>
      <c r="O63" s="8"/>
      <c r="P63" s="8"/>
      <c r="Q63" s="8"/>
      <c r="R63" s="8"/>
      <c r="S63" s="8"/>
      <c r="T63" s="8" t="s">
        <v>128</v>
      </c>
      <c r="U63" s="8" t="s">
        <v>312</v>
      </c>
      <c r="V63" s="8" t="s">
        <v>313</v>
      </c>
      <c r="W63" s="8" t="s">
        <v>380</v>
      </c>
      <c r="X63" s="8" t="s">
        <v>235</v>
      </c>
      <c r="Y63" s="8" t="s">
        <v>381</v>
      </c>
      <c r="Z63" s="8" t="s">
        <v>233</v>
      </c>
      <c r="AA63" s="8" t="s">
        <v>382</v>
      </c>
      <c r="AB63" s="8" t="s">
        <v>233</v>
      </c>
      <c r="AC63" s="8" t="s">
        <v>383</v>
      </c>
      <c r="AD63" s="8" t="s">
        <v>233</v>
      </c>
      <c r="AE63" s="8"/>
      <c r="AF63" s="8"/>
      <c r="AG63" s="8"/>
      <c r="AH63" s="8"/>
      <c r="AI63" s="8"/>
    </row>
    <row r="64" customFormat="false" ht="26.85" hidden="false" customHeight="false" outlineLevel="0" collapsed="false">
      <c r="A64" s="8" t="s">
        <v>4</v>
      </c>
      <c r="B64" s="8" t="s">
        <v>8</v>
      </c>
      <c r="C64" s="8" t="n">
        <v>13</v>
      </c>
      <c r="D64" s="8" t="s">
        <v>6</v>
      </c>
      <c r="E64" s="8" t="s">
        <v>299</v>
      </c>
      <c r="F64" s="8"/>
      <c r="G64" s="8"/>
      <c r="H64" s="8"/>
      <c r="I64" s="8"/>
      <c r="J64" s="8" t="s">
        <v>191</v>
      </c>
      <c r="K64" s="8"/>
      <c r="L64" s="8"/>
      <c r="M64" s="8"/>
      <c r="N64" s="8"/>
      <c r="O64" s="8"/>
      <c r="P64" s="8"/>
      <c r="Q64" s="8"/>
      <c r="R64" s="8"/>
      <c r="S64" s="8"/>
      <c r="T64" s="8" t="s">
        <v>129</v>
      </c>
      <c r="U64" s="8" t="s">
        <v>318</v>
      </c>
      <c r="V64" s="8" t="s">
        <v>319</v>
      </c>
      <c r="W64" s="8" t="s">
        <v>384</v>
      </c>
      <c r="X64" s="8" t="s">
        <v>233</v>
      </c>
      <c r="Y64" s="8" t="s">
        <v>385</v>
      </c>
      <c r="Z64" s="8" t="s">
        <v>233</v>
      </c>
      <c r="AA64" s="8" t="s">
        <v>386</v>
      </c>
      <c r="AB64" s="8" t="s">
        <v>233</v>
      </c>
      <c r="AC64" s="8" t="s">
        <v>387</v>
      </c>
      <c r="AD64" s="8" t="s">
        <v>233</v>
      </c>
      <c r="AE64" s="8"/>
      <c r="AF64" s="8"/>
      <c r="AG64" s="8"/>
      <c r="AH64" s="8"/>
      <c r="AI64" s="8"/>
    </row>
    <row r="65" customFormat="false" ht="26.85" hidden="false" customHeight="false" outlineLevel="0" collapsed="false">
      <c r="A65" s="8" t="s">
        <v>4</v>
      </c>
      <c r="B65" s="8" t="s">
        <v>8</v>
      </c>
      <c r="C65" s="8" t="n">
        <v>13</v>
      </c>
      <c r="D65" s="8" t="s">
        <v>6</v>
      </c>
      <c r="E65" s="8" t="s">
        <v>299</v>
      </c>
      <c r="F65" s="8"/>
      <c r="G65" s="8"/>
      <c r="H65" s="8"/>
      <c r="I65" s="8"/>
      <c r="J65" s="8" t="s">
        <v>191</v>
      </c>
      <c r="K65" s="8"/>
      <c r="L65" s="8"/>
      <c r="M65" s="8"/>
      <c r="N65" s="8"/>
      <c r="O65" s="8"/>
      <c r="P65" s="8"/>
      <c r="Q65" s="8"/>
      <c r="R65" s="8"/>
      <c r="S65" s="8"/>
      <c r="T65" s="8" t="s">
        <v>130</v>
      </c>
      <c r="U65" s="8" t="s">
        <v>324</v>
      </c>
      <c r="V65" s="8" t="s">
        <v>325</v>
      </c>
      <c r="W65" s="8" t="s">
        <v>388</v>
      </c>
      <c r="X65" s="8" t="s">
        <v>233</v>
      </c>
      <c r="Y65" s="8" t="s">
        <v>389</v>
      </c>
      <c r="Z65" s="8" t="s">
        <v>233</v>
      </c>
      <c r="AA65" s="8" t="s">
        <v>390</v>
      </c>
      <c r="AB65" s="8" t="s">
        <v>233</v>
      </c>
      <c r="AC65" s="8" t="s">
        <v>391</v>
      </c>
      <c r="AD65" s="8" t="s">
        <v>233</v>
      </c>
      <c r="AE65" s="8"/>
      <c r="AF65" s="8"/>
      <c r="AG65" s="8"/>
      <c r="AH65" s="8"/>
      <c r="AI65" s="8"/>
    </row>
    <row r="66" customFormat="false" ht="26.85" hidden="false" customHeight="false" outlineLevel="0" collapsed="false">
      <c r="A66" s="8" t="s">
        <v>4</v>
      </c>
      <c r="B66" s="8" t="s">
        <v>8</v>
      </c>
      <c r="C66" s="8" t="n">
        <v>13</v>
      </c>
      <c r="D66" s="8" t="s">
        <v>6</v>
      </c>
      <c r="E66" s="8" t="s">
        <v>299</v>
      </c>
      <c r="F66" s="8"/>
      <c r="G66" s="8"/>
      <c r="H66" s="8"/>
      <c r="I66" s="8"/>
      <c r="J66" s="8" t="s">
        <v>191</v>
      </c>
      <c r="K66" s="8"/>
      <c r="L66" s="8"/>
      <c r="M66" s="8"/>
      <c r="N66" s="8"/>
      <c r="O66" s="8"/>
      <c r="P66" s="8"/>
      <c r="Q66" s="8"/>
      <c r="R66" s="8"/>
      <c r="S66" s="8"/>
      <c r="T66" s="8" t="s">
        <v>131</v>
      </c>
      <c r="U66" s="8" t="s">
        <v>330</v>
      </c>
      <c r="V66" s="8" t="s">
        <v>331</v>
      </c>
      <c r="W66" s="8" t="s">
        <v>392</v>
      </c>
      <c r="X66" s="8" t="s">
        <v>233</v>
      </c>
      <c r="Y66" s="8" t="s">
        <v>393</v>
      </c>
      <c r="Z66" s="8" t="s">
        <v>233</v>
      </c>
      <c r="AA66" s="8" t="s">
        <v>394</v>
      </c>
      <c r="AB66" s="8" t="s">
        <v>233</v>
      </c>
      <c r="AC66" s="8" t="s">
        <v>395</v>
      </c>
      <c r="AD66" s="8" t="s">
        <v>233</v>
      </c>
      <c r="AE66" s="8"/>
      <c r="AF66" s="8"/>
      <c r="AG66" s="8"/>
      <c r="AH66" s="8"/>
      <c r="AI66" s="8"/>
    </row>
    <row r="67" customFormat="false" ht="26.85" hidden="false" customHeight="false" outlineLevel="0" collapsed="false">
      <c r="A67" s="8" t="s">
        <v>4</v>
      </c>
      <c r="B67" s="8" t="s">
        <v>8</v>
      </c>
      <c r="C67" s="8" t="n">
        <v>13</v>
      </c>
      <c r="D67" s="8" t="s">
        <v>6</v>
      </c>
      <c r="E67" s="8" t="s">
        <v>299</v>
      </c>
      <c r="F67" s="8"/>
      <c r="G67" s="8"/>
      <c r="H67" s="8"/>
      <c r="I67" s="8"/>
      <c r="J67" s="8" t="s">
        <v>191</v>
      </c>
      <c r="K67" s="8"/>
      <c r="L67" s="8"/>
      <c r="M67" s="8"/>
      <c r="N67" s="8"/>
      <c r="O67" s="8"/>
      <c r="P67" s="8"/>
      <c r="Q67" s="8"/>
      <c r="R67" s="8"/>
      <c r="S67" s="8"/>
      <c r="T67" s="8" t="s">
        <v>132</v>
      </c>
      <c r="U67" s="8" t="s">
        <v>336</v>
      </c>
      <c r="V67" s="8" t="s">
        <v>337</v>
      </c>
      <c r="W67" s="8" t="s">
        <v>396</v>
      </c>
      <c r="X67" s="8" t="s">
        <v>235</v>
      </c>
      <c r="Y67" s="8" t="s">
        <v>397</v>
      </c>
      <c r="Z67" s="8" t="s">
        <v>233</v>
      </c>
      <c r="AA67" s="8" t="s">
        <v>398</v>
      </c>
      <c r="AB67" s="8" t="s">
        <v>233</v>
      </c>
      <c r="AC67" s="8" t="s">
        <v>399</v>
      </c>
      <c r="AD67" s="8" t="s">
        <v>233</v>
      </c>
      <c r="AE67" s="8"/>
      <c r="AF67" s="8"/>
      <c r="AG67" s="8"/>
      <c r="AH67" s="8"/>
      <c r="AI67" s="8"/>
    </row>
    <row r="68" customFormat="false" ht="26.85" hidden="false" customHeight="false" outlineLevel="0" collapsed="false">
      <c r="A68" s="8" t="s">
        <v>4</v>
      </c>
      <c r="B68" s="8" t="s">
        <v>8</v>
      </c>
      <c r="C68" s="8" t="n">
        <v>13</v>
      </c>
      <c r="D68" s="8" t="s">
        <v>6</v>
      </c>
      <c r="E68" s="8" t="s">
        <v>299</v>
      </c>
      <c r="F68" s="8"/>
      <c r="G68" s="8"/>
      <c r="H68" s="8"/>
      <c r="I68" s="8"/>
      <c r="J68" s="8" t="s">
        <v>191</v>
      </c>
      <c r="K68" s="8"/>
      <c r="L68" s="8"/>
      <c r="M68" s="8"/>
      <c r="N68" s="8"/>
      <c r="O68" s="8"/>
      <c r="P68" s="8"/>
      <c r="Q68" s="8"/>
      <c r="R68" s="8"/>
      <c r="S68" s="8"/>
      <c r="T68" s="8" t="s">
        <v>133</v>
      </c>
      <c r="U68" s="8" t="s">
        <v>342</v>
      </c>
      <c r="V68" s="8" t="s">
        <v>343</v>
      </c>
      <c r="W68" s="8" t="s">
        <v>400</v>
      </c>
      <c r="X68" s="8" t="s">
        <v>233</v>
      </c>
      <c r="Y68" s="8" t="s">
        <v>401</v>
      </c>
      <c r="Z68" s="8" t="s">
        <v>233</v>
      </c>
      <c r="AA68" s="8" t="s">
        <v>402</v>
      </c>
      <c r="AB68" s="8" t="s">
        <v>233</v>
      </c>
      <c r="AC68" s="8" t="s">
        <v>403</v>
      </c>
      <c r="AD68" s="8" t="s">
        <v>233</v>
      </c>
      <c r="AE68" s="8"/>
      <c r="AF68" s="8"/>
      <c r="AG68" s="8"/>
      <c r="AH68" s="8"/>
      <c r="AI68" s="8"/>
    </row>
    <row r="69" customFormat="false" ht="26.85" hidden="false" customHeight="false" outlineLevel="0" collapsed="false">
      <c r="A69" s="8" t="s">
        <v>4</v>
      </c>
      <c r="B69" s="8" t="s">
        <v>8</v>
      </c>
      <c r="C69" s="8" t="n">
        <v>13</v>
      </c>
      <c r="D69" s="8" t="s">
        <v>6</v>
      </c>
      <c r="E69" s="8" t="s">
        <v>299</v>
      </c>
      <c r="F69" s="8"/>
      <c r="G69" s="8"/>
      <c r="H69" s="8"/>
      <c r="I69" s="8"/>
      <c r="J69" s="8" t="s">
        <v>191</v>
      </c>
      <c r="K69" s="8"/>
      <c r="L69" s="8"/>
      <c r="M69" s="8"/>
      <c r="N69" s="8"/>
      <c r="O69" s="8"/>
      <c r="P69" s="8"/>
      <c r="Q69" s="8"/>
      <c r="R69" s="8"/>
      <c r="S69" s="8"/>
      <c r="T69" s="8" t="s">
        <v>134</v>
      </c>
      <c r="U69" s="8" t="s">
        <v>348</v>
      </c>
      <c r="V69" s="8" t="s">
        <v>349</v>
      </c>
      <c r="W69" s="8" t="s">
        <v>404</v>
      </c>
      <c r="X69" s="8" t="s">
        <v>233</v>
      </c>
      <c r="Y69" s="8" t="s">
        <v>405</v>
      </c>
      <c r="Z69" s="8" t="s">
        <v>233</v>
      </c>
      <c r="AA69" s="8" t="s">
        <v>406</v>
      </c>
      <c r="AB69" s="8" t="s">
        <v>233</v>
      </c>
      <c r="AC69" s="8" t="s">
        <v>407</v>
      </c>
      <c r="AD69" s="8" t="s">
        <v>233</v>
      </c>
      <c r="AE69" s="8"/>
      <c r="AF69" s="8"/>
      <c r="AG69" s="8"/>
      <c r="AH69" s="8"/>
      <c r="AI69" s="8"/>
    </row>
    <row r="70" customFormat="false" ht="26.85" hidden="false" customHeight="false" outlineLevel="0" collapsed="false">
      <c r="A70" s="8" t="s">
        <v>4</v>
      </c>
      <c r="B70" s="8" t="s">
        <v>8</v>
      </c>
      <c r="C70" s="8" t="n">
        <v>13</v>
      </c>
      <c r="D70" s="8" t="s">
        <v>6</v>
      </c>
      <c r="E70" s="8" t="s">
        <v>299</v>
      </c>
      <c r="F70" s="8"/>
      <c r="G70" s="8"/>
      <c r="H70" s="8"/>
      <c r="I70" s="8"/>
      <c r="J70" s="8" t="s">
        <v>191</v>
      </c>
      <c r="K70" s="8"/>
      <c r="L70" s="8"/>
      <c r="M70" s="8"/>
      <c r="N70" s="8"/>
      <c r="O70" s="8"/>
      <c r="P70" s="8"/>
      <c r="Q70" s="8"/>
      <c r="R70" s="8"/>
      <c r="S70" s="8"/>
      <c r="T70" s="8" t="s">
        <v>135</v>
      </c>
      <c r="U70" s="8" t="s">
        <v>354</v>
      </c>
      <c r="V70" s="8" t="s">
        <v>355</v>
      </c>
      <c r="W70" s="8" t="s">
        <v>408</v>
      </c>
      <c r="X70" s="8" t="s">
        <v>233</v>
      </c>
      <c r="Y70" s="8" t="s">
        <v>409</v>
      </c>
      <c r="Z70" s="8" t="s">
        <v>233</v>
      </c>
      <c r="AA70" s="8" t="s">
        <v>410</v>
      </c>
      <c r="AB70" s="8" t="s">
        <v>233</v>
      </c>
      <c r="AC70" s="8" t="s">
        <v>411</v>
      </c>
      <c r="AD70" s="8" t="s">
        <v>233</v>
      </c>
      <c r="AE70" s="8"/>
      <c r="AF70" s="8"/>
      <c r="AG70" s="8"/>
      <c r="AH70" s="8"/>
      <c r="AI70" s="8"/>
    </row>
    <row r="71" customFormat="false" ht="26.85" hidden="false" customHeight="false" outlineLevel="0" collapsed="false">
      <c r="A71" s="8" t="s">
        <v>4</v>
      </c>
      <c r="B71" s="8" t="s">
        <v>8</v>
      </c>
      <c r="C71" s="8" t="n">
        <v>13</v>
      </c>
      <c r="D71" s="8" t="s">
        <v>6</v>
      </c>
      <c r="E71" s="8" t="s">
        <v>299</v>
      </c>
      <c r="F71" s="8"/>
      <c r="G71" s="8"/>
      <c r="H71" s="8"/>
      <c r="I71" s="8"/>
      <c r="J71" s="8" t="s">
        <v>191</v>
      </c>
      <c r="K71" s="8"/>
      <c r="L71" s="8"/>
      <c r="M71" s="8"/>
      <c r="N71" s="8"/>
      <c r="O71" s="8"/>
      <c r="P71" s="8"/>
      <c r="Q71" s="8"/>
      <c r="R71" s="8"/>
      <c r="S71" s="8"/>
      <c r="T71" s="8" t="s">
        <v>136</v>
      </c>
      <c r="U71" s="8" t="s">
        <v>360</v>
      </c>
      <c r="V71" s="8" t="s">
        <v>361</v>
      </c>
      <c r="W71" s="8" t="s">
        <v>412</v>
      </c>
      <c r="X71" s="8" t="s">
        <v>233</v>
      </c>
      <c r="Y71" s="8" t="s">
        <v>413</v>
      </c>
      <c r="Z71" s="8" t="s">
        <v>233</v>
      </c>
      <c r="AA71" s="8" t="s">
        <v>414</v>
      </c>
      <c r="AB71" s="8" t="s">
        <v>233</v>
      </c>
      <c r="AC71" s="8" t="s">
        <v>415</v>
      </c>
      <c r="AD71" s="8" t="s">
        <v>233</v>
      </c>
      <c r="AE71" s="8"/>
      <c r="AF71" s="8"/>
      <c r="AG71" s="8"/>
      <c r="AH71" s="8"/>
      <c r="AI71" s="8"/>
    </row>
    <row r="72" customFormat="false" ht="26.85" hidden="false" customHeight="false" outlineLevel="0" collapsed="false">
      <c r="A72" s="8" t="s">
        <v>4</v>
      </c>
      <c r="B72" s="8" t="s">
        <v>8</v>
      </c>
      <c r="C72" s="8" t="n">
        <v>13</v>
      </c>
      <c r="D72" s="8" t="s">
        <v>6</v>
      </c>
      <c r="E72" s="8" t="s">
        <v>299</v>
      </c>
      <c r="F72" s="8"/>
      <c r="G72" s="8"/>
      <c r="H72" s="8"/>
      <c r="I72" s="8"/>
      <c r="J72" s="8" t="s">
        <v>191</v>
      </c>
      <c r="K72" s="8"/>
      <c r="L72" s="8"/>
      <c r="M72" s="8"/>
      <c r="N72" s="8"/>
      <c r="O72" s="8"/>
      <c r="P72" s="8"/>
      <c r="Q72" s="8"/>
      <c r="R72" s="8"/>
      <c r="S72" s="8"/>
      <c r="T72" s="8" t="s">
        <v>137</v>
      </c>
      <c r="U72" s="8" t="s">
        <v>366</v>
      </c>
      <c r="V72" s="8" t="s">
        <v>367</v>
      </c>
      <c r="W72" s="8" t="s">
        <v>416</v>
      </c>
      <c r="X72" s="8" t="s">
        <v>233</v>
      </c>
      <c r="Y72" s="8" t="s">
        <v>417</v>
      </c>
      <c r="Z72" s="8" t="s">
        <v>233</v>
      </c>
      <c r="AA72" s="8" t="s">
        <v>418</v>
      </c>
      <c r="AB72" s="8" t="s">
        <v>233</v>
      </c>
      <c r="AC72" s="8" t="s">
        <v>419</v>
      </c>
      <c r="AD72" s="8" t="s">
        <v>233</v>
      </c>
      <c r="AE72" s="8"/>
      <c r="AF72" s="8"/>
      <c r="AG72" s="8"/>
      <c r="AH72" s="8"/>
      <c r="AI72" s="8"/>
    </row>
    <row r="73" customFormat="false" ht="26.85" hidden="false" customHeight="false" outlineLevel="0" collapsed="false">
      <c r="A73" s="8" t="s">
        <v>4</v>
      </c>
      <c r="B73" s="8" t="s">
        <v>8</v>
      </c>
      <c r="C73" s="8" t="n">
        <v>13</v>
      </c>
      <c r="D73" s="8" t="s">
        <v>6</v>
      </c>
      <c r="E73" s="8" t="s">
        <v>299</v>
      </c>
      <c r="F73" s="8"/>
      <c r="G73" s="8"/>
      <c r="H73" s="8"/>
      <c r="I73" s="8"/>
      <c r="J73" s="8" t="s">
        <v>193</v>
      </c>
      <c r="K73" s="8"/>
      <c r="L73" s="8"/>
      <c r="M73" s="8"/>
      <c r="N73" s="8"/>
      <c r="O73" s="8"/>
      <c r="P73" s="8"/>
      <c r="Q73" s="8"/>
      <c r="R73" s="8"/>
      <c r="S73" s="8"/>
      <c r="T73" s="8" t="s">
        <v>126</v>
      </c>
      <c r="U73" s="8" t="s">
        <v>300</v>
      </c>
      <c r="V73" s="8" t="s">
        <v>301</v>
      </c>
      <c r="W73" s="8" t="s">
        <v>420</v>
      </c>
      <c r="X73" s="8" t="s">
        <v>233</v>
      </c>
      <c r="Y73" s="8" t="s">
        <v>421</v>
      </c>
      <c r="Z73" s="8" t="s">
        <v>233</v>
      </c>
      <c r="AA73" s="8" t="s">
        <v>422</v>
      </c>
      <c r="AB73" s="8" t="s">
        <v>233</v>
      </c>
      <c r="AC73" s="8" t="s">
        <v>423</v>
      </c>
      <c r="AD73" s="8" t="s">
        <v>233</v>
      </c>
      <c r="AE73" s="8"/>
      <c r="AF73" s="8"/>
      <c r="AG73" s="8"/>
      <c r="AH73" s="8"/>
      <c r="AI73" s="8"/>
    </row>
    <row r="74" customFormat="false" ht="26.85" hidden="false" customHeight="false" outlineLevel="0" collapsed="false">
      <c r="A74" s="8" t="s">
        <v>4</v>
      </c>
      <c r="B74" s="8" t="s">
        <v>8</v>
      </c>
      <c r="C74" s="8" t="n">
        <v>13</v>
      </c>
      <c r="D74" s="8" t="s">
        <v>6</v>
      </c>
      <c r="E74" s="8" t="s">
        <v>299</v>
      </c>
      <c r="F74" s="8"/>
      <c r="G74" s="8"/>
      <c r="H74" s="8"/>
      <c r="I74" s="8"/>
      <c r="J74" s="8" t="s">
        <v>193</v>
      </c>
      <c r="K74" s="8"/>
      <c r="L74" s="8"/>
      <c r="M74" s="8"/>
      <c r="N74" s="8"/>
      <c r="O74" s="8"/>
      <c r="P74" s="8"/>
      <c r="Q74" s="8"/>
      <c r="R74" s="8"/>
      <c r="S74" s="8"/>
      <c r="T74" s="8" t="s">
        <v>127</v>
      </c>
      <c r="U74" s="8" t="s">
        <v>306</v>
      </c>
      <c r="V74" s="8" t="s">
        <v>307</v>
      </c>
      <c r="W74" s="8" t="s">
        <v>424</v>
      </c>
      <c r="X74" s="8" t="s">
        <v>233</v>
      </c>
      <c r="Y74" s="8" t="s">
        <v>425</v>
      </c>
      <c r="Z74" s="8" t="s">
        <v>233</v>
      </c>
      <c r="AA74" s="8" t="s">
        <v>426</v>
      </c>
      <c r="AB74" s="8" t="s">
        <v>233</v>
      </c>
      <c r="AC74" s="8" t="s">
        <v>427</v>
      </c>
      <c r="AD74" s="8" t="s">
        <v>233</v>
      </c>
      <c r="AE74" s="8"/>
      <c r="AF74" s="8"/>
      <c r="AG74" s="8"/>
      <c r="AH74" s="8"/>
      <c r="AI74" s="8"/>
    </row>
    <row r="75" customFormat="false" ht="26.85" hidden="false" customHeight="false" outlineLevel="0" collapsed="false">
      <c r="A75" s="8" t="s">
        <v>4</v>
      </c>
      <c r="B75" s="8" t="s">
        <v>8</v>
      </c>
      <c r="C75" s="8" t="n">
        <v>13</v>
      </c>
      <c r="D75" s="8" t="s">
        <v>6</v>
      </c>
      <c r="E75" s="8" t="s">
        <v>299</v>
      </c>
      <c r="F75" s="8"/>
      <c r="G75" s="8"/>
      <c r="H75" s="8"/>
      <c r="I75" s="8"/>
      <c r="J75" s="8" t="s">
        <v>193</v>
      </c>
      <c r="K75" s="8"/>
      <c r="L75" s="8"/>
      <c r="M75" s="8"/>
      <c r="N75" s="8"/>
      <c r="O75" s="8"/>
      <c r="P75" s="8"/>
      <c r="Q75" s="8"/>
      <c r="R75" s="8"/>
      <c r="S75" s="8"/>
      <c r="T75" s="8" t="s">
        <v>128</v>
      </c>
      <c r="U75" s="8" t="s">
        <v>312</v>
      </c>
      <c r="V75" s="8" t="s">
        <v>313</v>
      </c>
      <c r="W75" s="8" t="s">
        <v>428</v>
      </c>
      <c r="X75" s="8" t="s">
        <v>234</v>
      </c>
      <c r="Y75" s="8" t="s">
        <v>429</v>
      </c>
      <c r="Z75" s="8" t="s">
        <v>233</v>
      </c>
      <c r="AA75" s="8" t="s">
        <v>430</v>
      </c>
      <c r="AB75" s="8" t="s">
        <v>233</v>
      </c>
      <c r="AC75" s="8" t="s">
        <v>431</v>
      </c>
      <c r="AD75" s="8" t="s">
        <v>233</v>
      </c>
      <c r="AE75" s="8"/>
      <c r="AF75" s="8"/>
      <c r="AG75" s="8"/>
      <c r="AH75" s="8"/>
      <c r="AI75" s="8"/>
    </row>
    <row r="76" customFormat="false" ht="26.85" hidden="false" customHeight="false" outlineLevel="0" collapsed="false">
      <c r="A76" s="8" t="s">
        <v>4</v>
      </c>
      <c r="B76" s="8" t="s">
        <v>8</v>
      </c>
      <c r="C76" s="8" t="n">
        <v>13</v>
      </c>
      <c r="D76" s="8" t="s">
        <v>6</v>
      </c>
      <c r="E76" s="8" t="s">
        <v>299</v>
      </c>
      <c r="F76" s="8"/>
      <c r="G76" s="8"/>
      <c r="H76" s="8"/>
      <c r="I76" s="8"/>
      <c r="J76" s="8" t="s">
        <v>193</v>
      </c>
      <c r="K76" s="8"/>
      <c r="L76" s="8"/>
      <c r="M76" s="8"/>
      <c r="N76" s="8"/>
      <c r="O76" s="8"/>
      <c r="P76" s="8"/>
      <c r="Q76" s="8"/>
      <c r="R76" s="8"/>
      <c r="S76" s="8"/>
      <c r="T76" s="8" t="s">
        <v>129</v>
      </c>
      <c r="U76" s="8" t="s">
        <v>318</v>
      </c>
      <c r="V76" s="8" t="s">
        <v>319</v>
      </c>
      <c r="W76" s="8" t="s">
        <v>432</v>
      </c>
      <c r="X76" s="8" t="s">
        <v>233</v>
      </c>
      <c r="Y76" s="8" t="s">
        <v>433</v>
      </c>
      <c r="Z76" s="8" t="s">
        <v>233</v>
      </c>
      <c r="AA76" s="8" t="s">
        <v>434</v>
      </c>
      <c r="AB76" s="8" t="s">
        <v>233</v>
      </c>
      <c r="AC76" s="8" t="s">
        <v>435</v>
      </c>
      <c r="AD76" s="8" t="s">
        <v>233</v>
      </c>
      <c r="AE76" s="8"/>
      <c r="AF76" s="8"/>
      <c r="AG76" s="8"/>
      <c r="AH76" s="8"/>
      <c r="AI76" s="8"/>
    </row>
    <row r="77" customFormat="false" ht="15" hidden="false" customHeight="false" outlineLevel="0" collapsed="false">
      <c r="A77" s="8" t="s">
        <v>4</v>
      </c>
      <c r="B77" s="8" t="s">
        <v>8</v>
      </c>
      <c r="C77" s="8" t="n">
        <v>13</v>
      </c>
      <c r="D77" s="8" t="s">
        <v>6</v>
      </c>
      <c r="E77" s="8" t="s">
        <v>299</v>
      </c>
      <c r="F77" s="8"/>
      <c r="G77" s="8"/>
      <c r="H77" s="8"/>
      <c r="I77" s="8"/>
      <c r="J77" s="8" t="s">
        <v>193</v>
      </c>
      <c r="K77" s="8"/>
      <c r="L77" s="8"/>
      <c r="M77" s="8"/>
      <c r="N77" s="8"/>
      <c r="O77" s="8"/>
      <c r="P77" s="8"/>
      <c r="Q77" s="8"/>
      <c r="R77" s="8"/>
      <c r="S77" s="8"/>
      <c r="T77" s="8" t="s">
        <v>130</v>
      </c>
      <c r="U77" s="8" t="s">
        <v>324</v>
      </c>
      <c r="V77" s="8" t="s">
        <v>325</v>
      </c>
      <c r="W77" s="8" t="s">
        <v>436</v>
      </c>
      <c r="X77" s="8" t="s">
        <v>233</v>
      </c>
      <c r="Y77" s="8" t="s">
        <v>437</v>
      </c>
      <c r="Z77" s="8" t="s">
        <v>233</v>
      </c>
      <c r="AA77" s="8" t="s">
        <v>438</v>
      </c>
      <c r="AB77" s="8" t="s">
        <v>233</v>
      </c>
      <c r="AC77" s="8" t="s">
        <v>439</v>
      </c>
      <c r="AD77" s="8" t="s">
        <v>233</v>
      </c>
      <c r="AE77" s="8"/>
      <c r="AF77" s="8"/>
      <c r="AG77" s="8"/>
      <c r="AH77" s="8"/>
      <c r="AI77" s="8"/>
    </row>
    <row r="78" customFormat="false" ht="26.85" hidden="false" customHeight="false" outlineLevel="0" collapsed="false">
      <c r="A78" s="8" t="s">
        <v>4</v>
      </c>
      <c r="B78" s="8" t="s">
        <v>8</v>
      </c>
      <c r="C78" s="8" t="n">
        <v>13</v>
      </c>
      <c r="D78" s="8" t="s">
        <v>6</v>
      </c>
      <c r="E78" s="8" t="s">
        <v>299</v>
      </c>
      <c r="F78" s="8"/>
      <c r="G78" s="8"/>
      <c r="H78" s="8"/>
      <c r="I78" s="8"/>
      <c r="J78" s="8" t="s">
        <v>193</v>
      </c>
      <c r="K78" s="8"/>
      <c r="L78" s="8"/>
      <c r="M78" s="8"/>
      <c r="N78" s="8"/>
      <c r="O78" s="8"/>
      <c r="P78" s="8"/>
      <c r="Q78" s="8"/>
      <c r="R78" s="8"/>
      <c r="S78" s="8"/>
      <c r="T78" s="8" t="s">
        <v>131</v>
      </c>
      <c r="U78" s="8" t="s">
        <v>330</v>
      </c>
      <c r="V78" s="8" t="s">
        <v>331</v>
      </c>
      <c r="W78" s="8" t="s">
        <v>440</v>
      </c>
      <c r="X78" s="8" t="s">
        <v>233</v>
      </c>
      <c r="Y78" s="8" t="s">
        <v>441</v>
      </c>
      <c r="Z78" s="8" t="s">
        <v>233</v>
      </c>
      <c r="AA78" s="8" t="s">
        <v>442</v>
      </c>
      <c r="AB78" s="8" t="s">
        <v>233</v>
      </c>
      <c r="AC78" s="8" t="s">
        <v>443</v>
      </c>
      <c r="AD78" s="8" t="s">
        <v>233</v>
      </c>
      <c r="AE78" s="8"/>
      <c r="AF78" s="8"/>
      <c r="AG78" s="8"/>
      <c r="AH78" s="8"/>
      <c r="AI78" s="8"/>
    </row>
    <row r="79" customFormat="false" ht="26.85" hidden="false" customHeight="false" outlineLevel="0" collapsed="false">
      <c r="A79" s="8" t="s">
        <v>4</v>
      </c>
      <c r="B79" s="8" t="s">
        <v>8</v>
      </c>
      <c r="C79" s="8" t="n">
        <v>13</v>
      </c>
      <c r="D79" s="8" t="s">
        <v>6</v>
      </c>
      <c r="E79" s="8" t="s">
        <v>299</v>
      </c>
      <c r="F79" s="8"/>
      <c r="G79" s="8"/>
      <c r="H79" s="8"/>
      <c r="I79" s="8"/>
      <c r="J79" s="8" t="s">
        <v>193</v>
      </c>
      <c r="K79" s="8"/>
      <c r="L79" s="8"/>
      <c r="M79" s="8"/>
      <c r="N79" s="8"/>
      <c r="O79" s="8"/>
      <c r="P79" s="8"/>
      <c r="Q79" s="8"/>
      <c r="R79" s="8"/>
      <c r="S79" s="8"/>
      <c r="T79" s="8" t="s">
        <v>132</v>
      </c>
      <c r="U79" s="8" t="s">
        <v>336</v>
      </c>
      <c r="V79" s="8" t="s">
        <v>337</v>
      </c>
      <c r="W79" s="8" t="s">
        <v>444</v>
      </c>
      <c r="X79" s="8" t="s">
        <v>234</v>
      </c>
      <c r="Y79" s="8" t="s">
        <v>445</v>
      </c>
      <c r="Z79" s="8" t="s">
        <v>233</v>
      </c>
      <c r="AA79" s="8" t="s">
        <v>446</v>
      </c>
      <c r="AB79" s="8" t="s">
        <v>233</v>
      </c>
      <c r="AC79" s="8" t="s">
        <v>447</v>
      </c>
      <c r="AD79" s="8" t="s">
        <v>233</v>
      </c>
      <c r="AE79" s="8"/>
      <c r="AF79" s="8"/>
      <c r="AG79" s="8"/>
      <c r="AH79" s="8"/>
      <c r="AI79" s="8"/>
    </row>
    <row r="80" customFormat="false" ht="15" hidden="false" customHeight="false" outlineLevel="0" collapsed="false">
      <c r="A80" s="8" t="s">
        <v>4</v>
      </c>
      <c r="B80" s="8" t="s">
        <v>8</v>
      </c>
      <c r="C80" s="8" t="n">
        <v>13</v>
      </c>
      <c r="D80" s="8" t="s">
        <v>6</v>
      </c>
      <c r="E80" s="8" t="s">
        <v>299</v>
      </c>
      <c r="F80" s="8"/>
      <c r="G80" s="8"/>
      <c r="H80" s="8"/>
      <c r="I80" s="8"/>
      <c r="J80" s="8" t="s">
        <v>193</v>
      </c>
      <c r="K80" s="8"/>
      <c r="L80" s="8"/>
      <c r="M80" s="8"/>
      <c r="N80" s="8"/>
      <c r="O80" s="8"/>
      <c r="P80" s="8"/>
      <c r="Q80" s="8"/>
      <c r="R80" s="8"/>
      <c r="S80" s="8"/>
      <c r="T80" s="8" t="s">
        <v>133</v>
      </c>
      <c r="U80" s="8" t="s">
        <v>342</v>
      </c>
      <c r="V80" s="8" t="s">
        <v>343</v>
      </c>
      <c r="W80" s="8" t="s">
        <v>448</v>
      </c>
      <c r="X80" s="8" t="s">
        <v>233</v>
      </c>
      <c r="Y80" s="8" t="s">
        <v>449</v>
      </c>
      <c r="Z80" s="8" t="s">
        <v>233</v>
      </c>
      <c r="AA80" s="8" t="s">
        <v>450</v>
      </c>
      <c r="AB80" s="8" t="s">
        <v>233</v>
      </c>
      <c r="AC80" s="8" t="s">
        <v>451</v>
      </c>
      <c r="AD80" s="8" t="s">
        <v>233</v>
      </c>
      <c r="AE80" s="8"/>
      <c r="AF80" s="8"/>
      <c r="AG80" s="8"/>
      <c r="AH80" s="8"/>
      <c r="AI80" s="8"/>
    </row>
    <row r="81" customFormat="false" ht="26.85" hidden="false" customHeight="false" outlineLevel="0" collapsed="false">
      <c r="A81" s="8" t="s">
        <v>4</v>
      </c>
      <c r="B81" s="8" t="s">
        <v>8</v>
      </c>
      <c r="C81" s="8" t="n">
        <v>13</v>
      </c>
      <c r="D81" s="8" t="s">
        <v>6</v>
      </c>
      <c r="E81" s="8" t="s">
        <v>299</v>
      </c>
      <c r="F81" s="8"/>
      <c r="G81" s="8"/>
      <c r="H81" s="8"/>
      <c r="I81" s="8"/>
      <c r="J81" s="8" t="s">
        <v>193</v>
      </c>
      <c r="K81" s="8"/>
      <c r="L81" s="8"/>
      <c r="M81" s="8"/>
      <c r="N81" s="8"/>
      <c r="O81" s="8"/>
      <c r="P81" s="8"/>
      <c r="Q81" s="8"/>
      <c r="R81" s="8"/>
      <c r="S81" s="8"/>
      <c r="T81" s="8" t="s">
        <v>134</v>
      </c>
      <c r="U81" s="8" t="s">
        <v>348</v>
      </c>
      <c r="V81" s="8" t="s">
        <v>349</v>
      </c>
      <c r="W81" s="8" t="s">
        <v>452</v>
      </c>
      <c r="X81" s="8" t="s">
        <v>233</v>
      </c>
      <c r="Y81" s="8" t="s">
        <v>453</v>
      </c>
      <c r="Z81" s="8" t="s">
        <v>233</v>
      </c>
      <c r="AA81" s="8" t="s">
        <v>454</v>
      </c>
      <c r="AB81" s="8" t="s">
        <v>233</v>
      </c>
      <c r="AC81" s="8" t="s">
        <v>455</v>
      </c>
      <c r="AD81" s="8" t="s">
        <v>233</v>
      </c>
      <c r="AE81" s="8"/>
      <c r="AF81" s="8"/>
      <c r="AG81" s="8"/>
      <c r="AH81" s="8"/>
      <c r="AI81" s="8"/>
    </row>
    <row r="82" customFormat="false" ht="26.85" hidden="false" customHeight="false" outlineLevel="0" collapsed="false">
      <c r="A82" s="8" t="s">
        <v>4</v>
      </c>
      <c r="B82" s="8" t="s">
        <v>8</v>
      </c>
      <c r="C82" s="8" t="n">
        <v>13</v>
      </c>
      <c r="D82" s="8" t="s">
        <v>6</v>
      </c>
      <c r="E82" s="8" t="s">
        <v>299</v>
      </c>
      <c r="F82" s="8"/>
      <c r="G82" s="8"/>
      <c r="H82" s="8"/>
      <c r="I82" s="8"/>
      <c r="J82" s="8" t="s">
        <v>193</v>
      </c>
      <c r="K82" s="8"/>
      <c r="L82" s="8"/>
      <c r="M82" s="8"/>
      <c r="N82" s="8"/>
      <c r="O82" s="8"/>
      <c r="P82" s="8"/>
      <c r="Q82" s="8"/>
      <c r="R82" s="8"/>
      <c r="S82" s="8"/>
      <c r="T82" s="8" t="s">
        <v>135</v>
      </c>
      <c r="U82" s="8" t="s">
        <v>354</v>
      </c>
      <c r="V82" s="8" t="s">
        <v>355</v>
      </c>
      <c r="W82" s="8" t="s">
        <v>456</v>
      </c>
      <c r="X82" s="8" t="s">
        <v>233</v>
      </c>
      <c r="Y82" s="8" t="s">
        <v>457</v>
      </c>
      <c r="Z82" s="8" t="s">
        <v>233</v>
      </c>
      <c r="AA82" s="8" t="s">
        <v>458</v>
      </c>
      <c r="AB82" s="8" t="s">
        <v>233</v>
      </c>
      <c r="AC82" s="8" t="s">
        <v>459</v>
      </c>
      <c r="AD82" s="8" t="s">
        <v>233</v>
      </c>
      <c r="AE82" s="8"/>
      <c r="AF82" s="8"/>
      <c r="AG82" s="8"/>
      <c r="AH82" s="8"/>
      <c r="AI82" s="8"/>
    </row>
    <row r="83" customFormat="false" ht="26.85" hidden="false" customHeight="false" outlineLevel="0" collapsed="false">
      <c r="A83" s="8" t="s">
        <v>4</v>
      </c>
      <c r="B83" s="8" t="s">
        <v>8</v>
      </c>
      <c r="C83" s="8" t="n">
        <v>13</v>
      </c>
      <c r="D83" s="8" t="s">
        <v>6</v>
      </c>
      <c r="E83" s="8" t="s">
        <v>299</v>
      </c>
      <c r="F83" s="8"/>
      <c r="G83" s="8"/>
      <c r="H83" s="8"/>
      <c r="I83" s="8"/>
      <c r="J83" s="8" t="s">
        <v>193</v>
      </c>
      <c r="K83" s="8"/>
      <c r="L83" s="8"/>
      <c r="M83" s="8"/>
      <c r="N83" s="8"/>
      <c r="O83" s="8"/>
      <c r="P83" s="8"/>
      <c r="Q83" s="8"/>
      <c r="R83" s="8"/>
      <c r="S83" s="8"/>
      <c r="T83" s="8" t="s">
        <v>136</v>
      </c>
      <c r="U83" s="8" t="s">
        <v>360</v>
      </c>
      <c r="V83" s="8" t="s">
        <v>361</v>
      </c>
      <c r="W83" s="8" t="s">
        <v>460</v>
      </c>
      <c r="X83" s="8" t="s">
        <v>233</v>
      </c>
      <c r="Y83" s="8" t="s">
        <v>461</v>
      </c>
      <c r="Z83" s="8" t="s">
        <v>233</v>
      </c>
      <c r="AA83" s="8" t="s">
        <v>462</v>
      </c>
      <c r="AB83" s="8" t="s">
        <v>233</v>
      </c>
      <c r="AC83" s="8" t="s">
        <v>463</v>
      </c>
      <c r="AD83" s="8" t="s">
        <v>233</v>
      </c>
      <c r="AE83" s="8"/>
      <c r="AF83" s="8"/>
      <c r="AG83" s="8"/>
      <c r="AH83" s="8"/>
      <c r="AI83" s="8"/>
    </row>
    <row r="84" customFormat="false" ht="26.85" hidden="false" customHeight="false" outlineLevel="0" collapsed="false">
      <c r="A84" s="8" t="s">
        <v>4</v>
      </c>
      <c r="B84" s="8" t="s">
        <v>8</v>
      </c>
      <c r="C84" s="8" t="n">
        <v>13</v>
      </c>
      <c r="D84" s="8" t="s">
        <v>6</v>
      </c>
      <c r="E84" s="8" t="s">
        <v>299</v>
      </c>
      <c r="F84" s="8"/>
      <c r="G84" s="8"/>
      <c r="H84" s="8"/>
      <c r="I84" s="8"/>
      <c r="J84" s="8" t="s">
        <v>193</v>
      </c>
      <c r="K84" s="8"/>
      <c r="L84" s="8"/>
      <c r="M84" s="8"/>
      <c r="N84" s="8"/>
      <c r="O84" s="8"/>
      <c r="P84" s="8"/>
      <c r="Q84" s="8"/>
      <c r="R84" s="8"/>
      <c r="S84" s="8"/>
      <c r="T84" s="8" t="s">
        <v>137</v>
      </c>
      <c r="U84" s="8" t="s">
        <v>366</v>
      </c>
      <c r="V84" s="8" t="s">
        <v>367</v>
      </c>
      <c r="W84" s="8" t="s">
        <v>464</v>
      </c>
      <c r="X84" s="8" t="s">
        <v>233</v>
      </c>
      <c r="Y84" s="8" t="s">
        <v>465</v>
      </c>
      <c r="Z84" s="8" t="s">
        <v>233</v>
      </c>
      <c r="AA84" s="8" t="s">
        <v>466</v>
      </c>
      <c r="AB84" s="8" t="s">
        <v>233</v>
      </c>
      <c r="AC84" s="8" t="s">
        <v>467</v>
      </c>
      <c r="AD84" s="8" t="s">
        <v>233</v>
      </c>
      <c r="AE84" s="8"/>
      <c r="AF84" s="8"/>
      <c r="AG84" s="8"/>
      <c r="AH84" s="8"/>
      <c r="AI84" s="8"/>
    </row>
    <row r="85" customFormat="false" ht="26.85" hidden="false" customHeight="false" outlineLevel="0" collapsed="false">
      <c r="A85" s="8" t="s">
        <v>4</v>
      </c>
      <c r="B85" s="8" t="s">
        <v>8</v>
      </c>
      <c r="C85" s="8" t="n">
        <v>13</v>
      </c>
      <c r="D85" s="8" t="s">
        <v>6</v>
      </c>
      <c r="E85" s="8" t="s">
        <v>299</v>
      </c>
      <c r="F85" s="8"/>
      <c r="G85" s="8"/>
      <c r="H85" s="8"/>
      <c r="I85" s="8"/>
      <c r="J85" s="8" t="s">
        <v>195</v>
      </c>
      <c r="K85" s="8"/>
      <c r="L85" s="8"/>
      <c r="M85" s="8"/>
      <c r="N85" s="8"/>
      <c r="O85" s="8"/>
      <c r="P85" s="8"/>
      <c r="Q85" s="8"/>
      <c r="R85" s="8"/>
      <c r="S85" s="8"/>
      <c r="T85" s="8" t="s">
        <v>126</v>
      </c>
      <c r="U85" s="8" t="s">
        <v>300</v>
      </c>
      <c r="V85" s="8" t="s">
        <v>301</v>
      </c>
      <c r="W85" s="8" t="s">
        <v>468</v>
      </c>
      <c r="X85" s="8" t="s">
        <v>233</v>
      </c>
      <c r="Y85" s="8" t="s">
        <v>469</v>
      </c>
      <c r="Z85" s="8" t="s">
        <v>233</v>
      </c>
      <c r="AA85" s="8" t="s">
        <v>470</v>
      </c>
      <c r="AB85" s="8" t="s">
        <v>233</v>
      </c>
      <c r="AC85" s="8" t="s">
        <v>471</v>
      </c>
      <c r="AD85" s="8" t="s">
        <v>233</v>
      </c>
      <c r="AE85" s="8"/>
      <c r="AF85" s="8"/>
      <c r="AG85" s="8"/>
      <c r="AH85" s="8"/>
      <c r="AI85" s="8"/>
    </row>
    <row r="86" customFormat="false" ht="26.85" hidden="false" customHeight="false" outlineLevel="0" collapsed="false">
      <c r="A86" s="8" t="s">
        <v>4</v>
      </c>
      <c r="B86" s="8" t="s">
        <v>8</v>
      </c>
      <c r="C86" s="8" t="n">
        <v>13</v>
      </c>
      <c r="D86" s="8" t="s">
        <v>6</v>
      </c>
      <c r="E86" s="8" t="s">
        <v>299</v>
      </c>
      <c r="F86" s="8"/>
      <c r="G86" s="8"/>
      <c r="H86" s="8"/>
      <c r="I86" s="8"/>
      <c r="J86" s="8" t="s">
        <v>195</v>
      </c>
      <c r="K86" s="8"/>
      <c r="L86" s="8"/>
      <c r="M86" s="8"/>
      <c r="N86" s="8"/>
      <c r="O86" s="8"/>
      <c r="P86" s="8"/>
      <c r="Q86" s="8"/>
      <c r="R86" s="8"/>
      <c r="S86" s="8"/>
      <c r="T86" s="8" t="s">
        <v>127</v>
      </c>
      <c r="U86" s="8" t="s">
        <v>306</v>
      </c>
      <c r="V86" s="8" t="s">
        <v>307</v>
      </c>
      <c r="W86" s="8" t="s">
        <v>472</v>
      </c>
      <c r="X86" s="8" t="s">
        <v>233</v>
      </c>
      <c r="Y86" s="8" t="s">
        <v>473</v>
      </c>
      <c r="Z86" s="8" t="s">
        <v>233</v>
      </c>
      <c r="AA86" s="8" t="s">
        <v>474</v>
      </c>
      <c r="AB86" s="8" t="s">
        <v>233</v>
      </c>
      <c r="AC86" s="8" t="s">
        <v>475</v>
      </c>
      <c r="AD86" s="8" t="s">
        <v>233</v>
      </c>
      <c r="AE86" s="8"/>
      <c r="AF86" s="8"/>
      <c r="AG86" s="8"/>
      <c r="AH86" s="8"/>
      <c r="AI86" s="8"/>
    </row>
    <row r="87" customFormat="false" ht="26.85" hidden="false" customHeight="false" outlineLevel="0" collapsed="false">
      <c r="A87" s="8" t="s">
        <v>4</v>
      </c>
      <c r="B87" s="8" t="s">
        <v>8</v>
      </c>
      <c r="C87" s="8" t="n">
        <v>13</v>
      </c>
      <c r="D87" s="8" t="s">
        <v>6</v>
      </c>
      <c r="E87" s="8" t="s">
        <v>299</v>
      </c>
      <c r="F87" s="8"/>
      <c r="G87" s="8"/>
      <c r="H87" s="8"/>
      <c r="I87" s="8"/>
      <c r="J87" s="8" t="s">
        <v>195</v>
      </c>
      <c r="K87" s="8"/>
      <c r="L87" s="8"/>
      <c r="M87" s="8"/>
      <c r="N87" s="8"/>
      <c r="O87" s="8"/>
      <c r="P87" s="8"/>
      <c r="Q87" s="8"/>
      <c r="R87" s="8"/>
      <c r="S87" s="8"/>
      <c r="T87" s="8" t="s">
        <v>128</v>
      </c>
      <c r="U87" s="8" t="s">
        <v>312</v>
      </c>
      <c r="V87" s="8" t="s">
        <v>313</v>
      </c>
      <c r="W87" s="8" t="s">
        <v>476</v>
      </c>
      <c r="X87" s="8" t="s">
        <v>234</v>
      </c>
      <c r="Y87" s="8" t="s">
        <v>477</v>
      </c>
      <c r="Z87" s="8" t="s">
        <v>233</v>
      </c>
      <c r="AA87" s="8" t="s">
        <v>478</v>
      </c>
      <c r="AB87" s="8" t="s">
        <v>233</v>
      </c>
      <c r="AC87" s="8" t="s">
        <v>479</v>
      </c>
      <c r="AD87" s="8" t="s">
        <v>233</v>
      </c>
      <c r="AE87" s="8"/>
      <c r="AF87" s="8"/>
      <c r="AG87" s="8"/>
      <c r="AH87" s="8"/>
      <c r="AI87" s="8"/>
    </row>
    <row r="88" customFormat="false" ht="26.85" hidden="false" customHeight="false" outlineLevel="0" collapsed="false">
      <c r="A88" s="8" t="s">
        <v>4</v>
      </c>
      <c r="B88" s="8" t="s">
        <v>8</v>
      </c>
      <c r="C88" s="8" t="n">
        <v>13</v>
      </c>
      <c r="D88" s="8" t="s">
        <v>6</v>
      </c>
      <c r="E88" s="8" t="s">
        <v>299</v>
      </c>
      <c r="F88" s="8"/>
      <c r="G88" s="8"/>
      <c r="H88" s="8"/>
      <c r="I88" s="8"/>
      <c r="J88" s="8" t="s">
        <v>195</v>
      </c>
      <c r="K88" s="8"/>
      <c r="L88" s="8"/>
      <c r="M88" s="8"/>
      <c r="N88" s="8"/>
      <c r="O88" s="8"/>
      <c r="P88" s="8"/>
      <c r="Q88" s="8"/>
      <c r="R88" s="8"/>
      <c r="S88" s="8"/>
      <c r="T88" s="8" t="s">
        <v>129</v>
      </c>
      <c r="U88" s="8" t="s">
        <v>318</v>
      </c>
      <c r="V88" s="8" t="s">
        <v>319</v>
      </c>
      <c r="W88" s="8" t="s">
        <v>480</v>
      </c>
      <c r="X88" s="8" t="s">
        <v>233</v>
      </c>
      <c r="Y88" s="8" t="s">
        <v>481</v>
      </c>
      <c r="Z88" s="8" t="s">
        <v>233</v>
      </c>
      <c r="AA88" s="8" t="s">
        <v>482</v>
      </c>
      <c r="AB88" s="8" t="s">
        <v>233</v>
      </c>
      <c r="AC88" s="8" t="s">
        <v>483</v>
      </c>
      <c r="AD88" s="8" t="s">
        <v>233</v>
      </c>
      <c r="AE88" s="8"/>
      <c r="AF88" s="8"/>
      <c r="AG88" s="8"/>
      <c r="AH88" s="8"/>
      <c r="AI88" s="8"/>
    </row>
    <row r="89" customFormat="false" ht="15" hidden="false" customHeight="false" outlineLevel="0" collapsed="false">
      <c r="A89" s="8" t="s">
        <v>4</v>
      </c>
      <c r="B89" s="8" t="s">
        <v>8</v>
      </c>
      <c r="C89" s="8" t="n">
        <v>13</v>
      </c>
      <c r="D89" s="8" t="s">
        <v>6</v>
      </c>
      <c r="E89" s="8" t="s">
        <v>299</v>
      </c>
      <c r="F89" s="8"/>
      <c r="G89" s="8"/>
      <c r="H89" s="8"/>
      <c r="I89" s="8"/>
      <c r="J89" s="8" t="s">
        <v>195</v>
      </c>
      <c r="K89" s="8"/>
      <c r="L89" s="8"/>
      <c r="M89" s="8"/>
      <c r="N89" s="8"/>
      <c r="O89" s="8"/>
      <c r="P89" s="8"/>
      <c r="Q89" s="8"/>
      <c r="R89" s="8"/>
      <c r="S89" s="8"/>
      <c r="T89" s="8" t="s">
        <v>130</v>
      </c>
      <c r="U89" s="8" t="s">
        <v>324</v>
      </c>
      <c r="V89" s="8" t="s">
        <v>325</v>
      </c>
      <c r="W89" s="8" t="s">
        <v>484</v>
      </c>
      <c r="X89" s="8" t="s">
        <v>233</v>
      </c>
      <c r="Y89" s="8" t="s">
        <v>485</v>
      </c>
      <c r="Z89" s="8" t="s">
        <v>233</v>
      </c>
      <c r="AA89" s="8" t="s">
        <v>486</v>
      </c>
      <c r="AB89" s="8" t="s">
        <v>233</v>
      </c>
      <c r="AC89" s="8" t="s">
        <v>487</v>
      </c>
      <c r="AD89" s="8" t="s">
        <v>233</v>
      </c>
      <c r="AE89" s="8"/>
      <c r="AF89" s="8"/>
      <c r="AG89" s="8"/>
      <c r="AH89" s="8"/>
      <c r="AI89" s="8"/>
    </row>
    <row r="90" customFormat="false" ht="26.85" hidden="false" customHeight="false" outlineLevel="0" collapsed="false">
      <c r="A90" s="8" t="s">
        <v>4</v>
      </c>
      <c r="B90" s="8" t="s">
        <v>8</v>
      </c>
      <c r="C90" s="8" t="n">
        <v>13</v>
      </c>
      <c r="D90" s="8" t="s">
        <v>6</v>
      </c>
      <c r="E90" s="8" t="s">
        <v>299</v>
      </c>
      <c r="F90" s="8"/>
      <c r="G90" s="8"/>
      <c r="H90" s="8"/>
      <c r="I90" s="8"/>
      <c r="J90" s="8" t="s">
        <v>195</v>
      </c>
      <c r="K90" s="8"/>
      <c r="L90" s="8"/>
      <c r="M90" s="8"/>
      <c r="N90" s="8"/>
      <c r="O90" s="8"/>
      <c r="P90" s="8"/>
      <c r="Q90" s="8"/>
      <c r="R90" s="8"/>
      <c r="S90" s="8"/>
      <c r="T90" s="8" t="s">
        <v>131</v>
      </c>
      <c r="U90" s="8" t="s">
        <v>330</v>
      </c>
      <c r="V90" s="8" t="s">
        <v>331</v>
      </c>
      <c r="W90" s="8" t="s">
        <v>488</v>
      </c>
      <c r="X90" s="8" t="s">
        <v>233</v>
      </c>
      <c r="Y90" s="8" t="s">
        <v>489</v>
      </c>
      <c r="Z90" s="8" t="s">
        <v>233</v>
      </c>
      <c r="AA90" s="8" t="s">
        <v>490</v>
      </c>
      <c r="AB90" s="8" t="s">
        <v>233</v>
      </c>
      <c r="AC90" s="8" t="s">
        <v>491</v>
      </c>
      <c r="AD90" s="8" t="s">
        <v>233</v>
      </c>
      <c r="AE90" s="8"/>
      <c r="AF90" s="8"/>
      <c r="AG90" s="8"/>
      <c r="AH90" s="8"/>
      <c r="AI90" s="8"/>
    </row>
    <row r="91" customFormat="false" ht="26.85" hidden="false" customHeight="false" outlineLevel="0" collapsed="false">
      <c r="A91" s="8" t="s">
        <v>4</v>
      </c>
      <c r="B91" s="8" t="s">
        <v>8</v>
      </c>
      <c r="C91" s="8" t="n">
        <v>13</v>
      </c>
      <c r="D91" s="8" t="s">
        <v>6</v>
      </c>
      <c r="E91" s="8" t="s">
        <v>299</v>
      </c>
      <c r="F91" s="8"/>
      <c r="G91" s="8"/>
      <c r="H91" s="8"/>
      <c r="I91" s="8"/>
      <c r="J91" s="8" t="s">
        <v>195</v>
      </c>
      <c r="K91" s="8"/>
      <c r="L91" s="8"/>
      <c r="M91" s="8"/>
      <c r="N91" s="8"/>
      <c r="O91" s="8"/>
      <c r="P91" s="8"/>
      <c r="Q91" s="8"/>
      <c r="R91" s="8"/>
      <c r="S91" s="8"/>
      <c r="T91" s="8" t="s">
        <v>132</v>
      </c>
      <c r="U91" s="8" t="s">
        <v>336</v>
      </c>
      <c r="V91" s="8" t="s">
        <v>337</v>
      </c>
      <c r="W91" s="8" t="s">
        <v>492</v>
      </c>
      <c r="X91" s="8" t="s">
        <v>233</v>
      </c>
      <c r="Y91" s="8" t="s">
        <v>493</v>
      </c>
      <c r="Z91" s="8" t="s">
        <v>233</v>
      </c>
      <c r="AA91" s="8" t="s">
        <v>494</v>
      </c>
      <c r="AB91" s="8" t="s">
        <v>233</v>
      </c>
      <c r="AC91" s="8" t="s">
        <v>495</v>
      </c>
      <c r="AD91" s="8" t="s">
        <v>233</v>
      </c>
      <c r="AE91" s="8"/>
      <c r="AF91" s="8"/>
      <c r="AG91" s="8"/>
      <c r="AH91" s="8"/>
      <c r="AI91" s="8"/>
    </row>
    <row r="92" customFormat="false" ht="15" hidden="false" customHeight="false" outlineLevel="0" collapsed="false">
      <c r="A92" s="8" t="s">
        <v>4</v>
      </c>
      <c r="B92" s="8" t="s">
        <v>8</v>
      </c>
      <c r="C92" s="8" t="n">
        <v>13</v>
      </c>
      <c r="D92" s="8" t="s">
        <v>6</v>
      </c>
      <c r="E92" s="8" t="s">
        <v>299</v>
      </c>
      <c r="F92" s="8"/>
      <c r="G92" s="8"/>
      <c r="H92" s="8"/>
      <c r="I92" s="8"/>
      <c r="J92" s="8" t="s">
        <v>195</v>
      </c>
      <c r="K92" s="8"/>
      <c r="L92" s="8"/>
      <c r="M92" s="8"/>
      <c r="N92" s="8"/>
      <c r="O92" s="8"/>
      <c r="P92" s="8"/>
      <c r="Q92" s="8"/>
      <c r="R92" s="8"/>
      <c r="S92" s="8"/>
      <c r="T92" s="8" t="s">
        <v>133</v>
      </c>
      <c r="U92" s="8" t="s">
        <v>342</v>
      </c>
      <c r="V92" s="8" t="s">
        <v>343</v>
      </c>
      <c r="W92" s="8" t="s">
        <v>496</v>
      </c>
      <c r="X92" s="8" t="s">
        <v>233</v>
      </c>
      <c r="Y92" s="8" t="s">
        <v>497</v>
      </c>
      <c r="Z92" s="8" t="s">
        <v>233</v>
      </c>
      <c r="AA92" s="8" t="s">
        <v>498</v>
      </c>
      <c r="AB92" s="8" t="s">
        <v>233</v>
      </c>
      <c r="AC92" s="8" t="s">
        <v>499</v>
      </c>
      <c r="AD92" s="8" t="s">
        <v>233</v>
      </c>
      <c r="AE92" s="8"/>
      <c r="AF92" s="8"/>
      <c r="AG92" s="8"/>
      <c r="AH92" s="8"/>
      <c r="AI92" s="8"/>
    </row>
    <row r="93" customFormat="false" ht="26.85" hidden="false" customHeight="false" outlineLevel="0" collapsed="false">
      <c r="A93" s="8" t="s">
        <v>4</v>
      </c>
      <c r="B93" s="8" t="s">
        <v>8</v>
      </c>
      <c r="C93" s="8" t="n">
        <v>13</v>
      </c>
      <c r="D93" s="8" t="s">
        <v>6</v>
      </c>
      <c r="E93" s="8" t="s">
        <v>299</v>
      </c>
      <c r="F93" s="8"/>
      <c r="G93" s="8"/>
      <c r="H93" s="8"/>
      <c r="I93" s="8"/>
      <c r="J93" s="8" t="s">
        <v>195</v>
      </c>
      <c r="K93" s="8"/>
      <c r="L93" s="8"/>
      <c r="M93" s="8"/>
      <c r="N93" s="8"/>
      <c r="O93" s="8"/>
      <c r="P93" s="8"/>
      <c r="Q93" s="8"/>
      <c r="R93" s="8"/>
      <c r="S93" s="8"/>
      <c r="T93" s="8" t="s">
        <v>134</v>
      </c>
      <c r="U93" s="8" t="s">
        <v>348</v>
      </c>
      <c r="V93" s="8" t="s">
        <v>349</v>
      </c>
      <c r="W93" s="8" t="s">
        <v>500</v>
      </c>
      <c r="X93" s="8" t="s">
        <v>233</v>
      </c>
      <c r="Y93" s="8" t="s">
        <v>501</v>
      </c>
      <c r="Z93" s="8" t="s">
        <v>233</v>
      </c>
      <c r="AA93" s="8" t="s">
        <v>502</v>
      </c>
      <c r="AB93" s="8" t="s">
        <v>233</v>
      </c>
      <c r="AC93" s="8" t="s">
        <v>503</v>
      </c>
      <c r="AD93" s="8" t="s">
        <v>233</v>
      </c>
      <c r="AE93" s="8"/>
      <c r="AF93" s="8"/>
      <c r="AG93" s="8"/>
      <c r="AH93" s="8"/>
      <c r="AI93" s="8"/>
    </row>
    <row r="94" customFormat="false" ht="26.85" hidden="false" customHeight="false" outlineLevel="0" collapsed="false">
      <c r="A94" s="8" t="s">
        <v>4</v>
      </c>
      <c r="B94" s="8" t="s">
        <v>8</v>
      </c>
      <c r="C94" s="8" t="n">
        <v>13</v>
      </c>
      <c r="D94" s="8" t="s">
        <v>6</v>
      </c>
      <c r="E94" s="8" t="s">
        <v>299</v>
      </c>
      <c r="F94" s="8"/>
      <c r="G94" s="8"/>
      <c r="H94" s="8"/>
      <c r="I94" s="8"/>
      <c r="J94" s="8" t="s">
        <v>195</v>
      </c>
      <c r="K94" s="8"/>
      <c r="L94" s="8"/>
      <c r="M94" s="8"/>
      <c r="N94" s="8"/>
      <c r="O94" s="8"/>
      <c r="P94" s="8"/>
      <c r="Q94" s="8"/>
      <c r="R94" s="8"/>
      <c r="S94" s="8"/>
      <c r="T94" s="8" t="s">
        <v>135</v>
      </c>
      <c r="U94" s="8" t="s">
        <v>354</v>
      </c>
      <c r="V94" s="8" t="s">
        <v>355</v>
      </c>
      <c r="W94" s="8" t="s">
        <v>504</v>
      </c>
      <c r="X94" s="8" t="s">
        <v>233</v>
      </c>
      <c r="Y94" s="8" t="s">
        <v>505</v>
      </c>
      <c r="Z94" s="8" t="s">
        <v>233</v>
      </c>
      <c r="AA94" s="8" t="s">
        <v>506</v>
      </c>
      <c r="AB94" s="8" t="s">
        <v>233</v>
      </c>
      <c r="AC94" s="8" t="s">
        <v>507</v>
      </c>
      <c r="AD94" s="8" t="s">
        <v>233</v>
      </c>
      <c r="AE94" s="8"/>
      <c r="AF94" s="8"/>
      <c r="AG94" s="8"/>
      <c r="AH94" s="8"/>
      <c r="AI94" s="8"/>
    </row>
    <row r="95" customFormat="false" ht="26.85" hidden="false" customHeight="false" outlineLevel="0" collapsed="false">
      <c r="A95" s="8" t="s">
        <v>4</v>
      </c>
      <c r="B95" s="8" t="s">
        <v>8</v>
      </c>
      <c r="C95" s="8" t="n">
        <v>13</v>
      </c>
      <c r="D95" s="8" t="s">
        <v>6</v>
      </c>
      <c r="E95" s="8" t="s">
        <v>299</v>
      </c>
      <c r="F95" s="8"/>
      <c r="G95" s="8"/>
      <c r="H95" s="8"/>
      <c r="I95" s="8"/>
      <c r="J95" s="8" t="s">
        <v>195</v>
      </c>
      <c r="K95" s="8"/>
      <c r="L95" s="8"/>
      <c r="M95" s="8"/>
      <c r="N95" s="8"/>
      <c r="O95" s="8"/>
      <c r="P95" s="8"/>
      <c r="Q95" s="8"/>
      <c r="R95" s="8"/>
      <c r="S95" s="8"/>
      <c r="T95" s="8" t="s">
        <v>136</v>
      </c>
      <c r="U95" s="8" t="s">
        <v>360</v>
      </c>
      <c r="V95" s="8" t="s">
        <v>361</v>
      </c>
      <c r="W95" s="8" t="s">
        <v>508</v>
      </c>
      <c r="X95" s="8" t="s">
        <v>233</v>
      </c>
      <c r="Y95" s="8" t="s">
        <v>509</v>
      </c>
      <c r="Z95" s="8" t="s">
        <v>233</v>
      </c>
      <c r="AA95" s="8" t="s">
        <v>510</v>
      </c>
      <c r="AB95" s="8" t="s">
        <v>233</v>
      </c>
      <c r="AC95" s="8" t="s">
        <v>511</v>
      </c>
      <c r="AD95" s="8" t="s">
        <v>233</v>
      </c>
      <c r="AE95" s="8"/>
      <c r="AF95" s="8"/>
      <c r="AG95" s="8"/>
      <c r="AH95" s="8"/>
      <c r="AI95" s="8"/>
    </row>
    <row r="96" customFormat="false" ht="26.85" hidden="false" customHeight="false" outlineLevel="0" collapsed="false">
      <c r="A96" s="8" t="s">
        <v>4</v>
      </c>
      <c r="B96" s="8" t="s">
        <v>8</v>
      </c>
      <c r="C96" s="8" t="n">
        <v>13</v>
      </c>
      <c r="D96" s="8" t="s">
        <v>6</v>
      </c>
      <c r="E96" s="8" t="s">
        <v>299</v>
      </c>
      <c r="F96" s="8"/>
      <c r="G96" s="8"/>
      <c r="H96" s="8"/>
      <c r="I96" s="8"/>
      <c r="J96" s="8" t="s">
        <v>195</v>
      </c>
      <c r="K96" s="8"/>
      <c r="L96" s="8"/>
      <c r="M96" s="8"/>
      <c r="N96" s="8"/>
      <c r="O96" s="8"/>
      <c r="P96" s="8"/>
      <c r="Q96" s="8"/>
      <c r="R96" s="8"/>
      <c r="S96" s="8"/>
      <c r="T96" s="8" t="s">
        <v>137</v>
      </c>
      <c r="U96" s="8" t="s">
        <v>366</v>
      </c>
      <c r="V96" s="8" t="s">
        <v>367</v>
      </c>
      <c r="W96" s="8" t="s">
        <v>512</v>
      </c>
      <c r="X96" s="8" t="s">
        <v>233</v>
      </c>
      <c r="Y96" s="8" t="s">
        <v>513</v>
      </c>
      <c r="Z96" s="8" t="s">
        <v>233</v>
      </c>
      <c r="AA96" s="8" t="s">
        <v>514</v>
      </c>
      <c r="AB96" s="8" t="s">
        <v>233</v>
      </c>
      <c r="AC96" s="8" t="s">
        <v>515</v>
      </c>
      <c r="AD96" s="8" t="s">
        <v>233</v>
      </c>
      <c r="AE96" s="8"/>
      <c r="AF96" s="8"/>
      <c r="AG96" s="8"/>
      <c r="AH96" s="8"/>
      <c r="AI96" s="8"/>
    </row>
    <row r="97" customFormat="false" ht="26.85" hidden="false" customHeight="false" outlineLevel="0" collapsed="false">
      <c r="A97" s="8" t="s">
        <v>4</v>
      </c>
      <c r="B97" s="8" t="s">
        <v>8</v>
      </c>
      <c r="C97" s="8" t="n">
        <v>13</v>
      </c>
      <c r="D97" s="8" t="s">
        <v>6</v>
      </c>
      <c r="E97" s="8" t="s">
        <v>299</v>
      </c>
      <c r="F97" s="8"/>
      <c r="G97" s="8"/>
      <c r="H97" s="8"/>
      <c r="I97" s="8"/>
      <c r="J97" s="8" t="s">
        <v>197</v>
      </c>
      <c r="K97" s="8"/>
      <c r="L97" s="8"/>
      <c r="M97" s="8"/>
      <c r="N97" s="8"/>
      <c r="O97" s="8"/>
      <c r="P97" s="8"/>
      <c r="Q97" s="8"/>
      <c r="R97" s="8"/>
      <c r="S97" s="8"/>
      <c r="T97" s="8" t="s">
        <v>126</v>
      </c>
      <c r="U97" s="8" t="s">
        <v>300</v>
      </c>
      <c r="V97" s="8" t="s">
        <v>301</v>
      </c>
      <c r="W97" s="8" t="s">
        <v>302</v>
      </c>
      <c r="X97" s="8" t="s">
        <v>233</v>
      </c>
      <c r="Y97" s="8" t="s">
        <v>303</v>
      </c>
      <c r="Z97" s="8" t="s">
        <v>233</v>
      </c>
      <c r="AA97" s="8" t="s">
        <v>304</v>
      </c>
      <c r="AB97" s="8" t="s">
        <v>233</v>
      </c>
      <c r="AC97" s="8" t="s">
        <v>305</v>
      </c>
      <c r="AD97" s="8" t="s">
        <v>233</v>
      </c>
      <c r="AE97" s="8"/>
      <c r="AF97" s="8"/>
      <c r="AG97" s="8"/>
      <c r="AH97" s="8"/>
      <c r="AI97" s="8"/>
    </row>
    <row r="98" customFormat="false" ht="26.85" hidden="false" customHeight="false" outlineLevel="0" collapsed="false">
      <c r="A98" s="8" t="s">
        <v>4</v>
      </c>
      <c r="B98" s="8" t="s">
        <v>8</v>
      </c>
      <c r="C98" s="8" t="n">
        <v>13</v>
      </c>
      <c r="D98" s="8" t="s">
        <v>6</v>
      </c>
      <c r="E98" s="8" t="s">
        <v>299</v>
      </c>
      <c r="F98" s="8"/>
      <c r="G98" s="8"/>
      <c r="H98" s="8"/>
      <c r="I98" s="8"/>
      <c r="J98" s="8" t="s">
        <v>197</v>
      </c>
      <c r="K98" s="8"/>
      <c r="L98" s="8"/>
      <c r="M98" s="8"/>
      <c r="N98" s="8"/>
      <c r="O98" s="8"/>
      <c r="P98" s="8"/>
      <c r="Q98" s="8"/>
      <c r="R98" s="8"/>
      <c r="S98" s="8"/>
      <c r="T98" s="8" t="s">
        <v>127</v>
      </c>
      <c r="U98" s="8" t="s">
        <v>306</v>
      </c>
      <c r="V98" s="8" t="s">
        <v>307</v>
      </c>
      <c r="W98" s="8" t="s">
        <v>308</v>
      </c>
      <c r="X98" s="8" t="s">
        <v>233</v>
      </c>
      <c r="Y98" s="8" t="s">
        <v>309</v>
      </c>
      <c r="Z98" s="8" t="s">
        <v>233</v>
      </c>
      <c r="AA98" s="8" t="s">
        <v>310</v>
      </c>
      <c r="AB98" s="8" t="s">
        <v>233</v>
      </c>
      <c r="AC98" s="8" t="s">
        <v>311</v>
      </c>
      <c r="AD98" s="8" t="s">
        <v>233</v>
      </c>
      <c r="AE98" s="8"/>
      <c r="AF98" s="8"/>
      <c r="AG98" s="8"/>
      <c r="AH98" s="8"/>
      <c r="AI98" s="8"/>
    </row>
    <row r="99" customFormat="false" ht="26.85" hidden="false" customHeight="false" outlineLevel="0" collapsed="false">
      <c r="A99" s="8" t="s">
        <v>4</v>
      </c>
      <c r="B99" s="8" t="s">
        <v>8</v>
      </c>
      <c r="C99" s="8" t="n">
        <v>13</v>
      </c>
      <c r="D99" s="8" t="s">
        <v>6</v>
      </c>
      <c r="E99" s="8" t="s">
        <v>299</v>
      </c>
      <c r="F99" s="8"/>
      <c r="G99" s="8"/>
      <c r="H99" s="8"/>
      <c r="I99" s="8"/>
      <c r="J99" s="8" t="s">
        <v>197</v>
      </c>
      <c r="K99" s="8"/>
      <c r="L99" s="8"/>
      <c r="M99" s="8"/>
      <c r="N99" s="8"/>
      <c r="O99" s="8"/>
      <c r="P99" s="8"/>
      <c r="Q99" s="8"/>
      <c r="R99" s="8"/>
      <c r="S99" s="8"/>
      <c r="T99" s="8" t="s">
        <v>128</v>
      </c>
      <c r="U99" s="8" t="s">
        <v>312</v>
      </c>
      <c r="V99" s="8" t="s">
        <v>313</v>
      </c>
      <c r="W99" s="8" t="s">
        <v>314</v>
      </c>
      <c r="X99" s="8" t="s">
        <v>233</v>
      </c>
      <c r="Y99" s="8" t="s">
        <v>315</v>
      </c>
      <c r="Z99" s="8" t="s">
        <v>233</v>
      </c>
      <c r="AA99" s="8" t="s">
        <v>316</v>
      </c>
      <c r="AB99" s="8" t="s">
        <v>233</v>
      </c>
      <c r="AC99" s="8" t="s">
        <v>317</v>
      </c>
      <c r="AD99" s="8" t="s">
        <v>233</v>
      </c>
      <c r="AE99" s="8"/>
      <c r="AF99" s="8"/>
      <c r="AG99" s="8"/>
      <c r="AH99" s="8"/>
      <c r="AI99" s="8"/>
    </row>
    <row r="100" customFormat="false" ht="26.85" hidden="false" customHeight="false" outlineLevel="0" collapsed="false">
      <c r="A100" s="8" t="s">
        <v>4</v>
      </c>
      <c r="B100" s="8" t="s">
        <v>8</v>
      </c>
      <c r="C100" s="8" t="n">
        <v>13</v>
      </c>
      <c r="D100" s="8" t="s">
        <v>6</v>
      </c>
      <c r="E100" s="8" t="s">
        <v>299</v>
      </c>
      <c r="F100" s="8"/>
      <c r="G100" s="8"/>
      <c r="H100" s="8"/>
      <c r="I100" s="8"/>
      <c r="J100" s="8" t="s">
        <v>197</v>
      </c>
      <c r="K100" s="8"/>
      <c r="L100" s="8"/>
      <c r="M100" s="8"/>
      <c r="N100" s="8"/>
      <c r="O100" s="8"/>
      <c r="P100" s="8"/>
      <c r="Q100" s="8"/>
      <c r="R100" s="8"/>
      <c r="S100" s="8"/>
      <c r="T100" s="8" t="s">
        <v>129</v>
      </c>
      <c r="U100" s="8" t="s">
        <v>318</v>
      </c>
      <c r="V100" s="8" t="s">
        <v>319</v>
      </c>
      <c r="W100" s="8" t="s">
        <v>320</v>
      </c>
      <c r="X100" s="8" t="s">
        <v>233</v>
      </c>
      <c r="Y100" s="8" t="s">
        <v>321</v>
      </c>
      <c r="Z100" s="8" t="s">
        <v>233</v>
      </c>
      <c r="AA100" s="8" t="s">
        <v>322</v>
      </c>
      <c r="AB100" s="8" t="s">
        <v>233</v>
      </c>
      <c r="AC100" s="8" t="s">
        <v>323</v>
      </c>
      <c r="AD100" s="8" t="s">
        <v>233</v>
      </c>
      <c r="AE100" s="8"/>
      <c r="AF100" s="8"/>
      <c r="AG100" s="8"/>
      <c r="AH100" s="8"/>
      <c r="AI100" s="8"/>
    </row>
    <row r="101" customFormat="false" ht="26.85" hidden="false" customHeight="false" outlineLevel="0" collapsed="false">
      <c r="A101" s="8" t="s">
        <v>4</v>
      </c>
      <c r="B101" s="8" t="s">
        <v>8</v>
      </c>
      <c r="C101" s="8" t="n">
        <v>13</v>
      </c>
      <c r="D101" s="8" t="s">
        <v>6</v>
      </c>
      <c r="E101" s="8" t="s">
        <v>299</v>
      </c>
      <c r="F101" s="8"/>
      <c r="G101" s="8"/>
      <c r="H101" s="8"/>
      <c r="I101" s="8"/>
      <c r="J101" s="8" t="s">
        <v>197</v>
      </c>
      <c r="K101" s="8"/>
      <c r="L101" s="8"/>
      <c r="M101" s="8"/>
      <c r="N101" s="8"/>
      <c r="O101" s="8"/>
      <c r="P101" s="8"/>
      <c r="Q101" s="8"/>
      <c r="R101" s="8"/>
      <c r="S101" s="8"/>
      <c r="T101" s="8" t="s">
        <v>130</v>
      </c>
      <c r="U101" s="8" t="s">
        <v>324</v>
      </c>
      <c r="V101" s="8" t="s">
        <v>325</v>
      </c>
      <c r="W101" s="8" t="s">
        <v>326</v>
      </c>
      <c r="X101" s="8" t="s">
        <v>233</v>
      </c>
      <c r="Y101" s="8" t="s">
        <v>327</v>
      </c>
      <c r="Z101" s="8" t="s">
        <v>233</v>
      </c>
      <c r="AA101" s="8" t="s">
        <v>328</v>
      </c>
      <c r="AB101" s="8" t="s">
        <v>233</v>
      </c>
      <c r="AC101" s="8" t="s">
        <v>329</v>
      </c>
      <c r="AD101" s="8" t="s">
        <v>233</v>
      </c>
      <c r="AE101" s="8"/>
      <c r="AF101" s="8"/>
      <c r="AG101" s="8"/>
      <c r="AH101" s="8"/>
      <c r="AI101" s="8"/>
    </row>
    <row r="102" customFormat="false" ht="26.85" hidden="false" customHeight="false" outlineLevel="0" collapsed="false">
      <c r="A102" s="8" t="s">
        <v>4</v>
      </c>
      <c r="B102" s="8" t="s">
        <v>8</v>
      </c>
      <c r="C102" s="8" t="n">
        <v>13</v>
      </c>
      <c r="D102" s="8" t="s">
        <v>6</v>
      </c>
      <c r="E102" s="8" t="s">
        <v>299</v>
      </c>
      <c r="F102" s="8"/>
      <c r="G102" s="8"/>
      <c r="H102" s="8"/>
      <c r="I102" s="8"/>
      <c r="J102" s="8" t="s">
        <v>197</v>
      </c>
      <c r="K102" s="8"/>
      <c r="L102" s="8"/>
      <c r="M102" s="8"/>
      <c r="N102" s="8"/>
      <c r="O102" s="8"/>
      <c r="P102" s="8"/>
      <c r="Q102" s="8"/>
      <c r="R102" s="8"/>
      <c r="S102" s="8"/>
      <c r="T102" s="8" t="s">
        <v>131</v>
      </c>
      <c r="U102" s="8" t="s">
        <v>330</v>
      </c>
      <c r="V102" s="8" t="s">
        <v>331</v>
      </c>
      <c r="W102" s="8" t="s">
        <v>332</v>
      </c>
      <c r="X102" s="8" t="s">
        <v>233</v>
      </c>
      <c r="Y102" s="8" t="s">
        <v>333</v>
      </c>
      <c r="Z102" s="8" t="s">
        <v>233</v>
      </c>
      <c r="AA102" s="8" t="s">
        <v>334</v>
      </c>
      <c r="AB102" s="8" t="s">
        <v>233</v>
      </c>
      <c r="AC102" s="8" t="s">
        <v>335</v>
      </c>
      <c r="AD102" s="8" t="s">
        <v>233</v>
      </c>
      <c r="AE102" s="8"/>
      <c r="AF102" s="8"/>
      <c r="AG102" s="8"/>
      <c r="AH102" s="8"/>
      <c r="AI102" s="8"/>
    </row>
    <row r="103" customFormat="false" ht="26.85" hidden="false" customHeight="false" outlineLevel="0" collapsed="false">
      <c r="A103" s="8" t="s">
        <v>4</v>
      </c>
      <c r="B103" s="8" t="s">
        <v>8</v>
      </c>
      <c r="C103" s="8" t="n">
        <v>13</v>
      </c>
      <c r="D103" s="8" t="s">
        <v>6</v>
      </c>
      <c r="E103" s="8" t="s">
        <v>299</v>
      </c>
      <c r="F103" s="8"/>
      <c r="G103" s="8"/>
      <c r="H103" s="8"/>
      <c r="I103" s="8"/>
      <c r="J103" s="8" t="s">
        <v>197</v>
      </c>
      <c r="K103" s="8"/>
      <c r="L103" s="8"/>
      <c r="M103" s="8"/>
      <c r="N103" s="8"/>
      <c r="O103" s="8"/>
      <c r="P103" s="8"/>
      <c r="Q103" s="8"/>
      <c r="R103" s="8"/>
      <c r="S103" s="8"/>
      <c r="T103" s="8" t="s">
        <v>132</v>
      </c>
      <c r="U103" s="8" t="s">
        <v>336</v>
      </c>
      <c r="V103" s="8" t="s">
        <v>337</v>
      </c>
      <c r="W103" s="8" t="s">
        <v>338</v>
      </c>
      <c r="X103" s="8" t="s">
        <v>233</v>
      </c>
      <c r="Y103" s="8" t="s">
        <v>339</v>
      </c>
      <c r="Z103" s="8" t="s">
        <v>233</v>
      </c>
      <c r="AA103" s="8" t="s">
        <v>340</v>
      </c>
      <c r="AB103" s="8" t="s">
        <v>233</v>
      </c>
      <c r="AC103" s="8" t="s">
        <v>341</v>
      </c>
      <c r="AD103" s="8" t="s">
        <v>233</v>
      </c>
      <c r="AE103" s="8"/>
      <c r="AF103" s="8"/>
      <c r="AG103" s="8"/>
      <c r="AH103" s="8"/>
      <c r="AI103" s="8"/>
    </row>
    <row r="104" customFormat="false" ht="26.85" hidden="false" customHeight="false" outlineLevel="0" collapsed="false">
      <c r="A104" s="8" t="s">
        <v>4</v>
      </c>
      <c r="B104" s="8" t="s">
        <v>8</v>
      </c>
      <c r="C104" s="8" t="n">
        <v>13</v>
      </c>
      <c r="D104" s="8" t="s">
        <v>6</v>
      </c>
      <c r="E104" s="8" t="s">
        <v>299</v>
      </c>
      <c r="F104" s="8"/>
      <c r="G104" s="8"/>
      <c r="H104" s="8"/>
      <c r="I104" s="8"/>
      <c r="J104" s="8" t="s">
        <v>197</v>
      </c>
      <c r="K104" s="8"/>
      <c r="L104" s="8"/>
      <c r="M104" s="8"/>
      <c r="N104" s="8"/>
      <c r="O104" s="8"/>
      <c r="P104" s="8"/>
      <c r="Q104" s="8"/>
      <c r="R104" s="8"/>
      <c r="S104" s="8"/>
      <c r="T104" s="8" t="s">
        <v>133</v>
      </c>
      <c r="U104" s="8" t="s">
        <v>342</v>
      </c>
      <c r="V104" s="8" t="s">
        <v>343</v>
      </c>
      <c r="W104" s="8" t="s">
        <v>344</v>
      </c>
      <c r="X104" s="8" t="s">
        <v>233</v>
      </c>
      <c r="Y104" s="8" t="s">
        <v>345</v>
      </c>
      <c r="Z104" s="8" t="s">
        <v>233</v>
      </c>
      <c r="AA104" s="8" t="s">
        <v>346</v>
      </c>
      <c r="AB104" s="8" t="s">
        <v>233</v>
      </c>
      <c r="AC104" s="8" t="s">
        <v>347</v>
      </c>
      <c r="AD104" s="8" t="s">
        <v>233</v>
      </c>
      <c r="AE104" s="8"/>
      <c r="AF104" s="8"/>
      <c r="AG104" s="8"/>
      <c r="AH104" s="8"/>
      <c r="AI104" s="8"/>
    </row>
    <row r="105" customFormat="false" ht="26.85" hidden="false" customHeight="false" outlineLevel="0" collapsed="false">
      <c r="A105" s="8" t="s">
        <v>4</v>
      </c>
      <c r="B105" s="8" t="s">
        <v>8</v>
      </c>
      <c r="C105" s="8" t="n">
        <v>13</v>
      </c>
      <c r="D105" s="8" t="s">
        <v>6</v>
      </c>
      <c r="E105" s="8" t="s">
        <v>299</v>
      </c>
      <c r="F105" s="8"/>
      <c r="G105" s="8"/>
      <c r="H105" s="8"/>
      <c r="I105" s="8"/>
      <c r="J105" s="8" t="s">
        <v>197</v>
      </c>
      <c r="K105" s="8"/>
      <c r="L105" s="8"/>
      <c r="M105" s="8"/>
      <c r="N105" s="8"/>
      <c r="O105" s="8"/>
      <c r="P105" s="8"/>
      <c r="Q105" s="8"/>
      <c r="R105" s="8"/>
      <c r="S105" s="8"/>
      <c r="T105" s="8" t="s">
        <v>134</v>
      </c>
      <c r="U105" s="8" t="s">
        <v>348</v>
      </c>
      <c r="V105" s="8" t="s">
        <v>349</v>
      </c>
      <c r="W105" s="8" t="s">
        <v>350</v>
      </c>
      <c r="X105" s="8" t="s">
        <v>233</v>
      </c>
      <c r="Y105" s="8" t="s">
        <v>351</v>
      </c>
      <c r="Z105" s="8" t="s">
        <v>233</v>
      </c>
      <c r="AA105" s="8" t="s">
        <v>352</v>
      </c>
      <c r="AB105" s="8" t="s">
        <v>233</v>
      </c>
      <c r="AC105" s="8" t="s">
        <v>353</v>
      </c>
      <c r="AD105" s="8" t="s">
        <v>233</v>
      </c>
      <c r="AE105" s="8"/>
      <c r="AF105" s="8"/>
      <c r="AG105" s="8"/>
      <c r="AH105" s="8"/>
      <c r="AI105" s="8"/>
    </row>
    <row r="106" customFormat="false" ht="26.85" hidden="false" customHeight="false" outlineLevel="0" collapsed="false">
      <c r="A106" s="8" t="s">
        <v>4</v>
      </c>
      <c r="B106" s="8" t="s">
        <v>8</v>
      </c>
      <c r="C106" s="8" t="n">
        <v>13</v>
      </c>
      <c r="D106" s="8" t="s">
        <v>6</v>
      </c>
      <c r="E106" s="8" t="s">
        <v>299</v>
      </c>
      <c r="F106" s="8"/>
      <c r="G106" s="8"/>
      <c r="H106" s="8"/>
      <c r="I106" s="8"/>
      <c r="J106" s="8" t="s">
        <v>197</v>
      </c>
      <c r="K106" s="8"/>
      <c r="L106" s="8"/>
      <c r="M106" s="8"/>
      <c r="N106" s="8"/>
      <c r="O106" s="8"/>
      <c r="P106" s="8"/>
      <c r="Q106" s="8"/>
      <c r="R106" s="8"/>
      <c r="S106" s="8"/>
      <c r="T106" s="8" t="s">
        <v>135</v>
      </c>
      <c r="U106" s="8" t="s">
        <v>354</v>
      </c>
      <c r="V106" s="8" t="s">
        <v>355</v>
      </c>
      <c r="W106" s="8" t="s">
        <v>356</v>
      </c>
      <c r="X106" s="8" t="s">
        <v>233</v>
      </c>
      <c r="Y106" s="8" t="s">
        <v>357</v>
      </c>
      <c r="Z106" s="8" t="s">
        <v>233</v>
      </c>
      <c r="AA106" s="8" t="s">
        <v>358</v>
      </c>
      <c r="AB106" s="8" t="s">
        <v>233</v>
      </c>
      <c r="AC106" s="8" t="s">
        <v>359</v>
      </c>
      <c r="AD106" s="8" t="s">
        <v>233</v>
      </c>
      <c r="AE106" s="8"/>
      <c r="AF106" s="8"/>
      <c r="AG106" s="8"/>
      <c r="AH106" s="8"/>
      <c r="AI106" s="8"/>
    </row>
    <row r="107" customFormat="false" ht="26.85" hidden="false" customHeight="false" outlineLevel="0" collapsed="false">
      <c r="A107" s="8" t="s">
        <v>4</v>
      </c>
      <c r="B107" s="8" t="s">
        <v>8</v>
      </c>
      <c r="C107" s="8" t="n">
        <v>13</v>
      </c>
      <c r="D107" s="8" t="s">
        <v>6</v>
      </c>
      <c r="E107" s="8" t="s">
        <v>299</v>
      </c>
      <c r="F107" s="8"/>
      <c r="G107" s="8"/>
      <c r="H107" s="8"/>
      <c r="I107" s="8"/>
      <c r="J107" s="8" t="s">
        <v>197</v>
      </c>
      <c r="K107" s="8"/>
      <c r="L107" s="8"/>
      <c r="M107" s="8"/>
      <c r="N107" s="8"/>
      <c r="O107" s="8"/>
      <c r="P107" s="8"/>
      <c r="Q107" s="8"/>
      <c r="R107" s="8"/>
      <c r="S107" s="8"/>
      <c r="T107" s="8" t="s">
        <v>136</v>
      </c>
      <c r="U107" s="8" t="s">
        <v>360</v>
      </c>
      <c r="V107" s="8" t="s">
        <v>361</v>
      </c>
      <c r="W107" s="8" t="s">
        <v>362</v>
      </c>
      <c r="X107" s="8" t="s">
        <v>233</v>
      </c>
      <c r="Y107" s="8" t="s">
        <v>363</v>
      </c>
      <c r="Z107" s="8" t="s">
        <v>233</v>
      </c>
      <c r="AA107" s="8" t="s">
        <v>364</v>
      </c>
      <c r="AB107" s="8" t="s">
        <v>233</v>
      </c>
      <c r="AC107" s="8" t="s">
        <v>365</v>
      </c>
      <c r="AD107" s="8" t="s">
        <v>233</v>
      </c>
      <c r="AE107" s="8"/>
      <c r="AF107" s="8"/>
      <c r="AG107" s="8"/>
      <c r="AH107" s="8"/>
      <c r="AI107" s="8"/>
    </row>
    <row r="108" customFormat="false" ht="26.85" hidden="false" customHeight="false" outlineLevel="0" collapsed="false">
      <c r="A108" s="8" t="s">
        <v>4</v>
      </c>
      <c r="B108" s="8" t="s">
        <v>8</v>
      </c>
      <c r="C108" s="8" t="n">
        <v>13</v>
      </c>
      <c r="D108" s="8" t="s">
        <v>6</v>
      </c>
      <c r="E108" s="8" t="s">
        <v>299</v>
      </c>
      <c r="F108" s="8"/>
      <c r="G108" s="8"/>
      <c r="H108" s="8"/>
      <c r="I108" s="8"/>
      <c r="J108" s="8" t="s">
        <v>197</v>
      </c>
      <c r="K108" s="8"/>
      <c r="L108" s="8"/>
      <c r="M108" s="8"/>
      <c r="N108" s="8"/>
      <c r="O108" s="8"/>
      <c r="P108" s="8"/>
      <c r="Q108" s="8"/>
      <c r="R108" s="8"/>
      <c r="S108" s="8"/>
      <c r="T108" s="8" t="s">
        <v>137</v>
      </c>
      <c r="U108" s="8" t="s">
        <v>366</v>
      </c>
      <c r="V108" s="8" t="s">
        <v>367</v>
      </c>
      <c r="W108" s="8" t="s">
        <v>368</v>
      </c>
      <c r="X108" s="8" t="s">
        <v>233</v>
      </c>
      <c r="Y108" s="8" t="s">
        <v>369</v>
      </c>
      <c r="Z108" s="8" t="s">
        <v>233</v>
      </c>
      <c r="AA108" s="8" t="s">
        <v>370</v>
      </c>
      <c r="AB108" s="8" t="s">
        <v>233</v>
      </c>
      <c r="AC108" s="8" t="s">
        <v>371</v>
      </c>
      <c r="AD108" s="8" t="s">
        <v>233</v>
      </c>
      <c r="AE108" s="8"/>
      <c r="AF108" s="8"/>
      <c r="AG108" s="8"/>
      <c r="AH108" s="8"/>
      <c r="AI108" s="8"/>
    </row>
    <row r="109" customFormat="false" ht="26.85" hidden="false" customHeight="false" outlineLevel="0" collapsed="false">
      <c r="A109" s="8" t="s">
        <v>4</v>
      </c>
      <c r="B109" s="8" t="s">
        <v>8</v>
      </c>
      <c r="C109" s="8" t="n">
        <v>13</v>
      </c>
      <c r="D109" s="8" t="s">
        <v>6</v>
      </c>
      <c r="E109" s="8" t="s">
        <v>516</v>
      </c>
      <c r="F109" s="8" t="s">
        <v>236</v>
      </c>
      <c r="G109" s="8"/>
      <c r="H109" s="8"/>
      <c r="I109" s="8" t="s">
        <v>140</v>
      </c>
      <c r="J109" s="8" t="s">
        <v>189</v>
      </c>
      <c r="K109" s="8" t="s">
        <v>277</v>
      </c>
      <c r="L109" s="8" t="s">
        <v>278</v>
      </c>
      <c r="M109" s="8" t="s">
        <v>279</v>
      </c>
      <c r="N109" s="8" t="s">
        <v>280</v>
      </c>
      <c r="O109" s="8" t="s">
        <v>281</v>
      </c>
      <c r="P109" s="8" t="s">
        <v>282</v>
      </c>
      <c r="Q109" s="8" t="s">
        <v>283</v>
      </c>
      <c r="R109" s="8" t="s">
        <v>203</v>
      </c>
      <c r="S109" s="8" t="s">
        <v>237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customFormat="false" ht="26.85" hidden="false" customHeight="false" outlineLevel="0" collapsed="false">
      <c r="A110" s="8" t="s">
        <v>4</v>
      </c>
      <c r="B110" s="8" t="s">
        <v>8</v>
      </c>
      <c r="C110" s="8" t="n">
        <v>13</v>
      </c>
      <c r="D110" s="8" t="s">
        <v>6</v>
      </c>
      <c r="E110" s="8" t="s">
        <v>516</v>
      </c>
      <c r="F110" s="8" t="s">
        <v>236</v>
      </c>
      <c r="G110" s="8"/>
      <c r="H110" s="8"/>
      <c r="I110" s="8" t="s">
        <v>190</v>
      </c>
      <c r="J110" s="8" t="s">
        <v>191</v>
      </c>
      <c r="K110" s="8" t="s">
        <v>284</v>
      </c>
      <c r="L110" s="8" t="s">
        <v>285</v>
      </c>
      <c r="M110" s="8" t="s">
        <v>286</v>
      </c>
      <c r="N110" s="8" t="s">
        <v>280</v>
      </c>
      <c r="O110" s="8" t="s">
        <v>281</v>
      </c>
      <c r="P110" s="8" t="s">
        <v>287</v>
      </c>
      <c r="Q110" s="8" t="s">
        <v>288</v>
      </c>
      <c r="R110" s="8" t="s">
        <v>203</v>
      </c>
      <c r="S110" s="8" t="s">
        <v>237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customFormat="false" ht="26.85" hidden="false" customHeight="false" outlineLevel="0" collapsed="false">
      <c r="A111" s="8" t="s">
        <v>4</v>
      </c>
      <c r="B111" s="8" t="s">
        <v>8</v>
      </c>
      <c r="C111" s="8" t="n">
        <v>13</v>
      </c>
      <c r="D111" s="8" t="s">
        <v>6</v>
      </c>
      <c r="E111" s="8" t="s">
        <v>516</v>
      </c>
      <c r="F111" s="8" t="s">
        <v>236</v>
      </c>
      <c r="G111" s="8"/>
      <c r="H111" s="8"/>
      <c r="I111" s="8" t="s">
        <v>192</v>
      </c>
      <c r="J111" s="8" t="s">
        <v>193</v>
      </c>
      <c r="K111" s="8" t="s">
        <v>284</v>
      </c>
      <c r="L111" s="8" t="s">
        <v>289</v>
      </c>
      <c r="M111" s="8" t="s">
        <v>290</v>
      </c>
      <c r="N111" s="8" t="s">
        <v>280</v>
      </c>
      <c r="O111" s="8" t="s">
        <v>281</v>
      </c>
      <c r="P111" s="8" t="s">
        <v>291</v>
      </c>
      <c r="Q111" s="8" t="s">
        <v>292</v>
      </c>
      <c r="R111" s="8" t="s">
        <v>203</v>
      </c>
      <c r="S111" s="8" t="s">
        <v>237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customFormat="false" ht="26.85" hidden="false" customHeight="false" outlineLevel="0" collapsed="false">
      <c r="A112" s="8" t="s">
        <v>4</v>
      </c>
      <c r="B112" s="8" t="s">
        <v>8</v>
      </c>
      <c r="C112" s="8" t="n">
        <v>13</v>
      </c>
      <c r="D112" s="8" t="s">
        <v>6</v>
      </c>
      <c r="E112" s="8" t="s">
        <v>516</v>
      </c>
      <c r="F112" s="8" t="s">
        <v>236</v>
      </c>
      <c r="G112" s="8"/>
      <c r="H112" s="8"/>
      <c r="I112" s="8" t="s">
        <v>194</v>
      </c>
      <c r="J112" s="8" t="s">
        <v>195</v>
      </c>
      <c r="K112" s="8" t="s">
        <v>293</v>
      </c>
      <c r="L112" s="8" t="s">
        <v>294</v>
      </c>
      <c r="M112" s="8" t="s">
        <v>295</v>
      </c>
      <c r="N112" s="8" t="s">
        <v>280</v>
      </c>
      <c r="O112" s="8" t="s">
        <v>281</v>
      </c>
      <c r="P112" s="8" t="s">
        <v>296</v>
      </c>
      <c r="Q112" s="8" t="s">
        <v>297</v>
      </c>
      <c r="R112" s="8" t="s">
        <v>203</v>
      </c>
      <c r="S112" s="8" t="s">
        <v>237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customFormat="false" ht="26.85" hidden="false" customHeight="false" outlineLevel="0" collapsed="false">
      <c r="A113" s="8" t="s">
        <v>4</v>
      </c>
      <c r="B113" s="8" t="s">
        <v>8</v>
      </c>
      <c r="C113" s="8" t="n">
        <v>13</v>
      </c>
      <c r="D113" s="8" t="s">
        <v>6</v>
      </c>
      <c r="E113" s="8" t="s">
        <v>516</v>
      </c>
      <c r="F113" s="8" t="s">
        <v>236</v>
      </c>
      <c r="G113" s="8"/>
      <c r="H113" s="8"/>
      <c r="I113" s="8" t="s">
        <v>196</v>
      </c>
      <c r="J113" s="8" t="s">
        <v>197</v>
      </c>
      <c r="K113" s="8" t="s">
        <v>277</v>
      </c>
      <c r="L113" s="8" t="s">
        <v>278</v>
      </c>
      <c r="M113" s="8" t="s">
        <v>279</v>
      </c>
      <c r="N113" s="8" t="s">
        <v>280</v>
      </c>
      <c r="O113" s="8" t="s">
        <v>281</v>
      </c>
      <c r="P113" s="8" t="s">
        <v>282</v>
      </c>
      <c r="Q113" s="8" t="s">
        <v>283</v>
      </c>
      <c r="R113" s="8" t="s">
        <v>203</v>
      </c>
      <c r="S113" s="8" t="s">
        <v>237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customFormat="false" ht="15" hidden="false" customHeight="false" outlineLevel="0" collapsed="false">
      <c r="A114" s="8" t="s">
        <v>4</v>
      </c>
      <c r="B114" s="8" t="s">
        <v>8</v>
      </c>
      <c r="C114" s="8" t="n">
        <v>13</v>
      </c>
      <c r="D114" s="8" t="s">
        <v>6</v>
      </c>
      <c r="E114" s="8" t="s">
        <v>516</v>
      </c>
      <c r="F114" s="8" t="s">
        <v>238</v>
      </c>
      <c r="G114" s="8"/>
      <c r="H114" s="8"/>
      <c r="I114" s="8"/>
      <c r="J114" s="8" t="s">
        <v>195</v>
      </c>
      <c r="K114" s="8"/>
      <c r="L114" s="8"/>
      <c r="M114" s="8"/>
      <c r="N114" s="8"/>
      <c r="O114" s="8"/>
      <c r="P114" s="8"/>
      <c r="Q114" s="8"/>
      <c r="R114" s="8"/>
      <c r="S114" s="8" t="s">
        <v>239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 t="s">
        <v>240</v>
      </c>
      <c r="AF114" s="8" t="s">
        <v>517</v>
      </c>
      <c r="AG114" s="8" t="s">
        <v>518</v>
      </c>
      <c r="AH114" s="8" t="s">
        <v>519</v>
      </c>
      <c r="AI114" s="8" t="s">
        <v>517</v>
      </c>
    </row>
    <row r="115" customFormat="false" ht="26.85" hidden="false" customHeight="false" outlineLevel="0" collapsed="false">
      <c r="A115" s="8" t="s">
        <v>4</v>
      </c>
      <c r="B115" s="8" t="s">
        <v>8</v>
      </c>
      <c r="C115" s="8" t="n">
        <v>13</v>
      </c>
      <c r="D115" s="8" t="s">
        <v>6</v>
      </c>
      <c r="E115" s="8" t="s">
        <v>516</v>
      </c>
      <c r="F115" s="8" t="s">
        <v>238</v>
      </c>
      <c r="G115" s="8"/>
      <c r="H115" s="8"/>
      <c r="I115" s="8"/>
      <c r="J115" s="8" t="s">
        <v>191</v>
      </c>
      <c r="K115" s="8"/>
      <c r="L115" s="8"/>
      <c r="M115" s="8"/>
      <c r="N115" s="8"/>
      <c r="O115" s="8"/>
      <c r="P115" s="8"/>
      <c r="Q115" s="8"/>
      <c r="R115" s="8"/>
      <c r="S115" s="8" t="s">
        <v>239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 t="s">
        <v>240</v>
      </c>
      <c r="AF115" s="8" t="s">
        <v>517</v>
      </c>
      <c r="AG115" s="8" t="s">
        <v>72</v>
      </c>
      <c r="AH115" s="8" t="s">
        <v>517</v>
      </c>
      <c r="AI115" s="8" t="s">
        <v>74</v>
      </c>
    </row>
    <row r="116" customFormat="false" ht="15" hidden="false" customHeight="false" outlineLevel="0" collapsed="false">
      <c r="A116" s="8" t="s">
        <v>4</v>
      </c>
      <c r="B116" s="8" t="s">
        <v>8</v>
      </c>
      <c r="C116" s="8" t="n">
        <v>13</v>
      </c>
      <c r="D116" s="8" t="s">
        <v>6</v>
      </c>
      <c r="E116" s="8" t="s">
        <v>516</v>
      </c>
      <c r="F116" s="8" t="s">
        <v>238</v>
      </c>
      <c r="G116" s="8"/>
      <c r="H116" s="8"/>
      <c r="I116" s="8"/>
      <c r="J116" s="8" t="s">
        <v>193</v>
      </c>
      <c r="K116" s="8"/>
      <c r="L116" s="8"/>
      <c r="M116" s="8"/>
      <c r="N116" s="8"/>
      <c r="O116" s="8"/>
      <c r="P116" s="8"/>
      <c r="Q116" s="8"/>
      <c r="R116" s="8"/>
      <c r="S116" s="8" t="s">
        <v>239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 t="s">
        <v>240</v>
      </c>
      <c r="AF116" s="8" t="s">
        <v>517</v>
      </c>
      <c r="AG116" s="8" t="s">
        <v>72</v>
      </c>
      <c r="AH116" s="8" t="s">
        <v>74</v>
      </c>
      <c r="AI116" s="8" t="s">
        <v>517</v>
      </c>
    </row>
    <row r="117" customFormat="false" ht="15" hidden="false" customHeight="false" outlineLevel="0" collapsed="false">
      <c r="A117" s="8" t="s">
        <v>4</v>
      </c>
      <c r="B117" s="8" t="s">
        <v>8</v>
      </c>
      <c r="C117" s="8" t="n">
        <v>13</v>
      </c>
      <c r="D117" s="8" t="s">
        <v>6</v>
      </c>
      <c r="E117" s="8" t="s">
        <v>516</v>
      </c>
      <c r="F117" s="8" t="s">
        <v>238</v>
      </c>
      <c r="G117" s="8"/>
      <c r="H117" s="8"/>
      <c r="I117" s="8"/>
      <c r="J117" s="8" t="s">
        <v>197</v>
      </c>
      <c r="K117" s="8"/>
      <c r="L117" s="8"/>
      <c r="M117" s="8"/>
      <c r="N117" s="8"/>
      <c r="O117" s="8"/>
      <c r="P117" s="8"/>
      <c r="Q117" s="8"/>
      <c r="R117" s="8"/>
      <c r="S117" s="8" t="s">
        <v>239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 t="s">
        <v>240</v>
      </c>
      <c r="AF117" s="8" t="s">
        <v>517</v>
      </c>
      <c r="AG117" s="8" t="s">
        <v>203</v>
      </c>
      <c r="AH117" s="8" t="s">
        <v>517</v>
      </c>
      <c r="AI117" s="8" t="s">
        <v>517</v>
      </c>
    </row>
    <row r="118" customFormat="false" ht="15" hidden="false" customHeight="false" outlineLevel="0" collapsed="false">
      <c r="A118" s="8" t="s">
        <v>4</v>
      </c>
      <c r="B118" s="8" t="s">
        <v>8</v>
      </c>
      <c r="C118" s="8" t="n">
        <v>13</v>
      </c>
      <c r="D118" s="8" t="s">
        <v>6</v>
      </c>
      <c r="E118" s="8" t="s">
        <v>516</v>
      </c>
      <c r="F118" s="8" t="s">
        <v>238</v>
      </c>
      <c r="G118" s="8"/>
      <c r="H118" s="8"/>
      <c r="I118" s="8"/>
      <c r="J118" s="8" t="s">
        <v>189</v>
      </c>
      <c r="K118" s="8"/>
      <c r="L118" s="8"/>
      <c r="M118" s="8"/>
      <c r="N118" s="8"/>
      <c r="O118" s="8"/>
      <c r="P118" s="8"/>
      <c r="Q118" s="8"/>
      <c r="R118" s="8"/>
      <c r="S118" s="8" t="s">
        <v>239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 t="s">
        <v>240</v>
      </c>
      <c r="AF118" s="8" t="s">
        <v>517</v>
      </c>
      <c r="AG118" s="8" t="s">
        <v>203</v>
      </c>
      <c r="AH118" s="8" t="s">
        <v>517</v>
      </c>
      <c r="AI118" s="8" t="s">
        <v>517</v>
      </c>
    </row>
    <row r="119" customFormat="false" ht="15" hidden="false" customHeight="false" outlineLevel="0" collapsed="false">
      <c r="A119" s="8" t="s">
        <v>4</v>
      </c>
      <c r="B119" s="8" t="s">
        <v>8</v>
      </c>
      <c r="C119" s="8" t="n">
        <v>13</v>
      </c>
      <c r="D119" s="8" t="s">
        <v>6</v>
      </c>
      <c r="E119" s="8" t="s">
        <v>516</v>
      </c>
      <c r="F119" s="8" t="s">
        <v>238</v>
      </c>
      <c r="G119" s="8"/>
      <c r="H119" s="8"/>
      <c r="I119" s="8"/>
      <c r="J119" s="8" t="s">
        <v>195</v>
      </c>
      <c r="K119" s="8"/>
      <c r="L119" s="8"/>
      <c r="M119" s="8"/>
      <c r="N119" s="8"/>
      <c r="O119" s="8"/>
      <c r="P119" s="8"/>
      <c r="Q119" s="8"/>
      <c r="R119" s="8"/>
      <c r="S119" s="8" t="s">
        <v>239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 t="s">
        <v>241</v>
      </c>
      <c r="AF119" s="8" t="s">
        <v>517</v>
      </c>
      <c r="AG119" s="8" t="s">
        <v>203</v>
      </c>
      <c r="AH119" s="8" t="s">
        <v>517</v>
      </c>
      <c r="AI119" s="8" t="s">
        <v>517</v>
      </c>
    </row>
    <row r="120" customFormat="false" ht="26.85" hidden="false" customHeight="false" outlineLevel="0" collapsed="false">
      <c r="A120" s="8" t="s">
        <v>4</v>
      </c>
      <c r="B120" s="8" t="s">
        <v>8</v>
      </c>
      <c r="C120" s="8" t="n">
        <v>13</v>
      </c>
      <c r="D120" s="8" t="s">
        <v>6</v>
      </c>
      <c r="E120" s="8" t="s">
        <v>516</v>
      </c>
      <c r="F120" s="8" t="s">
        <v>238</v>
      </c>
      <c r="G120" s="8"/>
      <c r="H120" s="8"/>
      <c r="I120" s="8"/>
      <c r="J120" s="8" t="s">
        <v>191</v>
      </c>
      <c r="K120" s="8"/>
      <c r="L120" s="8"/>
      <c r="M120" s="8"/>
      <c r="N120" s="8"/>
      <c r="O120" s="8"/>
      <c r="P120" s="8"/>
      <c r="Q120" s="8"/>
      <c r="R120" s="8"/>
      <c r="S120" s="8" t="s">
        <v>239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 t="s">
        <v>241</v>
      </c>
      <c r="AF120" s="8" t="s">
        <v>517</v>
      </c>
      <c r="AG120" s="8" t="s">
        <v>203</v>
      </c>
      <c r="AH120" s="8" t="s">
        <v>517</v>
      </c>
      <c r="AI120" s="8" t="s">
        <v>517</v>
      </c>
    </row>
    <row r="121" customFormat="false" ht="15" hidden="false" customHeight="false" outlineLevel="0" collapsed="false">
      <c r="A121" s="8" t="s">
        <v>4</v>
      </c>
      <c r="B121" s="8" t="s">
        <v>8</v>
      </c>
      <c r="C121" s="8" t="n">
        <v>13</v>
      </c>
      <c r="D121" s="8" t="s">
        <v>6</v>
      </c>
      <c r="E121" s="8" t="s">
        <v>516</v>
      </c>
      <c r="F121" s="8" t="s">
        <v>238</v>
      </c>
      <c r="G121" s="8"/>
      <c r="H121" s="8"/>
      <c r="I121" s="8"/>
      <c r="J121" s="8" t="s">
        <v>193</v>
      </c>
      <c r="K121" s="8"/>
      <c r="L121" s="8"/>
      <c r="M121" s="8"/>
      <c r="N121" s="8"/>
      <c r="O121" s="8"/>
      <c r="P121" s="8"/>
      <c r="Q121" s="8"/>
      <c r="R121" s="8"/>
      <c r="S121" s="8" t="s">
        <v>239</v>
      </c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 t="s">
        <v>241</v>
      </c>
      <c r="AF121" s="8" t="s">
        <v>517</v>
      </c>
      <c r="AG121" s="8" t="s">
        <v>203</v>
      </c>
      <c r="AH121" s="8" t="s">
        <v>517</v>
      </c>
      <c r="AI121" s="8" t="s">
        <v>517</v>
      </c>
    </row>
    <row r="122" customFormat="false" ht="15" hidden="false" customHeight="false" outlineLevel="0" collapsed="false">
      <c r="A122" s="8" t="s">
        <v>4</v>
      </c>
      <c r="B122" s="8" t="s">
        <v>8</v>
      </c>
      <c r="C122" s="8" t="n">
        <v>13</v>
      </c>
      <c r="D122" s="8" t="s">
        <v>6</v>
      </c>
      <c r="E122" s="8" t="s">
        <v>516</v>
      </c>
      <c r="F122" s="8" t="s">
        <v>238</v>
      </c>
      <c r="G122" s="8"/>
      <c r="H122" s="8"/>
      <c r="I122" s="8"/>
      <c r="J122" s="8" t="s">
        <v>197</v>
      </c>
      <c r="K122" s="8"/>
      <c r="L122" s="8"/>
      <c r="M122" s="8"/>
      <c r="N122" s="8"/>
      <c r="O122" s="8"/>
      <c r="P122" s="8"/>
      <c r="Q122" s="8"/>
      <c r="R122" s="8"/>
      <c r="S122" s="8" t="s">
        <v>239</v>
      </c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 t="s">
        <v>241</v>
      </c>
      <c r="AF122" s="8" t="s">
        <v>517</v>
      </c>
      <c r="AG122" s="8" t="s">
        <v>203</v>
      </c>
      <c r="AH122" s="8" t="s">
        <v>517</v>
      </c>
      <c r="AI122" s="8" t="s">
        <v>517</v>
      </c>
    </row>
    <row r="123" customFormat="false" ht="15" hidden="false" customHeight="false" outlineLevel="0" collapsed="false">
      <c r="A123" s="8" t="s">
        <v>4</v>
      </c>
      <c r="B123" s="8" t="s">
        <v>8</v>
      </c>
      <c r="C123" s="8" t="n">
        <v>13</v>
      </c>
      <c r="D123" s="8" t="s">
        <v>6</v>
      </c>
      <c r="E123" s="8" t="s">
        <v>516</v>
      </c>
      <c r="F123" s="8" t="s">
        <v>238</v>
      </c>
      <c r="G123" s="8"/>
      <c r="H123" s="8"/>
      <c r="I123" s="8"/>
      <c r="J123" s="8" t="s">
        <v>189</v>
      </c>
      <c r="K123" s="8"/>
      <c r="L123" s="8"/>
      <c r="M123" s="8"/>
      <c r="N123" s="8"/>
      <c r="O123" s="8"/>
      <c r="P123" s="8"/>
      <c r="Q123" s="8"/>
      <c r="R123" s="8"/>
      <c r="S123" s="8" t="s">
        <v>239</v>
      </c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 t="s">
        <v>241</v>
      </c>
      <c r="AF123" s="8" t="s">
        <v>517</v>
      </c>
      <c r="AG123" s="8" t="s">
        <v>203</v>
      </c>
      <c r="AH123" s="8" t="s">
        <v>517</v>
      </c>
      <c r="AI123" s="8" t="s">
        <v>517</v>
      </c>
    </row>
    <row r="124" customFormat="false" ht="15" hidden="false" customHeight="false" outlineLevel="0" collapsed="false">
      <c r="A124" s="8" t="s">
        <v>4</v>
      </c>
      <c r="B124" s="8" t="s">
        <v>8</v>
      </c>
      <c r="C124" s="8" t="n">
        <v>13</v>
      </c>
      <c r="D124" s="8" t="s">
        <v>6</v>
      </c>
      <c r="E124" s="8" t="s">
        <v>516</v>
      </c>
      <c r="F124" s="8" t="s">
        <v>238</v>
      </c>
      <c r="G124" s="8"/>
      <c r="H124" s="8"/>
      <c r="I124" s="8"/>
      <c r="J124" s="8" t="s">
        <v>195</v>
      </c>
      <c r="K124" s="8"/>
      <c r="L124" s="8"/>
      <c r="M124" s="8"/>
      <c r="N124" s="8"/>
      <c r="O124" s="8"/>
      <c r="P124" s="8"/>
      <c r="Q124" s="8"/>
      <c r="R124" s="8"/>
      <c r="S124" s="8" t="s">
        <v>239</v>
      </c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 t="s">
        <v>242</v>
      </c>
      <c r="AF124" s="8" t="s">
        <v>517</v>
      </c>
      <c r="AG124" s="8" t="s">
        <v>203</v>
      </c>
      <c r="AH124" s="8" t="s">
        <v>517</v>
      </c>
      <c r="AI124" s="8" t="s">
        <v>517</v>
      </c>
    </row>
    <row r="125" customFormat="false" ht="26.85" hidden="false" customHeight="false" outlineLevel="0" collapsed="false">
      <c r="A125" s="8" t="s">
        <v>4</v>
      </c>
      <c r="B125" s="8" t="s">
        <v>8</v>
      </c>
      <c r="C125" s="8" t="n">
        <v>13</v>
      </c>
      <c r="D125" s="8" t="s">
        <v>6</v>
      </c>
      <c r="E125" s="8" t="s">
        <v>516</v>
      </c>
      <c r="F125" s="8" t="s">
        <v>238</v>
      </c>
      <c r="G125" s="8"/>
      <c r="H125" s="8"/>
      <c r="I125" s="8"/>
      <c r="J125" s="8" t="s">
        <v>191</v>
      </c>
      <c r="K125" s="8"/>
      <c r="L125" s="8"/>
      <c r="M125" s="8"/>
      <c r="N125" s="8"/>
      <c r="O125" s="8"/>
      <c r="P125" s="8"/>
      <c r="Q125" s="8"/>
      <c r="R125" s="8"/>
      <c r="S125" s="8" t="s">
        <v>239</v>
      </c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 t="s">
        <v>242</v>
      </c>
      <c r="AF125" s="8" t="s">
        <v>517</v>
      </c>
      <c r="AG125" s="8" t="s">
        <v>203</v>
      </c>
      <c r="AH125" s="8" t="s">
        <v>517</v>
      </c>
      <c r="AI125" s="8" t="s">
        <v>517</v>
      </c>
    </row>
    <row r="126" customFormat="false" ht="15" hidden="false" customHeight="false" outlineLevel="0" collapsed="false">
      <c r="A126" s="8" t="s">
        <v>4</v>
      </c>
      <c r="B126" s="8" t="s">
        <v>8</v>
      </c>
      <c r="C126" s="8" t="n">
        <v>13</v>
      </c>
      <c r="D126" s="8" t="s">
        <v>6</v>
      </c>
      <c r="E126" s="8" t="s">
        <v>516</v>
      </c>
      <c r="F126" s="8" t="s">
        <v>238</v>
      </c>
      <c r="G126" s="8"/>
      <c r="H126" s="8"/>
      <c r="I126" s="8"/>
      <c r="J126" s="8" t="s">
        <v>193</v>
      </c>
      <c r="K126" s="8"/>
      <c r="L126" s="8"/>
      <c r="M126" s="8"/>
      <c r="N126" s="8"/>
      <c r="O126" s="8"/>
      <c r="P126" s="8"/>
      <c r="Q126" s="8"/>
      <c r="R126" s="8"/>
      <c r="S126" s="8" t="s">
        <v>239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 t="s">
        <v>242</v>
      </c>
      <c r="AF126" s="8" t="s">
        <v>517</v>
      </c>
      <c r="AG126" s="8" t="s">
        <v>203</v>
      </c>
      <c r="AH126" s="8" t="s">
        <v>517</v>
      </c>
      <c r="AI126" s="8" t="s">
        <v>517</v>
      </c>
    </row>
    <row r="127" customFormat="false" ht="15" hidden="false" customHeight="false" outlineLevel="0" collapsed="false">
      <c r="A127" s="8" t="s">
        <v>4</v>
      </c>
      <c r="B127" s="8" t="s">
        <v>8</v>
      </c>
      <c r="C127" s="8" t="n">
        <v>13</v>
      </c>
      <c r="D127" s="8" t="s">
        <v>6</v>
      </c>
      <c r="E127" s="8" t="s">
        <v>516</v>
      </c>
      <c r="F127" s="8" t="s">
        <v>238</v>
      </c>
      <c r="G127" s="8"/>
      <c r="H127" s="8"/>
      <c r="I127" s="8"/>
      <c r="J127" s="8" t="s">
        <v>197</v>
      </c>
      <c r="K127" s="8"/>
      <c r="L127" s="8"/>
      <c r="M127" s="8"/>
      <c r="N127" s="8"/>
      <c r="O127" s="8"/>
      <c r="P127" s="8"/>
      <c r="Q127" s="8"/>
      <c r="R127" s="8"/>
      <c r="S127" s="8" t="s">
        <v>239</v>
      </c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 t="s">
        <v>242</v>
      </c>
      <c r="AF127" s="8" t="s">
        <v>517</v>
      </c>
      <c r="AG127" s="8" t="s">
        <v>203</v>
      </c>
      <c r="AH127" s="8" t="s">
        <v>517</v>
      </c>
      <c r="AI127" s="8" t="s">
        <v>517</v>
      </c>
    </row>
    <row r="128" customFormat="false" ht="15" hidden="false" customHeight="false" outlineLevel="0" collapsed="false">
      <c r="A128" s="8" t="s">
        <v>4</v>
      </c>
      <c r="B128" s="8" t="s">
        <v>8</v>
      </c>
      <c r="C128" s="8" t="n">
        <v>13</v>
      </c>
      <c r="D128" s="8" t="s">
        <v>6</v>
      </c>
      <c r="E128" s="8" t="s">
        <v>516</v>
      </c>
      <c r="F128" s="8" t="s">
        <v>238</v>
      </c>
      <c r="G128" s="8"/>
      <c r="H128" s="8"/>
      <c r="I128" s="8"/>
      <c r="J128" s="8" t="s">
        <v>189</v>
      </c>
      <c r="K128" s="8"/>
      <c r="L128" s="8"/>
      <c r="M128" s="8"/>
      <c r="N128" s="8"/>
      <c r="O128" s="8"/>
      <c r="P128" s="8"/>
      <c r="Q128" s="8"/>
      <c r="R128" s="8"/>
      <c r="S128" s="8" t="s">
        <v>239</v>
      </c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 t="s">
        <v>242</v>
      </c>
      <c r="AF128" s="8" t="s">
        <v>517</v>
      </c>
      <c r="AG128" s="8" t="s">
        <v>203</v>
      </c>
      <c r="AH128" s="8" t="s">
        <v>517</v>
      </c>
      <c r="AI128" s="8" t="s">
        <v>517</v>
      </c>
    </row>
    <row r="129" customFormat="false" ht="15" hidden="false" customHeight="false" outlineLevel="0" collapsed="false">
      <c r="A129" s="8" t="s">
        <v>4</v>
      </c>
      <c r="B129" s="8" t="s">
        <v>8</v>
      </c>
      <c r="C129" s="8" t="n">
        <v>13</v>
      </c>
      <c r="D129" s="8" t="s">
        <v>6</v>
      </c>
      <c r="E129" s="8" t="s">
        <v>516</v>
      </c>
      <c r="F129" s="8" t="s">
        <v>238</v>
      </c>
      <c r="G129" s="8"/>
      <c r="H129" s="8"/>
      <c r="I129" s="8"/>
      <c r="J129" s="8" t="s">
        <v>195</v>
      </c>
      <c r="K129" s="8"/>
      <c r="L129" s="8"/>
      <c r="M129" s="8"/>
      <c r="N129" s="8"/>
      <c r="O129" s="8"/>
      <c r="P129" s="8"/>
      <c r="Q129" s="8"/>
      <c r="R129" s="8"/>
      <c r="S129" s="8" t="s">
        <v>239</v>
      </c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 t="s">
        <v>243</v>
      </c>
      <c r="AF129" s="8" t="s">
        <v>517</v>
      </c>
      <c r="AG129" s="8" t="s">
        <v>203</v>
      </c>
      <c r="AH129" s="8" t="s">
        <v>517</v>
      </c>
      <c r="AI129" s="8" t="s">
        <v>517</v>
      </c>
    </row>
    <row r="130" customFormat="false" ht="26.85" hidden="false" customHeight="false" outlineLevel="0" collapsed="false">
      <c r="A130" s="8" t="s">
        <v>4</v>
      </c>
      <c r="B130" s="8" t="s">
        <v>8</v>
      </c>
      <c r="C130" s="8" t="n">
        <v>13</v>
      </c>
      <c r="D130" s="8" t="s">
        <v>6</v>
      </c>
      <c r="E130" s="8" t="s">
        <v>516</v>
      </c>
      <c r="F130" s="8" t="s">
        <v>238</v>
      </c>
      <c r="G130" s="8"/>
      <c r="H130" s="8"/>
      <c r="I130" s="8"/>
      <c r="J130" s="8" t="s">
        <v>191</v>
      </c>
      <c r="K130" s="8"/>
      <c r="L130" s="8"/>
      <c r="M130" s="8"/>
      <c r="N130" s="8"/>
      <c r="O130" s="8"/>
      <c r="P130" s="8"/>
      <c r="Q130" s="8"/>
      <c r="R130" s="8"/>
      <c r="S130" s="8" t="s">
        <v>239</v>
      </c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 t="s">
        <v>243</v>
      </c>
      <c r="AF130" s="8" t="s">
        <v>517</v>
      </c>
      <c r="AG130" s="8" t="s">
        <v>203</v>
      </c>
      <c r="AH130" s="8" t="s">
        <v>517</v>
      </c>
      <c r="AI130" s="8" t="s">
        <v>517</v>
      </c>
    </row>
    <row r="131" customFormat="false" ht="15" hidden="false" customHeight="false" outlineLevel="0" collapsed="false">
      <c r="A131" s="8" t="s">
        <v>4</v>
      </c>
      <c r="B131" s="8" t="s">
        <v>8</v>
      </c>
      <c r="C131" s="8" t="n">
        <v>13</v>
      </c>
      <c r="D131" s="8" t="s">
        <v>6</v>
      </c>
      <c r="E131" s="8" t="s">
        <v>516</v>
      </c>
      <c r="F131" s="8" t="s">
        <v>238</v>
      </c>
      <c r="G131" s="8"/>
      <c r="H131" s="8"/>
      <c r="I131" s="8"/>
      <c r="J131" s="8" t="s">
        <v>193</v>
      </c>
      <c r="K131" s="8"/>
      <c r="L131" s="8"/>
      <c r="M131" s="8"/>
      <c r="N131" s="8"/>
      <c r="O131" s="8"/>
      <c r="P131" s="8"/>
      <c r="Q131" s="8"/>
      <c r="R131" s="8"/>
      <c r="S131" s="8" t="s">
        <v>239</v>
      </c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 t="s">
        <v>243</v>
      </c>
      <c r="AF131" s="8" t="s">
        <v>517</v>
      </c>
      <c r="AG131" s="8" t="s">
        <v>203</v>
      </c>
      <c r="AH131" s="8" t="s">
        <v>517</v>
      </c>
      <c r="AI131" s="8" t="s">
        <v>517</v>
      </c>
    </row>
    <row r="132" customFormat="false" ht="15" hidden="false" customHeight="false" outlineLevel="0" collapsed="false">
      <c r="A132" s="8" t="s">
        <v>4</v>
      </c>
      <c r="B132" s="8" t="s">
        <v>8</v>
      </c>
      <c r="C132" s="8" t="n">
        <v>13</v>
      </c>
      <c r="D132" s="8" t="s">
        <v>6</v>
      </c>
      <c r="E132" s="8" t="s">
        <v>516</v>
      </c>
      <c r="F132" s="8" t="s">
        <v>238</v>
      </c>
      <c r="G132" s="8"/>
      <c r="H132" s="8"/>
      <c r="I132" s="8"/>
      <c r="J132" s="8" t="s">
        <v>197</v>
      </c>
      <c r="K132" s="8"/>
      <c r="L132" s="8"/>
      <c r="M132" s="8"/>
      <c r="N132" s="8"/>
      <c r="O132" s="8"/>
      <c r="P132" s="8"/>
      <c r="Q132" s="8"/>
      <c r="R132" s="8"/>
      <c r="S132" s="8" t="s">
        <v>239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 t="s">
        <v>243</v>
      </c>
      <c r="AF132" s="8" t="s">
        <v>517</v>
      </c>
      <c r="AG132" s="8" t="s">
        <v>203</v>
      </c>
      <c r="AH132" s="8" t="s">
        <v>517</v>
      </c>
      <c r="AI132" s="8" t="s">
        <v>517</v>
      </c>
    </row>
    <row r="133" customFormat="false" ht="15" hidden="false" customHeight="false" outlineLevel="0" collapsed="false">
      <c r="A133" s="8" t="s">
        <v>4</v>
      </c>
      <c r="B133" s="8" t="s">
        <v>8</v>
      </c>
      <c r="C133" s="8" t="n">
        <v>13</v>
      </c>
      <c r="D133" s="8" t="s">
        <v>6</v>
      </c>
      <c r="E133" s="8" t="s">
        <v>516</v>
      </c>
      <c r="F133" s="8" t="s">
        <v>238</v>
      </c>
      <c r="G133" s="8"/>
      <c r="H133" s="8"/>
      <c r="I133" s="8"/>
      <c r="J133" s="8" t="s">
        <v>189</v>
      </c>
      <c r="K133" s="8"/>
      <c r="L133" s="8"/>
      <c r="M133" s="8"/>
      <c r="N133" s="8"/>
      <c r="O133" s="8"/>
      <c r="P133" s="8"/>
      <c r="Q133" s="8"/>
      <c r="R133" s="8"/>
      <c r="S133" s="8" t="s">
        <v>239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 t="s">
        <v>243</v>
      </c>
      <c r="AF133" s="8" t="s">
        <v>517</v>
      </c>
      <c r="AG133" s="8" t="s">
        <v>203</v>
      </c>
      <c r="AH133" s="8" t="s">
        <v>517</v>
      </c>
      <c r="AI133" s="8" t="s">
        <v>517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12.71"/>
    <col collapsed="false" customWidth="true" hidden="false" outlineLevel="0" max="3" min="3" style="0" width="66.71"/>
  </cols>
  <sheetData>
    <row r="1" customFormat="false" ht="15" hidden="false" customHeight="false" outlineLevel="0" collapsed="false">
      <c r="A1" s="2" t="s">
        <v>520</v>
      </c>
      <c r="B1" s="2" t="s">
        <v>69</v>
      </c>
      <c r="C1" s="2" t="s">
        <v>27</v>
      </c>
    </row>
    <row r="2" customFormat="false" ht="15" hidden="false" customHeight="false" outlineLevel="0" collapsed="false">
      <c r="A2" s="3" t="s">
        <v>521</v>
      </c>
      <c r="B2" s="3" t="s">
        <v>522</v>
      </c>
      <c r="C2" s="3" t="s">
        <v>523</v>
      </c>
    </row>
    <row r="3" customFormat="false" ht="15" hidden="false" customHeight="false" outlineLevel="0" collapsed="false">
      <c r="A3" s="3" t="s">
        <v>524</v>
      </c>
      <c r="B3" s="3" t="s">
        <v>522</v>
      </c>
      <c r="C3" s="3" t="s">
        <v>525</v>
      </c>
    </row>
    <row r="4" customFormat="false" ht="15" hidden="false" customHeight="false" outlineLevel="0" collapsed="false">
      <c r="A4" s="3" t="s">
        <v>274</v>
      </c>
      <c r="B4" s="5" t="str">
        <f aca="false">IF(COUNTIF(resultado_homogeneidad!$G:$G,"FALLA")&gt;0,"FALLA",IF(COUNTIF(resultado_homogeneidad!$G:$G,"Pendiente")&gt;0,"PENDIENTE","OK"))</f>
        <v>OK</v>
      </c>
      <c r="C4" s="3" t="s">
        <v>526</v>
      </c>
    </row>
    <row r="5" customFormat="false" ht="15" hidden="false" customHeight="false" outlineLevel="0" collapsed="false">
      <c r="A5" s="3" t="s">
        <v>527</v>
      </c>
      <c r="B5" s="3" t="s">
        <v>522</v>
      </c>
      <c r="C5" s="3" t="s">
        <v>528</v>
      </c>
    </row>
    <row r="6" customFormat="false" ht="15" hidden="false" customHeight="false" outlineLevel="0" collapsed="false">
      <c r="A6" s="3" t="s">
        <v>529</v>
      </c>
      <c r="B6" s="3" t="s">
        <v>522</v>
      </c>
      <c r="C6" s="3" t="s">
        <v>530</v>
      </c>
    </row>
    <row r="7" customFormat="false" ht="15" hidden="false" customHeight="false" outlineLevel="0" collapsed="false">
      <c r="A7" s="3" t="s">
        <v>275</v>
      </c>
      <c r="B7" s="5" t="str">
        <f aca="false">IF(COUNTIF(resultado_estabilidad!$G:$G,"FALLA")&gt;0,"FALLA",IF(COUNTIF(resultado_estabilidad!$G:$G,"Pendiente")&gt;0,"PENDIENTE","OK"))</f>
        <v>OK</v>
      </c>
      <c r="C7" s="3" t="s">
        <v>531</v>
      </c>
    </row>
    <row r="8" customFormat="false" ht="15" hidden="false" customHeight="false" outlineLevel="0" collapsed="false">
      <c r="A8" s="3" t="s">
        <v>532</v>
      </c>
      <c r="B8" s="3" t="s">
        <v>522</v>
      </c>
      <c r="C8" s="3" t="s">
        <v>533</v>
      </c>
    </row>
    <row r="9" customFormat="false" ht="15" hidden="false" customHeight="false" outlineLevel="0" collapsed="false">
      <c r="A9" s="3" t="s">
        <v>534</v>
      </c>
      <c r="B9" s="3" t="s">
        <v>522</v>
      </c>
      <c r="C9" s="3" t="s">
        <v>535</v>
      </c>
    </row>
    <row r="10" customFormat="false" ht="15" hidden="false" customHeight="false" outlineLevel="0" collapsed="false">
      <c r="A10" s="3" t="s">
        <v>276</v>
      </c>
      <c r="B10" s="5" t="str">
        <f aca="false">IF(COUNTIF(valor_asignado!$K:$K,"FALLA")&gt;0,"FALLA",IF(COUNTIF(valor_asignado!$K:$K,"Pendiente")&gt;0,"PENDIENTE","OK"))</f>
        <v>OK</v>
      </c>
      <c r="C10" s="3" t="s">
        <v>536</v>
      </c>
    </row>
    <row r="11" customFormat="false" ht="15" hidden="false" customHeight="false" outlineLevel="0" collapsed="false">
      <c r="A11" s="3" t="s">
        <v>537</v>
      </c>
      <c r="B11" s="3" t="s">
        <v>522</v>
      </c>
      <c r="C11" s="3" t="s">
        <v>538</v>
      </c>
    </row>
    <row r="12" customFormat="false" ht="15" hidden="false" customHeight="false" outlineLevel="0" collapsed="false">
      <c r="A12" s="3" t="s">
        <v>298</v>
      </c>
      <c r="B12" s="5" t="str">
        <f aca="false">IF(COUNTIF(algoritmo_A!$E:$E,"FALLA")&gt;0,"FALLA",IF(COUNTIF(algoritmo_A!$E:$E,"Pendiente")&gt;0,"PENDIENTE","OK"))</f>
        <v>OK</v>
      </c>
      <c r="C12" s="3" t="s">
        <v>539</v>
      </c>
    </row>
    <row r="13" customFormat="false" ht="15" hidden="false" customHeight="false" outlineLevel="0" collapsed="false">
      <c r="A13" s="3" t="s">
        <v>299</v>
      </c>
      <c r="B13" s="5" t="str">
        <f aca="false">IF(COUNTIF(puntajes_EA!$N:$N,"FALLA")&gt;0,"FALLA",IF(COUNTIF(puntajes_EA!$N:$N,"Pendiente")&gt;0,"PENDIENTE","OK"))</f>
        <v>OK</v>
      </c>
      <c r="C13" s="3" t="s">
        <v>540</v>
      </c>
    </row>
    <row r="14" customFormat="false" ht="15" hidden="false" customHeight="false" outlineLevel="0" collapsed="false">
      <c r="A14" s="3" t="s">
        <v>516</v>
      </c>
      <c r="B14" s="5" t="str">
        <f aca="false">IF(COUNTIF(informe_global!$R:$R,"FALLA")&gt;0,"FALLA",IF(COUNTIF(informe_global!$R:$R,"Pendiente")&gt;0,"PENDIENTE","OK"))</f>
        <v>OK</v>
      </c>
      <c r="C14" s="3" t="s">
        <v>541</v>
      </c>
    </row>
    <row r="15" customFormat="false" ht="15" hidden="false" customHeight="false" outlineLevel="0" collapsed="false">
      <c r="A15" s="3" t="s">
        <v>542</v>
      </c>
      <c r="B15" s="5" t="str">
        <f aca="false">IF(COUNTIF(heatmap_datos_globales!$K:$K,"FALLA")&gt;0,"FALLA",IF(COUNTIF(heatmap_datos_globales!$K:$K,"Pendiente")&gt;0,"PENDIENTE","OK"))</f>
        <v>OK</v>
      </c>
      <c r="C15" s="3" t="s">
        <v>543</v>
      </c>
    </row>
    <row r="16" customFormat="false" ht="15" hidden="false" customHeight="false" outlineLevel="0" collapsed="false">
      <c r="A16" s="3" t="s">
        <v>544</v>
      </c>
      <c r="B16" s="5" t="str">
        <f aca="false">IF(COUNTIF(heatmap_global!$D:$D,"FALLA")&gt;0,"FALLA",IF(COUNTIF(heatmap_global!$D:$D,"Pendiente")&gt;0,"PENDIENTE","OK"))</f>
        <v>OK</v>
      </c>
      <c r="C16" s="3" t="s">
        <v>545</v>
      </c>
    </row>
    <row r="17" customFormat="false" ht="15" hidden="false" customHeight="false" outlineLevel="0" collapsed="false">
      <c r="A17" s="3" t="s">
        <v>546</v>
      </c>
      <c r="B17" s="3" t="s">
        <v>522</v>
      </c>
      <c r="C17" s="3" t="s">
        <v>547</v>
      </c>
    </row>
    <row r="18" customFormat="false" ht="15" hidden="false" customHeight="false" outlineLevel="0" collapsed="false">
      <c r="A18" s="3" t="s">
        <v>548</v>
      </c>
      <c r="B18" s="5" t="str">
        <f aca="false">IF(SUM(C24:C28)&gt;0,"FALLA","OK")</f>
        <v>OK</v>
      </c>
      <c r="C18" s="3" t="s">
        <v>549</v>
      </c>
    </row>
    <row r="21" customFormat="false" ht="15" hidden="false" customHeight="false" outlineLevel="0" collapsed="false">
      <c r="A21" s="0" t="s">
        <v>550</v>
      </c>
      <c r="B21" s="7" t="str">
        <f aca="false">IF(COUNTIF(B2:B18,"FALLA")&gt;0,"FALLA",IF(COUNTIF(B2:B18,"Pendiente")&gt;0,"PENDIENTE","OK"))</f>
        <v>OK</v>
      </c>
    </row>
    <row r="23" customFormat="false" ht="15" hidden="false" customHeight="false" outlineLevel="0" collapsed="false">
      <c r="A23" s="2" t="s">
        <v>551</v>
      </c>
      <c r="B23" s="2" t="s">
        <v>552</v>
      </c>
      <c r="C23" s="2" t="s">
        <v>553</v>
      </c>
    </row>
    <row r="24" customFormat="false" ht="15" hidden="false" customHeight="false" outlineLevel="0" collapsed="false">
      <c r="A24" s="3" t="s">
        <v>554</v>
      </c>
      <c r="B24" s="3" t="s">
        <v>555</v>
      </c>
      <c r="C24" s="5" t="n">
        <f aca="false">COUNTIF(resultado_homogeneidad!$A:$G,A24)+COUNTIF(resultado_estabilidad!$A:$G,A24)+COUNTIF(calc_homogeneidad!$A:$C,A24)+COUNTIF(calc_estabilidad!$A:$C,A24)+COUNTIF(valor_asignado!$A:$K,A24)+COUNTIF(algoritmo_A_iteraciones!$A:$Z,A24)+COUNTIF(algoritmo_A!$A:$E,A24)+COUNTIF(puntajes_EA!$A:$N,A24)+COUNTIF(informe_global!$A:$R,A24)+COUNTIF(heatmap_datos_globales!$A:$K,A24)+COUNTIF(heatmap_global!$A:$D,A24)</f>
        <v>0</v>
      </c>
    </row>
    <row r="25" customFormat="false" ht="15" hidden="false" customHeight="false" outlineLevel="0" collapsed="false">
      <c r="A25" s="3" t="s">
        <v>556</v>
      </c>
      <c r="B25" s="3" t="s">
        <v>557</v>
      </c>
      <c r="C25" s="5" t="n">
        <f aca="false">COUNTIF(resultado_homogeneidad!$A:$G,A25)+COUNTIF(resultado_estabilidad!$A:$G,A25)+COUNTIF(calc_homogeneidad!$A:$C,A25)+COUNTIF(calc_estabilidad!$A:$C,A25)+COUNTIF(valor_asignado!$A:$K,A25)+COUNTIF(algoritmo_A_iteraciones!$A:$Z,A25)+COUNTIF(algoritmo_A!$A:$E,A25)+COUNTIF(puntajes_EA!$A:$N,A25)+COUNTIF(informe_global!$A:$R,A25)+COUNTIF(heatmap_datos_globales!$A:$K,A25)+COUNTIF(heatmap_global!$A:$D,A25)</f>
        <v>0</v>
      </c>
    </row>
    <row r="26" customFormat="false" ht="15" hidden="false" customHeight="false" outlineLevel="0" collapsed="false">
      <c r="A26" s="3" t="s">
        <v>558</v>
      </c>
      <c r="B26" s="3" t="s">
        <v>559</v>
      </c>
      <c r="C26" s="5" t="n">
        <f aca="false">COUNTIF(resultado_homogeneidad!$A:$G,A26)+COUNTIF(resultado_estabilidad!$A:$G,A26)+COUNTIF(calc_homogeneidad!$A:$C,A26)+COUNTIF(calc_estabilidad!$A:$C,A26)+COUNTIF(valor_asignado!$A:$K,A26)+COUNTIF(algoritmo_A_iteraciones!$A:$Z,A26)+COUNTIF(algoritmo_A!$A:$E,A26)+COUNTIF(puntajes_EA!$A:$N,A26)+COUNTIF(informe_global!$A:$R,A26)+COUNTIF(heatmap_datos_globales!$A:$K,A26)+COUNTIF(heatmap_global!$A:$D,A26)</f>
        <v>0</v>
      </c>
    </row>
    <row r="27" customFormat="false" ht="15" hidden="false" customHeight="false" outlineLevel="0" collapsed="false">
      <c r="A27" s="3" t="s">
        <v>560</v>
      </c>
      <c r="B27" s="3" t="s">
        <v>232</v>
      </c>
      <c r="C27" s="5" t="n">
        <f aca="false">COUNTIF(resultado_homogeneidad!$A:$G,A27)+COUNTIF(resultado_estabilidad!$A:$G,A27)+COUNTIF(calc_homogeneidad!$A:$C,A27)+COUNTIF(calc_estabilidad!$A:$C,A27)+COUNTIF(valor_asignado!$A:$K,A27)+COUNTIF(algoritmo_A_iteraciones!$A:$Z,A27)+COUNTIF(algoritmo_A!$A:$E,A27)+COUNTIF(puntajes_EA!$A:$N,A27)+COUNTIF(informe_global!$A:$R,A27)+COUNTIF(heatmap_datos_globales!$A:$K,A27)+COUNTIF(heatmap_global!$A:$D,A27)</f>
        <v>0</v>
      </c>
    </row>
    <row r="28" customFormat="false" ht="15" hidden="false" customHeight="false" outlineLevel="0" collapsed="false">
      <c r="A28" s="3" t="s">
        <v>561</v>
      </c>
      <c r="B28" s="3" t="s">
        <v>562</v>
      </c>
      <c r="C28" s="5" t="n">
        <f aca="false">COUNTIF(resultado_homogeneidad!$A:$G,A28)+COUNTIF(resultado_estabilidad!$A:$G,A28)+COUNTIF(calc_homogeneidad!$A:$C,A28)+COUNTIF(calc_estabilidad!$A:$C,A28)+COUNTIF(valor_asignado!$A:$K,A28)+COUNTIF(algoritmo_A_iteraciones!$A:$Z,A28)+COUNTIF(algoritmo_A!$A:$E,A28)+COUNTIF(puntajes_EA!$A:$N,A28)+COUNTIF(informe_global!$A:$R,A28)+COUNTIF(heatmap_datos_globales!$A:$K,A28)+COUNTIF(heatmap_global!$A:$D,A28)</f>
        <v>0</v>
      </c>
    </row>
    <row r="30" customFormat="false" ht="15" hidden="false" customHeight="false" outlineLevel="0" collapsed="false">
      <c r="A30" s="0" t="s">
        <v>563</v>
      </c>
      <c r="B30" s="7" t="n">
        <f aca="false">SUM(C24:C28)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2026-05-14T00:21:28Z</dcterms:created>
  <dc:creator>w182</dc:creator>
  <dc:description/>
  <dc:language>en-US</dc:language>
  <cp:lastModifiedBy>w182</cp:lastModifiedBy>
  <cp:revision>0</cp:revision>
  <dc:subject/>
  <dc:title/>
</cp:coreProperties>
</file>