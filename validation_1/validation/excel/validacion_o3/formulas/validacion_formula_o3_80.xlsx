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tos_homogeneidad" sheetId="2" state="visible" r:id="rId4"/>
    <sheet name="calc_homogeneidad" sheetId="3" state="visible" r:id="rId5"/>
    <sheet name="resultado_homogeneidad" sheetId="4" state="visible" r:id="rId6"/>
    <sheet name="datos_estabilidad" sheetId="5" state="visible" r:id="rId7"/>
    <sheet name="calc_estabilidad" sheetId="6" state="visible" r:id="rId8"/>
    <sheet name="resultado_estabilidad" sheetId="7" state="visible" r:id="rId9"/>
    <sheet name="datos_participantes" sheetId="8" state="visible" r:id="rId10"/>
    <sheet name="datos_referencia" sheetId="9" state="visible" r:id="rId11"/>
    <sheet name="algoritmo_A_iteraciones" sheetId="10" state="visible" r:id="rId12"/>
    <sheet name="valor_asignado" sheetId="11" state="visible" r:id="rId13"/>
    <sheet name="algoritmo_A" sheetId="12" state="visible" r:id="rId14"/>
    <sheet name="puntajes_EA" sheetId="13" state="visible" r:id="rId15"/>
    <sheet name="informe_global" sheetId="14" state="visible" r:id="rId16"/>
    <sheet name="validacion_snapshot" sheetId="15" state="visible" r:id="rId17"/>
    <sheet name="validacion_final" sheetId="16" state="visible" r:id="rId18"/>
  </sheets>
  <definedNames>
    <definedName function="false" hidden="false" name="algoritmo_A" vbProcedure="false">algoritmo_A!$A$1:$E$15</definedName>
    <definedName function="false" hidden="false" name="algoritmo_A_app_value" vbProcedure="false">algoritmo_A!$C$2:$C$15</definedName>
    <definedName function="false" hidden="false" name="algoritmo_A_bloque" vbProcedure="false">algoritmo_A!$A$2:$A$15</definedName>
    <definedName function="false" hidden="false" name="algoritmo_A_calculado" vbProcedure="false">algoritmo_A!$D$2:$D$15</definedName>
    <definedName function="false" hidden="false" name="algoritmo_A_estado" vbProcedure="false">algoritmo_A!$E$2:$E$15</definedName>
    <definedName function="false" hidden="false" name="algoritmo_A_parametro" vbProcedure="false">algoritmo_A!$B$2:$B$15</definedName>
    <definedName function="false" hidden="false" name="calc_estabilidad" vbProcedure="false">calc_estabilidad!$A$1:$C$16</definedName>
    <definedName function="false" hidden="false" name="calc_estabilidad_notas" vbProcedure="false">calc_estabilidad!$C$2:$C$16</definedName>
    <definedName function="false" hidden="false" name="calc_estabilidad_parametro" vbProcedure="false">calc_estabilidad!$A$2:$A$16</definedName>
    <definedName function="false" hidden="false" name="calc_estabilidad_valor" vbProcedure="false">calc_estabilidad!$B$2:$B$16</definedName>
    <definedName function="false" hidden="false" name="calc_homogeneidad" vbProcedure="false">calc_homogeneidad!$A$1:$C$19</definedName>
    <definedName function="false" hidden="false" name="calc_homogeneidad_notas" vbProcedure="false">calc_homogeneidad!$C$2:$C$19</definedName>
    <definedName function="false" hidden="false" name="calc_homogeneidad_parametro" vbProcedure="false">calc_homogeneidad!$A$2:$A$19</definedName>
    <definedName function="false" hidden="false" name="calc_homogeneidad_valor" vbProcedure="false">calc_homogeneidad!$B$2:$B$19</definedName>
    <definedName function="false" hidden="false" name="datos_estabilidad" vbProcedure="false">datos_estabilidad!$A$1:$F$3</definedName>
    <definedName function="false" hidden="false" name="datos_estabilidad_abs_diff_from_xpt" vbProcedure="false">datos_estabilidad!$F$2:$F$3</definedName>
    <definedName function="false" hidden="false" name="datos_estabilidad_promedio_muestra" vbProcedure="false">datos_estabilidad!$D$2:$D$3</definedName>
    <definedName function="false" hidden="false" name="datos_estabilidad_rango_absoluto" vbProcedure="false">datos_estabilidad!$E$2:$E$3</definedName>
    <definedName function="false" hidden="false" name="datos_estabilidad_sample_1" vbProcedure="false">datos_estabilidad!$B$2:$B$3</definedName>
    <definedName function="false" hidden="false" name="datos_estabilidad_sample_2" vbProcedure="false">datos_estabilidad!$C$2:$C$3</definedName>
    <definedName function="false" hidden="false" name="datos_estabilidad_sample_id" vbProcedure="false">datos_estabilidad!$A$2:$A$3</definedName>
    <definedName function="false" hidden="false" name="datos_homogeneidad" vbProcedure="false">datos_homogeneidad!$A$1:$F$11</definedName>
    <definedName function="false" hidden="false" name="datos_homogeneidad_abs_diff_from_xpt" vbProcedure="false">datos_homogeneidad!$F$2:$F$11</definedName>
    <definedName function="false" hidden="false" name="datos_homogeneidad_promedio_muestra" vbProcedure="false">datos_homogeneidad!$D$2:$D$11</definedName>
    <definedName function="false" hidden="false" name="datos_homogeneidad_rango_absoluto" vbProcedure="false">datos_homogeneidad!$E$2:$E$11</definedName>
    <definedName function="false" hidden="false" name="datos_homogeneidad_sample_1" vbProcedure="false">datos_homogeneidad!$B$2:$B$11</definedName>
    <definedName function="false" hidden="false" name="datos_homogeneidad_sample_2" vbProcedure="false">datos_homogeneidad!$C$2:$C$11</definedName>
    <definedName function="false" hidden="false" name="datos_homogeneidad_sample_id" vbProcedure="false">datos_homogeneidad!$A$2:$A$11</definedName>
    <definedName function="false" hidden="false" name="datos_participantes" vbProcedure="false">datos_participantes!$A$1:$G$13</definedName>
    <definedName function="false" hidden="false" name="datos_participantes_level" vbProcedure="false">datos_participantes!$C$2:$C$13</definedName>
    <definedName function="false" hidden="false" name="datos_participantes_mean_value" vbProcedure="false">datos_participantes!$D$2:$D$13</definedName>
    <definedName function="false" hidden="false" name="datos_participantes_participant_id" vbProcedure="false">datos_participantes!$A$2:$A$13</definedName>
    <definedName function="false" hidden="false" name="datos_participantes_pollutant" vbProcedure="false">datos_participantes!$B$2:$B$13</definedName>
    <definedName function="false" hidden="false" name="datos_participantes_sd_value" vbProcedure="false">datos_participantes!$E$2:$E$13</definedName>
    <definedName function="false" hidden="false" name="datos_participantes_u_i" vbProcedure="false">datos_participantes!$F$2:$F$13</definedName>
    <definedName function="false" hidden="false" name="datos_participantes_u_i_check" vbProcedure="false">datos_participantes!$G$2:$G$13</definedName>
    <definedName function="false" hidden="false" name="datos_referencia" vbProcedure="false">datos_referencia!$A$1:$G$2</definedName>
    <definedName function="false" hidden="false" name="datos_referencia_level" vbProcedure="false">datos_referencia!$B$2</definedName>
    <definedName function="false" hidden="false" name="datos_referencia_mean_value" vbProcedure="false">datos_referencia!$D$2</definedName>
    <definedName function="false" hidden="false" name="datos_referencia_participant_id" vbProcedure="false">datos_referencia!$C$2</definedName>
    <definedName function="false" hidden="false" name="datos_referencia_pollutant" vbProcedure="false">datos_referencia!$A$2</definedName>
    <definedName function="false" hidden="false" name="datos_referencia_sd_value" vbProcedure="false">datos_referencia!$E$2</definedName>
    <definedName function="false" hidden="false" name="datos_referencia_u_ref_check" vbProcedure="false">datos_referencia!$G$2</definedName>
    <definedName function="false" hidden="false" name="datos_referencia_x_pt_ref" vbProcedure="false">datos_referencia!$F$2</definedName>
    <definedName function="false" hidden="false" name="informe_global" vbProcedure="false">informe_global!$A$1:$R$26</definedName>
    <definedName function="false" hidden="false" name="informe_global_bloque" vbProcedure="false">informe_global!$B$2:$B$26</definedName>
    <definedName function="false" hidden="false" name="informe_global_Cuestionable" vbProcedure="false">informe_global!$P$2:$P$26</definedName>
    <definedName function="false" hidden="false" name="informe_global_estado" vbProcedure="false">informe_global!$R$2:$R$26</definedName>
    <definedName function="false" hidden="false" name="informe_global_method" vbProcedure="false">informe_global!$D$2:$D$26</definedName>
    <definedName function="false" hidden="false" name="informe_global_method_key" vbProcedure="false">informe_global!$C$2:$C$26</definedName>
    <definedName function="false" hidden="false" name="informe_global_No_satisfactorio" vbProcedure="false">informe_global!$Q$2:$Q$26</definedName>
    <definedName function="false" hidden="false" name="informe_global_N_A" vbProcedure="false">informe_global!$N$2:$N$26</definedName>
    <definedName function="false" hidden="false" name="informe_global_n_participants" vbProcedure="false">informe_global!$L$2:$L$26</definedName>
    <definedName function="false" hidden="false" name="informe_global_Satisfactorio" vbProcedure="false">informe_global!$O$2:$O$26</definedName>
    <definedName function="false" hidden="false" name="informe_global_score" vbProcedure="false">informe_global!$M$2:$M$26</definedName>
    <definedName function="false" hidden="false" name="informe_global_sigma_pt" vbProcedure="false">informe_global!$F$2:$F$26</definedName>
    <definedName function="false" hidden="false" name="informe_global_tabla" vbProcedure="false">informe_global!$A$2:$A$26</definedName>
    <definedName function="false" hidden="false" name="informe_global_u_hom" vbProcedure="false">informe_global!$H$2:$H$26</definedName>
    <definedName function="false" hidden="false" name="informe_global_u_stab" vbProcedure="false">informe_global!$I$2:$I$26</definedName>
    <definedName function="false" hidden="false" name="informe_global_U_xpt" vbProcedure="false">informe_global!$K$2:$K$26</definedName>
    <definedName function="false" hidden="false" name="informe_global_u_xpt_def" vbProcedure="false">informe_global!$J$2:$J$26</definedName>
    <definedName function="false" hidden="false" name="informe_global_x_pt" vbProcedure="false">informe_global!$E$2:$E$26</definedName>
    <definedName function="false" hidden="false" name="puntajes_EA" vbProcedure="false">puntajes_EA!$A$1:$N$61</definedName>
    <definedName function="false" hidden="false" name="puntajes_EA_En_score" vbProcedure="false">puntajes_EA!$L$2:$L$61</definedName>
    <definedName function="false" hidden="false" name="puntajes_EA_En_score_eval" vbProcedure="false">puntajes_EA!$M$2:$M$61</definedName>
    <definedName function="false" hidden="false" name="puntajes_EA_estado" vbProcedure="false">puntajes_EA!$N$2:$N$61</definedName>
    <definedName function="false" hidden="false" name="puntajes_EA_method" vbProcedure="false">puntajes_EA!$B$2:$B$61</definedName>
    <definedName function="false" hidden="false" name="puntajes_EA_method_key" vbProcedure="false">puntajes_EA!$A$2:$A$61</definedName>
    <definedName function="false" hidden="false" name="puntajes_EA_participant_id" vbProcedure="false">puntajes_EA!$C$2:$C$61</definedName>
    <definedName function="false" hidden="false" name="puntajes_EA_result" vbProcedure="false">puntajes_EA!$D$2:$D$61</definedName>
    <definedName function="false" hidden="false" name="puntajes_EA_u_xi" vbProcedure="false">puntajes_EA!$E$2:$E$61</definedName>
    <definedName function="false" hidden="false" name="puntajes_EA_zeta_score" vbProcedure="false">puntajes_EA!$J$2:$J$61</definedName>
    <definedName function="false" hidden="false" name="puntajes_EA_zeta_score_eval" vbProcedure="false">puntajes_EA!$K$2:$K$61</definedName>
    <definedName function="false" hidden="false" name="puntajes_EA_z_prime_score" vbProcedure="false">puntajes_EA!$H$2:$H$61</definedName>
    <definedName function="false" hidden="false" name="puntajes_EA_z_prime_score_eval" vbProcedure="false">puntajes_EA!$I$2:$I$61</definedName>
    <definedName function="false" hidden="false" name="puntajes_EA_z_score" vbProcedure="false">puntajes_EA!$F$2:$F$61</definedName>
    <definedName function="false" hidden="false" name="puntajes_EA_z_score_eval" vbProcedure="false">puntajes_EA!$G$2:$G$61</definedName>
    <definedName function="false" hidden="false" name="readme" vbProcedure="false">README!$A$3:$B$11</definedName>
    <definedName function="false" hidden="false" name="readme_bloque" vbProcedure="false">README!$A$4:$A$11</definedName>
    <definedName function="false" hidden="false" name="readme_contenido" vbProcedure="false">README!$B$4:$B$11</definedName>
    <definedName function="false" hidden="false" name="resultado_estabilidad" vbProcedure="false">resultado_estabilidad!$A$1:$G$15</definedName>
    <definedName function="false" hidden="false" name="resultado_estabilidad_app_value" vbProcedure="false">resultado_estabilidad!$C$2:$C$15</definedName>
    <definedName function="false" hidden="false" name="resultado_estabilidad_calculado" vbProcedure="false">resultado_estabilidad!$D$2:$D$15</definedName>
    <definedName function="false" hidden="false" name="resultado_estabilidad_delta_abs" vbProcedure="false">resultado_estabilidad!$E$2:$E$15</definedName>
    <definedName function="false" hidden="false" name="resultado_estabilidad_estado" vbProcedure="false">resultado_estabilidad!$G$2:$G$15</definedName>
    <definedName function="false" hidden="false" name="resultado_estabilidad_parametro" vbProcedure="false">resultado_estabilidad!$B$2:$B$15</definedName>
    <definedName function="false" hidden="false" name="resultado_estabilidad_tabla" vbProcedure="false">resultado_estabilidad!$A$2:$A$15</definedName>
    <definedName function="false" hidden="false" name="resultado_estabilidad_tolerancia" vbProcedure="false">resultado_estabilidad!$F$2:$F$15</definedName>
    <definedName function="false" hidden="false" name="resultado_homogeneidad" vbProcedure="false">resultado_homogeneidad!$A$1:$G$15</definedName>
    <definedName function="false" hidden="false" name="resultado_homogeneidad_app_value" vbProcedure="false">resultado_homogeneidad!$C$2:$C$15</definedName>
    <definedName function="false" hidden="false" name="resultado_homogeneidad_calculado" vbProcedure="false">resultado_homogeneidad!$D$2:$D$15</definedName>
    <definedName function="false" hidden="false" name="resultado_homogeneidad_delta_abs" vbProcedure="false">resultado_homogeneidad!$E$2:$E$15</definedName>
    <definedName function="false" hidden="false" name="resultado_homogeneidad_estado" vbProcedure="false">resultado_homogeneidad!$G$2:$G$15</definedName>
    <definedName function="false" hidden="false" name="resultado_homogeneidad_parametro" vbProcedure="false">resultado_homogeneidad!$B$2:$B$15</definedName>
    <definedName function="false" hidden="false" name="resultado_homogeneidad_tabla" vbProcedure="false">resultado_homogeneidad!$A$2:$A$15</definedName>
    <definedName function="false" hidden="false" name="resultado_homogeneidad_tolerancia" vbProcedure="false">resultado_homogeneidad!$F$2:$F$15</definedName>
    <definedName function="false" hidden="false" name="snapshot" vbProcedure="false">validacion_snapshot!$A$1:$AI$133</definedName>
    <definedName function="false" hidden="false" name="snapshot_app_value" vbProcedure="false">validacion_snapshot!$H$2:$H$133</definedName>
    <definedName function="false" hidden="false" name="snapshot_bloque" vbProcedure="false">validacion_snapshot!$S$2:$S$133</definedName>
    <definedName function="false" hidden="false" name="snapshot_combo_id" vbProcedure="false">validacion_snapshot!$A$2:$A$133</definedName>
    <definedName function="false" hidden="false" name="snapshot_Cuestionable" vbProcedure="false">validacion_snapshot!$AH$2:$AH$133</definedName>
    <definedName function="false" hidden="false" name="snapshot_En_score" vbProcedure="false">validacion_snapshot!$AC$2:$AC$133</definedName>
    <definedName function="false" hidden="false" name="snapshot_En_score_eval" vbProcedure="false">validacion_snapshot!$AD$2:$AD$133</definedName>
    <definedName function="false" hidden="false" name="snapshot_level" vbProcedure="false">validacion_snapshot!$D$2:$D$133</definedName>
    <definedName function="false" hidden="false" name="snapshot_method" vbProcedure="false">validacion_snapshot!$J$2:$J$133</definedName>
    <definedName function="false" hidden="false" name="snapshot_method_key" vbProcedure="false">validacion_snapshot!$I$2:$I$133</definedName>
    <definedName function="false" hidden="false" name="snapshot_No_satisfactorio" vbProcedure="false">validacion_snapshot!$AI$2:$AI$133</definedName>
    <definedName function="false" hidden="false" name="snapshot_N_A" vbProcedure="false">validacion_snapshot!$AF$2:$AF$133</definedName>
    <definedName function="false" hidden="false" name="snapshot_n_lab" vbProcedure="false">validacion_snapshot!$C$2:$C$133</definedName>
    <definedName function="false" hidden="false" name="snapshot_n_participants" vbProcedure="false">validacion_snapshot!$R$2:$R$133</definedName>
    <definedName function="false" hidden="false" name="snapshot_parametro" vbProcedure="false">validacion_snapshot!$G$2:$G$133</definedName>
    <definedName function="false" hidden="false" name="snapshot_participant_id" vbProcedure="false">validacion_snapshot!$T$2:$T$133</definedName>
    <definedName function="false" hidden="false" name="snapshot_pollutant" vbProcedure="false">validacion_snapshot!$B$2:$B$133</definedName>
    <definedName function="false" hidden="false" name="snapshot_result" vbProcedure="false">validacion_snapshot!$U$2:$U$133</definedName>
    <definedName function="false" hidden="false" name="snapshot_Satisfactorio" vbProcedure="false">validacion_snapshot!$AG$2:$AG$133</definedName>
    <definedName function="false" hidden="false" name="snapshot_score" vbProcedure="false">validacion_snapshot!$AE$2:$AE$133</definedName>
    <definedName function="false" hidden="false" name="snapshot_section" vbProcedure="false">validacion_snapshot!$E$2:$E$133</definedName>
    <definedName function="false" hidden="false" name="snapshot_sigma_pt" vbProcedure="false">validacion_snapshot!$L$2:$L$133</definedName>
    <definedName function="false" hidden="false" name="snapshot_tabla" vbProcedure="false">validacion_snapshot!$F$2:$F$133</definedName>
    <definedName function="false" hidden="false" name="snapshot_u_hom" vbProcedure="false">validacion_snapshot!$N$2:$N$133</definedName>
    <definedName function="false" hidden="false" name="snapshot_u_stab" vbProcedure="false">validacion_snapshot!$O$2:$O$133</definedName>
    <definedName function="false" hidden="false" name="snapshot_u_xi" vbProcedure="false">validacion_snapshot!$V$2:$V$133</definedName>
    <definedName function="false" hidden="false" name="snapshot_U_xpt" vbProcedure="false">validacion_snapshot!$Q$2:$Q$133</definedName>
    <definedName function="false" hidden="false" name="snapshot_u_xpt_def" vbProcedure="false">validacion_snapshot!$P$2:$P$133</definedName>
    <definedName function="false" hidden="false" name="snapshot_x_pt" vbProcedure="false">validacion_snapshot!$K$2:$K$133</definedName>
    <definedName function="false" hidden="false" name="snapshot_zeta_score" vbProcedure="false">validacion_snapshot!$AA$2:$AA$133</definedName>
    <definedName function="false" hidden="false" name="snapshot_zeta_score_eval" vbProcedure="false">validacion_snapshot!$AB$2:$AB$133</definedName>
    <definedName function="false" hidden="false" name="snapshot_z_prime_score" vbProcedure="false">validacion_snapshot!$Y$2:$Y$133</definedName>
    <definedName function="false" hidden="false" name="snapshot_z_prime_score_eval" vbProcedure="false">validacion_snapshot!$Z$2:$Z$133</definedName>
    <definedName function="false" hidden="false" name="snapshot_z_score" vbProcedure="false">validacion_snapshot!$W$2:$W$133</definedName>
    <definedName function="false" hidden="false" name="snapshot_z_score_eval" vbProcedure="false">validacion_snapshot!$X$2:$X$133</definedName>
    <definedName function="false" hidden="false" name="validacion_final_errores" vbProcedure="false">validacion_final!$A$21:$C$26</definedName>
    <definedName function="false" hidden="false" name="validacion_final_errores_conteo" vbProcedure="false">validacion_final!$C$22:$C$26</definedName>
    <definedName function="false" hidden="false" name="validacion_final_errores_error_excel" vbProcedure="false">validacion_final!$A$22:$A$26</definedName>
    <definedName function="false" hidden="false" name="validacion_final_errores_etiqueta" vbProcedure="false">validacion_final!$B$22:$B$26</definedName>
    <definedName function="false" hidden="false" name="validacion_final_resumen" vbProcedure="false">validacion_final!$A$1:$C$16</definedName>
    <definedName function="false" hidden="false" name="validacion_final_resumen_estado" vbProcedure="false">validacion_final!$B$2:$B$16</definedName>
    <definedName function="false" hidden="false" name="validacion_final_resumen_hoja" vbProcedure="false">validacion_final!$A$2:$A$16</definedName>
    <definedName function="false" hidden="false" name="validacion_final_resumen_notas" vbProcedure="false">validacion_final!$C$2:$C$16</definedName>
    <definedName function="false" hidden="false" name="valor_asignado" vbProcedure="false">valor_asignado!$A$1:$K$6</definedName>
    <definedName function="false" hidden="false" name="valor_asignado_estado" vbProcedure="false">valor_asignado!$K$2:$K$6</definedName>
    <definedName function="false" hidden="false" name="valor_asignado_method" vbProcedure="false">valor_asignado!$B$2:$B$6</definedName>
    <definedName function="false" hidden="false" name="valor_asignado_method_key" vbProcedure="false">valor_asignado!$A$2:$A$6</definedName>
    <definedName function="false" hidden="false" name="valor_asignado_n_participants" vbProcedure="false">valor_asignado!$J$2:$J$6</definedName>
    <definedName function="false" hidden="false" name="valor_asignado_sigma_pt" vbProcedure="false">valor_asignado!$D$2:$D$6</definedName>
    <definedName function="false" hidden="false" name="valor_asignado_u_hom" vbProcedure="false">valor_asignado!$F$2:$F$6</definedName>
    <definedName function="false" hidden="false" name="valor_asignado_u_stab" vbProcedure="false">valor_asignado!$G$2:$G$6</definedName>
    <definedName function="false" hidden="false" name="valor_asignado_U_xpt" vbProcedure="false">valor_asignado!$I$2:$I$6</definedName>
    <definedName function="false" hidden="false" name="valor_asignado_u_xpt_def" vbProcedure="false">valor_asignado!$H$2:$H$6</definedName>
    <definedName function="false" hidden="false" name="valor_asignado_x_pt" vbProcedure="false">valor_asignado!$C$2:$C$6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<sst xmlns="http://schemas.openxmlformats.org/spreadsheetml/2006/main" count="2363" uniqueCount="533">
  <si>
    <t xml:space="preserve">Excel con formulas validacion O3</t>
  </si>
  <si>
    <t xml:space="preserve">bloque</t>
  </si>
  <si>
    <t xml:space="preserve">contenido</t>
  </si>
  <si>
    <t xml:space="preserve">Combo</t>
  </si>
  <si>
    <t xml:space="preserve">O3_80</t>
  </si>
  <si>
    <t xml:space="preserve">Nivel</t>
  </si>
  <si>
    <t xml:space="preserve">80-nmol/mol</t>
  </si>
  <si>
    <t xml:space="preserve">Analito</t>
  </si>
  <si>
    <t xml:space="preserve">o3</t>
  </si>
  <si>
    <t xml:space="preserve">Fecha de generacion</t>
  </si>
  <si>
    <t xml:space="preserve">2026-05-13 21:09:21 -0500</t>
  </si>
  <si>
    <t xml:space="preserve">Script generador</t>
  </si>
  <si>
    <t xml:space="preserve">validation_1/validation/excel/validacion_o3/script_excel_formulas_validacion_o3.R</t>
  </si>
  <si>
    <t xml:space="preserve">Fuentes</t>
  </si>
  <si>
    <t xml:space="preserve">data/homogeneity - homogeneity.csv
data/stability - stability.csv
data/summary_n13.csv
data/pt_data_n13.csv
validation_1/validation/excel/validacion_o3/valores_validacion_o3.csv</t>
  </si>
  <si>
    <t xml:space="preserve">Convenciones</t>
  </si>
  <si>
    <t xml:space="preserve">Azul = dato fuente; negro = formula; verde = link interno; amarillo = control.</t>
  </si>
  <si>
    <t xml:space="preserve">Criterio Fase 4</t>
  </si>
  <si>
    <t xml:space="preserve">Homogeneidad y estabilidad generadas con formulas y controles contra snapshot.</t>
  </si>
  <si>
    <t xml:space="preserve">sample_id</t>
  </si>
  <si>
    <t xml:space="preserve">sample_1</t>
  </si>
  <si>
    <t xml:space="preserve">sample_2</t>
  </si>
  <si>
    <t xml:space="preserve">promedio_muestra</t>
  </si>
  <si>
    <t xml:space="preserve">rango_absoluto</t>
  </si>
  <si>
    <t xml:space="preserve">abs_diff_from_xpt</t>
  </si>
  <si>
    <t xml:space="preserve">parametro</t>
  </si>
  <si>
    <t xml:space="preserve">valor</t>
  </si>
  <si>
    <t xml:space="preserve">notas</t>
  </si>
  <si>
    <t xml:space="preserve">g</t>
  </si>
  <si>
    <t xml:space="preserve">Numero de muestras.</t>
  </si>
  <si>
    <t xml:space="preserve">m</t>
  </si>
  <si>
    <t xml:space="preserve">Numero de replicas.</t>
  </si>
  <si>
    <t xml:space="preserve">general_mean</t>
  </si>
  <si>
    <t xml:space="preserve">Promedio de todos los valores.</t>
  </si>
  <si>
    <t xml:space="preserve">x_pt</t>
  </si>
  <si>
    <t xml:space="preserve">Mediana de sample_1.</t>
  </si>
  <si>
    <t xml:space="preserve">s_x_bar_sq</t>
  </si>
  <si>
    <t xml:space="preserve">Varianza de promedios por muestra.</t>
  </si>
  <si>
    <t xml:space="preserve">sw</t>
  </si>
  <si>
    <t xml:space="preserve">Desviacion dentro de muestra para m = 2.</t>
  </si>
  <si>
    <t xml:space="preserve">ss_sq</t>
  </si>
  <si>
    <t xml:space="preserve">Componente entre muestras sin truncamiento, usando ABS como ptcalc.</t>
  </si>
  <si>
    <t xml:space="preserve">ss</t>
  </si>
  <si>
    <t xml:space="preserve">Desviacion entre muestras.</t>
  </si>
  <si>
    <t xml:space="preserve">median_abs_diff</t>
  </si>
  <si>
    <t xml:space="preserve">Mediana de |sample_2 - x_pt|.</t>
  </si>
  <si>
    <t xml:space="preserve">MADe</t>
  </si>
  <si>
    <t xml:space="preserve">1.483 * median_abs_diff.</t>
  </si>
  <si>
    <t xml:space="preserve">u_sigma_pt</t>
  </si>
  <si>
    <t xml:space="preserve">1.25 * MADe / sqrt(g).</t>
  </si>
  <si>
    <t xml:space="preserve">Q1</t>
  </si>
  <si>
    <t xml:space="preserve">Cuartil 25% de sample_1, type 7 equivalente.</t>
  </si>
  <si>
    <t xml:space="preserve">Q3</t>
  </si>
  <si>
    <t xml:space="preserve">Cuartil 75% de sample_1, type 7 equivalente.</t>
  </si>
  <si>
    <t xml:space="preserve">IQR</t>
  </si>
  <si>
    <t xml:space="preserve">Q3 - Q1.</t>
  </si>
  <si>
    <t xml:space="preserve">nIQR</t>
  </si>
  <si>
    <t xml:space="preserve">0.7413 * IQR.</t>
  </si>
  <si>
    <t xml:space="preserve">u_sigma_pt_niqr</t>
  </si>
  <si>
    <t xml:space="preserve">1.25 * nIQR / sqrt(g).</t>
  </si>
  <si>
    <t xml:space="preserve">criterio_made</t>
  </si>
  <si>
    <t xml:space="preserve">0.3 * MADe.</t>
  </si>
  <si>
    <t xml:space="preserve">criterio_niqr</t>
  </si>
  <si>
    <t xml:space="preserve">0.3 * nIQR.</t>
  </si>
  <si>
    <t xml:space="preserve">tabla</t>
  </si>
  <si>
    <t xml:space="preserve">app_value</t>
  </si>
  <si>
    <t xml:space="preserve">calculado</t>
  </si>
  <si>
    <t xml:space="preserve">delta_abs</t>
  </si>
  <si>
    <t xml:space="preserve">tolerancia</t>
  </si>
  <si>
    <t xml:space="preserve">estado</t>
  </si>
  <si>
    <t xml:space="preserve">Resumen del Estudio (Método MADe)</t>
  </si>
  <si>
    <t xml:space="preserve">Muestras (g)</t>
  </si>
  <si>
    <t xml:space="preserve">10</t>
  </si>
  <si>
    <t xml:space="preserve">Réplicas (m)</t>
  </si>
  <si>
    <t xml:space="preserve">2</t>
  </si>
  <si>
    <t xml:space="preserve">x_pt (hom_stab)</t>
  </si>
  <si>
    <t xml:space="preserve">79.5350</t>
  </si>
  <si>
    <t xml:space="preserve">Median |sample_2 - x_pt|</t>
  </si>
  <si>
    <t xml:space="preserve">0.0868</t>
  </si>
  <si>
    <t xml:space="preserve">MADe (1.483 × median)</t>
  </si>
  <si>
    <t xml:space="preserve">0.0343</t>
  </si>
  <si>
    <t xml:space="preserve">Resumen del Estudio (Método nIQR)</t>
  </si>
  <si>
    <t xml:space="preserve">Q1 (25%)</t>
  </si>
  <si>
    <t xml:space="preserve">79.5157</t>
  </si>
  <si>
    <t xml:space="preserve">Q3 (75%)</t>
  </si>
  <si>
    <t xml:space="preserve">80.3860</t>
  </si>
  <si>
    <t xml:space="preserve">IQR (Q3 - Q1)</t>
  </si>
  <si>
    <t xml:space="preserve">0.8702</t>
  </si>
  <si>
    <t xml:space="preserve">nIQR (0.7413 × IQR)</t>
  </si>
  <si>
    <t xml:space="preserve">0.6451</t>
  </si>
  <si>
    <t xml:space="preserve">u_sigma_pt (nIQR)</t>
  </si>
  <si>
    <t xml:space="preserve">0.2550</t>
  </si>
  <si>
    <t xml:space="preserve">g_stab</t>
  </si>
  <si>
    <t xml:space="preserve">Numero de muestras estabilidad.</t>
  </si>
  <si>
    <t xml:space="preserve">m_stab</t>
  </si>
  <si>
    <t xml:space="preserve">Numero de replicas estabilidad.</t>
  </si>
  <si>
    <t xml:space="preserve">general_mean_stab</t>
  </si>
  <si>
    <t xml:space="preserve">Promedio de todos los valores de estabilidad.</t>
  </si>
  <si>
    <t xml:space="preserve">x_pt_stab</t>
  </si>
  <si>
    <t xml:space="preserve">Mediana de sample_1 estabilidad.</t>
  </si>
  <si>
    <t xml:space="preserve">s_x_bar_sq_stab</t>
  </si>
  <si>
    <t xml:space="preserve">Varianza de promedios estabilidad.</t>
  </si>
  <si>
    <t xml:space="preserve">sw_stab</t>
  </si>
  <si>
    <t xml:space="preserve">ss_sq_stab</t>
  </si>
  <si>
    <t xml:space="preserve">Componente entre muestras estabilidad.</t>
  </si>
  <si>
    <t xml:space="preserve">ss_stab</t>
  </si>
  <si>
    <t xml:space="preserve">Desviacion entre muestras estabilidad.</t>
  </si>
  <si>
    <t xml:space="preserve">diff_hom_stab</t>
  </si>
  <si>
    <t xml:space="preserve">|media estabilidad - media homogeneidad|.</t>
  </si>
  <si>
    <t xml:space="preserve">u_hom_mean</t>
  </si>
  <si>
    <t xml:space="preserve">STDEV.S(valores homogeneidad) / sqrt(n).</t>
  </si>
  <si>
    <t xml:space="preserve">u_stab_mean</t>
  </si>
  <si>
    <t xml:space="preserve">STDEV.S(valores estabilidad) / sqrt(n).</t>
  </si>
  <si>
    <t xml:space="preserve">0.3 * MADe de homogeneidad.</t>
  </si>
  <si>
    <t xml:space="preserve">criterio_made_expandido</t>
  </si>
  <si>
    <t xml:space="preserve">criterio + 2 * incertidumbre de medias.</t>
  </si>
  <si>
    <t xml:space="preserve">0.3 * nIQR de homogeneidad.</t>
  </si>
  <si>
    <t xml:space="preserve">criterio_niqr_expandido</t>
  </si>
  <si>
    <t xml:space="preserve">criterio nIQR + 2 * incertidumbre de medias.</t>
  </si>
  <si>
    <t xml:space="preserve">participant_id</t>
  </si>
  <si>
    <t xml:space="preserve">pollutant</t>
  </si>
  <si>
    <t xml:space="preserve">level</t>
  </si>
  <si>
    <t xml:space="preserve">mean_value</t>
  </si>
  <si>
    <t xml:space="preserve">sd_value</t>
  </si>
  <si>
    <t xml:space="preserve">u_i</t>
  </si>
  <si>
    <t xml:space="preserve">u_i_check</t>
  </si>
  <si>
    <t xml:space="preserve">part_1</t>
  </si>
  <si>
    <t xml:space="preserve">part_10</t>
  </si>
  <si>
    <t xml:space="preserve">part_11</t>
  </si>
  <si>
    <t xml:space="preserve">part_12</t>
  </si>
  <si>
    <t xml:space="preserve">part_2</t>
  </si>
  <si>
    <t xml:space="preserve">part_3</t>
  </si>
  <si>
    <t xml:space="preserve">part_4</t>
  </si>
  <si>
    <t xml:space="preserve">part_5</t>
  </si>
  <si>
    <t xml:space="preserve">part_6</t>
  </si>
  <si>
    <t xml:space="preserve">part_7</t>
  </si>
  <si>
    <t xml:space="preserve">part_8</t>
  </si>
  <si>
    <t xml:space="preserve">part_9</t>
  </si>
  <si>
    <t xml:space="preserve">x_pt_ref</t>
  </si>
  <si>
    <t xml:space="preserve">u_ref_check</t>
  </si>
  <si>
    <t xml:space="preserve">ref</t>
  </si>
  <si>
    <t xml:space="preserve">metrica</t>
  </si>
  <si>
    <t xml:space="preserve">x0_mediana</t>
  </si>
  <si>
    <t xml:space="preserve">s0_MADe</t>
  </si>
  <si>
    <t xml:space="preserve">n_participantes</t>
  </si>
  <si>
    <t xml:space="preserve">iteracion_final</t>
  </si>
  <si>
    <t xml:space="preserve">x_final</t>
  </si>
  <si>
    <t xml:space="preserve">s_final</t>
  </si>
  <si>
    <t xml:space="preserve">n_winsorizadas_final</t>
  </si>
  <si>
    <t xml:space="preserve">xi</t>
  </si>
  <si>
    <t xml:space="preserve">abs_xi_x0</t>
  </si>
  <si>
    <t xml:space="preserve">iteracion</t>
  </si>
  <si>
    <t xml:space="preserve">x_prev</t>
  </si>
  <si>
    <t xml:space="preserve">s_prev</t>
  </si>
  <si>
    <t xml:space="preserve">delta</t>
  </si>
  <si>
    <t xml:space="preserve">limite_inf</t>
  </si>
  <si>
    <t xml:space="preserve">limite_sup</t>
  </si>
  <si>
    <t xml:space="preserve">w_part_1</t>
  </si>
  <si>
    <t xml:space="preserve">w_part_10</t>
  </si>
  <si>
    <t xml:space="preserve">w_part_11</t>
  </si>
  <si>
    <t xml:space="preserve">w_part_12</t>
  </si>
  <si>
    <t xml:space="preserve">w_part_2</t>
  </si>
  <si>
    <t xml:space="preserve">w_part_3</t>
  </si>
  <si>
    <t xml:space="preserve">w_part_4</t>
  </si>
  <si>
    <t xml:space="preserve">w_part_5</t>
  </si>
  <si>
    <t xml:space="preserve">w_part_6</t>
  </si>
  <si>
    <t xml:space="preserve">w_part_7</t>
  </si>
  <si>
    <t xml:space="preserve">w_part_8</t>
  </si>
  <si>
    <t xml:space="preserve">w_part_9</t>
  </si>
  <si>
    <t xml:space="preserve">x_new</t>
  </si>
  <si>
    <t xml:space="preserve">s_new</t>
  </si>
  <si>
    <t xml:space="preserve">delta_x</t>
  </si>
  <si>
    <t xml:space="preserve">delta_s</t>
  </si>
  <si>
    <t xml:space="preserve">sig3_x_prev</t>
  </si>
  <si>
    <t xml:space="preserve">sig3_s_prev</t>
  </si>
  <si>
    <t xml:space="preserve">sig3_x_new</t>
  </si>
  <si>
    <t xml:space="preserve">sig3_s_new</t>
  </si>
  <si>
    <t xml:space="preserve">signif3_converged</t>
  </si>
  <si>
    <t xml:space="preserve">guardia_numerica</t>
  </si>
  <si>
    <t xml:space="preserve">fila_seleccionada</t>
  </si>
  <si>
    <t xml:space="preserve">method_key</t>
  </si>
  <si>
    <t xml:space="preserve">method</t>
  </si>
  <si>
    <t xml:space="preserve">sigma_pt</t>
  </si>
  <si>
    <t xml:space="preserve">u_xpt</t>
  </si>
  <si>
    <t xml:space="preserve">u_hom</t>
  </si>
  <si>
    <t xml:space="preserve">u_stab</t>
  </si>
  <si>
    <t xml:space="preserve">u_xpt_def</t>
  </si>
  <si>
    <t xml:space="preserve">U_xpt</t>
  </si>
  <si>
    <t xml:space="preserve">n_participants</t>
  </si>
  <si>
    <t xml:space="preserve">Referencia (1)</t>
  </si>
  <si>
    <t xml:space="preserve">consensus_ma</t>
  </si>
  <si>
    <t xml:space="preserve">Consenso MADe (2a)</t>
  </si>
  <si>
    <t xml:space="preserve">consensus_niqr</t>
  </si>
  <si>
    <t xml:space="preserve">Consenso nIQR (2b)</t>
  </si>
  <si>
    <t xml:space="preserve">algo</t>
  </si>
  <si>
    <t xml:space="preserve">Algoritmo A (3)</t>
  </si>
  <si>
    <t xml:space="preserve">expert</t>
  </si>
  <si>
    <t xml:space="preserve">Expertos (4)</t>
  </si>
  <si>
    <t xml:space="preserve">Algoritmo A</t>
  </si>
  <si>
    <t xml:space="preserve">O3</t>
  </si>
  <si>
    <t xml:space="preserve">Esquema (n)</t>
  </si>
  <si>
    <t xml:space="preserve">13</t>
  </si>
  <si>
    <t xml:space="preserve">n participantes</t>
  </si>
  <si>
    <t xml:space="preserve">12</t>
  </si>
  <si>
    <t xml:space="preserve">x*0 = mediana</t>
  </si>
  <si>
    <t xml:space="preserve">80.0717</t>
  </si>
  <si>
    <t xml:space="preserve">s*0 = MADe</t>
  </si>
  <si>
    <t xml:space="preserve">0.0895</t>
  </si>
  <si>
    <t xml:space="preserve">x* (valor asignado)</t>
  </si>
  <si>
    <t xml:space="preserve">80.1033</t>
  </si>
  <si>
    <t xml:space="preserve">s* (desviación robusta)</t>
  </si>
  <si>
    <t xml:space="preserve">0.1105</t>
  </si>
  <si>
    <t xml:space="preserve">Observaciones winzorizadas</t>
  </si>
  <si>
    <t xml:space="preserve">0</t>
  </si>
  <si>
    <t xml:space="preserve">Observaciones totales</t>
  </si>
  <si>
    <t xml:space="preserve">n_iteraciones</t>
  </si>
  <si>
    <t xml:space="preserve">4</t>
  </si>
  <si>
    <t xml:space="preserve">criterio</t>
  </si>
  <si>
    <t xml:space="preserve">3 cifras significativas</t>
  </si>
  <si>
    <t xml:space="preserve">guardia_numérica</t>
  </si>
  <si>
    <t xml:space="preserve">0.0000000001</t>
  </si>
  <si>
    <t xml:space="preserve">primera_iteración_3ra_cifra</t>
  </si>
  <si>
    <t xml:space="preserve">result</t>
  </si>
  <si>
    <t xml:space="preserve">u_xi</t>
  </si>
  <si>
    <t xml:space="preserve">z_score</t>
  </si>
  <si>
    <t xml:space="preserve">z_score_eval</t>
  </si>
  <si>
    <t xml:space="preserve">z_prime_score</t>
  </si>
  <si>
    <t xml:space="preserve">z_prime_score_eval</t>
  </si>
  <si>
    <t xml:space="preserve">zeta_score</t>
  </si>
  <si>
    <t xml:space="preserve">zeta_score_eval</t>
  </si>
  <si>
    <t xml:space="preserve">En_score</t>
  </si>
  <si>
    <t xml:space="preserve">En_score_eval</t>
  </si>
  <si>
    <t xml:space="preserve">score</t>
  </si>
  <si>
    <t xml:space="preserve">N/A</t>
  </si>
  <si>
    <t xml:space="preserve">Satisfactorio</t>
  </si>
  <si>
    <t xml:space="preserve">Cuestionable</t>
  </si>
  <si>
    <t xml:space="preserve">No satisfactorio</t>
  </si>
  <si>
    <t xml:space="preserve">Valores asignados e incertidumbre</t>
  </si>
  <si>
    <t xml:space="preserve">Parámetros por método</t>
  </si>
  <si>
    <t xml:space="preserve">Resumen global de evaluaciones</t>
  </si>
  <si>
    <t xml:space="preserve">Conteos por método y categoría</t>
  </si>
  <si>
    <t xml:space="preserve">z</t>
  </si>
  <si>
    <t xml:space="preserve">z_prime</t>
  </si>
  <si>
    <t xml:space="preserve">zeta</t>
  </si>
  <si>
    <t xml:space="preserve">En</t>
  </si>
  <si>
    <t xml:space="preserve">combo_id</t>
  </si>
  <si>
    <t xml:space="preserve">n_lab</t>
  </si>
  <si>
    <t xml:space="preserve">section</t>
  </si>
  <si>
    <t xml:space="preserve">resultado_homogeneidad</t>
  </si>
  <si>
    <t xml:space="preserve">resultado_estabilidad</t>
  </si>
  <si>
    <t xml:space="preserve">valor_asignado</t>
  </si>
  <si>
    <t xml:space="preserve">79.8963333333333</t>
  </si>
  <si>
    <t xml:space="preserve">2.59792666666667</t>
  </si>
  <si>
    <t xml:space="preserve">0.570333333333333</t>
  </si>
  <si>
    <t xml:space="preserve">0.199307899715207</t>
  </si>
  <si>
    <t xml:space="preserve">0.124794260685337</t>
  </si>
  <si>
    <t xml:space="preserve">0.616909521323831</t>
  </si>
  <si>
    <t xml:space="preserve">1.23381904264766</t>
  </si>
  <si>
    <t xml:space="preserve">80.0716666666667</t>
  </si>
  <si>
    <t xml:space="preserve">0.0894743333333215</t>
  </si>
  <si>
    <t xml:space="preserve">0.0322862690222222</t>
  </si>
  <si>
    <t xml:space="preserve">0.237359747127145</t>
  </si>
  <si>
    <t xml:space="preserve">0.47471949425429</t>
  </si>
  <si>
    <t xml:space="preserve">0.098284024999997</t>
  </si>
  <si>
    <t xml:space="preserve">0.0354651926817426</t>
  </si>
  <si>
    <t xml:space="preserve">0.237813006963118</t>
  </si>
  <si>
    <t xml:space="preserve">0.475626013926236</t>
  </si>
  <si>
    <t xml:space="preserve">80.1033055555556</t>
  </si>
  <si>
    <t xml:space="preserve">0.11048474010016</t>
  </si>
  <si>
    <t xml:space="preserve">0.0398677465238583</t>
  </si>
  <si>
    <t xml:space="preserve">0.238509294581527</t>
  </si>
  <si>
    <t xml:space="preserve">0.477018589163053</t>
  </si>
  <si>
    <t xml:space="preserve">algoritmo_A</t>
  </si>
  <si>
    <t xml:space="preserve">puntajes_EA</t>
  </si>
  <si>
    <t xml:space="preserve">80.2293333333333</t>
  </si>
  <si>
    <t xml:space="preserve">0.0306434083253844</t>
  </si>
  <si>
    <t xml:space="preserve">0.128179137722645</t>
  </si>
  <si>
    <t xml:space="preserve">0.124711226358526</t>
  </si>
  <si>
    <t xml:space="preserve">0.539122728665109</t>
  </si>
  <si>
    <t xml:space="preserve">0.269561364332554</t>
  </si>
  <si>
    <t xml:space="preserve">80.086</t>
  </si>
  <si>
    <t xml:space="preserve">0.0117087117022311</t>
  </si>
  <si>
    <t xml:space="preserve">0.0730069363004861</t>
  </si>
  <si>
    <t xml:space="preserve">0.0710317195175194</t>
  </si>
  <si>
    <t xml:space="preserve">0.307391129312511</t>
  </si>
  <si>
    <t xml:space="preserve">0.153695564656256</t>
  </si>
  <si>
    <t xml:space="preserve">80.056</t>
  </si>
  <si>
    <t xml:space="preserve">0.0942858874123054</t>
  </si>
  <si>
    <t xml:space="preserve">0.0614592662353825</t>
  </si>
  <si>
    <t xml:space="preserve">0.0597964738996337</t>
  </si>
  <si>
    <t xml:space="preserve">0.255846112453553</t>
  </si>
  <si>
    <t xml:space="preserve">0.127923056226776</t>
  </si>
  <si>
    <t xml:space="preserve">80.031</t>
  </si>
  <si>
    <t xml:space="preserve">0.0924819264641932</t>
  </si>
  <si>
    <t xml:space="preserve">0.0518362078477997</t>
  </si>
  <si>
    <t xml:space="preserve">0.0504337692180658</t>
  </si>
  <si>
    <t xml:space="preserve">0.215880097689891</t>
  </si>
  <si>
    <t xml:space="preserve">0.107940048844946</t>
  </si>
  <si>
    <t xml:space="preserve">80.0573333333333</t>
  </si>
  <si>
    <t xml:space="preserve">0.147603994565192</t>
  </si>
  <si>
    <t xml:space="preserve">0.0619724960160543</t>
  </si>
  <si>
    <t xml:space="preserve">0.0602958181493181</t>
  </si>
  <si>
    <t xml:space="preserve">0.25381434129894</t>
  </si>
  <si>
    <t xml:space="preserve">0.12690717064947</t>
  </si>
  <si>
    <t xml:space="preserve">79.9836666666667</t>
  </si>
  <si>
    <t xml:space="preserve">0.0704138562754267</t>
  </si>
  <si>
    <t xml:space="preserve">0.0336165506339671</t>
  </si>
  <si>
    <t xml:space="preserve">0.0327070483542883</t>
  </si>
  <si>
    <t xml:space="preserve">0.140652633248402</t>
  </si>
  <si>
    <t xml:space="preserve">0.070326316624201</t>
  </si>
  <si>
    <t xml:space="preserve">80.091</t>
  </si>
  <si>
    <t xml:space="preserve">0.131152103622788</t>
  </si>
  <si>
    <t xml:space="preserve">0.0749315479780015</t>
  </si>
  <si>
    <t xml:space="preserve">0.0729042604538319</t>
  </si>
  <si>
    <t xml:space="preserve">0.308653414645708</t>
  </si>
  <si>
    <t xml:space="preserve">0.154326707322854</t>
  </si>
  <si>
    <t xml:space="preserve">80.158</t>
  </si>
  <si>
    <t xml:space="preserve">0.0953945351575979</t>
  </si>
  <si>
    <t xml:space="preserve">0.100721344456735</t>
  </si>
  <si>
    <t xml:space="preserve">0.097996309000445</t>
  </si>
  <si>
    <t xml:space="preserve">0.41917536471956</t>
  </si>
  <si>
    <t xml:space="preserve">0.20958768235978</t>
  </si>
  <si>
    <t xml:space="preserve">80.2606666666667</t>
  </si>
  <si>
    <t xml:space="preserve">0.0427293036158302</t>
  </si>
  <si>
    <t xml:space="preserve">0.14024003756842</t>
  </si>
  <si>
    <t xml:space="preserve">0.136445816226096</t>
  </si>
  <si>
    <t xml:space="preserve">0.589166678120632</t>
  </si>
  <si>
    <t xml:space="preserve">0.294583339060316</t>
  </si>
  <si>
    <t xml:space="preserve">79.9916666666667</t>
  </si>
  <si>
    <t xml:space="preserve">0.00466154333165642</t>
  </si>
  <si>
    <t xml:space="preserve">0.036695929317993</t>
  </si>
  <si>
    <t xml:space="preserve">0.0357031138523893</t>
  </si>
  <si>
    <t xml:space="preserve">0.154529324821392</t>
  </si>
  <si>
    <t xml:space="preserve">0.0772646624106959</t>
  </si>
  <si>
    <t xml:space="preserve">80.0473333333333</t>
  </si>
  <si>
    <t xml:space="preserve">0.100944697094177</t>
  </si>
  <si>
    <t xml:space="preserve">0.058123272661018</t>
  </si>
  <si>
    <t xml:space="preserve">0.0565507362766877</t>
  </si>
  <si>
    <t xml:space="preserve">0.24155604022207</t>
  </si>
  <si>
    <t xml:space="preserve">0.120778020111035</t>
  </si>
  <si>
    <t xml:space="preserve">80.2476666666667</t>
  </si>
  <si>
    <t xml:space="preserve">0.0385972875321689</t>
  </si>
  <si>
    <t xml:space="preserve">0.135236047206874</t>
  </si>
  <si>
    <t xml:space="preserve">0.131577209791677</t>
  </si>
  <si>
    <t xml:space="preserve">0.568394059841248</t>
  </si>
  <si>
    <t xml:space="preserve">0.284197029920624</t>
  </si>
  <si>
    <t xml:space="preserve">1.76214407856285</t>
  </si>
  <si>
    <t xml:space="preserve">0.621557700257935</t>
  </si>
  <si>
    <t xml:space="preserve">0.658784588643269</t>
  </si>
  <si>
    <t xml:space="preserve">0.329392294321634</t>
  </si>
  <si>
    <t xml:space="preserve">0.160194916233058</t>
  </si>
  <si>
    <t xml:space="preserve">0.0565052454780196</t>
  </si>
  <si>
    <t xml:space="preserve">0.0603132008696663</t>
  </si>
  <si>
    <t xml:space="preserve">0.0301566004348331</t>
  </si>
  <si>
    <t xml:space="preserve">-0.175096768905753</t>
  </si>
  <si>
    <t xml:space="preserve">-0.0617615473828995</t>
  </si>
  <si>
    <t xml:space="preserve">-0.0613415366631995</t>
  </si>
  <si>
    <t xml:space="preserve">-0.0306707683315997</t>
  </si>
  <si>
    <t xml:space="preserve">-0.454506506521324</t>
  </si>
  <si>
    <t xml:space="preserve">-0.160317208100295</t>
  </si>
  <si>
    <t xml:space="preserve">-0.159639785193404</t>
  </si>
  <si>
    <t xml:space="preserve">-0.0798198925967019</t>
  </si>
  <si>
    <t xml:space="preserve">-0.1601949162329</t>
  </si>
  <si>
    <t xml:space="preserve">-0.0565052454779636</t>
  </si>
  <si>
    <t xml:space="preserve">-0.0512799708660134</t>
  </si>
  <si>
    <t xml:space="preserve">-0.0256399854330067</t>
  </si>
  <si>
    <t xml:space="preserve">-0.983522276407076</t>
  </si>
  <si>
    <t xml:space="preserve">-0.346915925725325</t>
  </si>
  <si>
    <t xml:space="preserve">-0.355435144437435</t>
  </si>
  <si>
    <t xml:space="preserve">-0.177717572218718</t>
  </si>
  <si>
    <t xml:space="preserve">0.216076863756141</t>
  </si>
  <si>
    <t xml:space="preserve">0.0762163776214874</t>
  </si>
  <si>
    <t xml:space="preserve">0.0712924236666917</t>
  </si>
  <si>
    <t xml:space="preserve">0.0356462118333459</t>
  </si>
  <si>
    <t xml:space="preserve">0.964894960566207</t>
  </si>
  <si>
    <t xml:space="preserve">0.340345548344225</t>
  </si>
  <si>
    <t xml:space="preserve">0.337487457764792</t>
  </si>
  <si>
    <t xml:space="preserve">0.168743728882396</t>
  </si>
  <si>
    <t xml:space="preserve">2.11233761637451</t>
  </si>
  <si>
    <t xml:space="preserve">0.74508079502379</t>
  </si>
  <si>
    <t xml:space="preserve">0.783662895209669</t>
  </si>
  <si>
    <t xml:space="preserve">0.391831447604835</t>
  </si>
  <si>
    <t xml:space="preserve">-0.894111160370112</t>
  </si>
  <si>
    <t xml:space="preserve">-0.315378114295766</t>
  </si>
  <si>
    <t xml:space="preserve">-0.336976162063181</t>
  </si>
  <si>
    <t xml:space="preserve">-0.16848808103159</t>
  </si>
  <si>
    <t xml:space="preserve">-0.271958811279223</t>
  </si>
  <si>
    <t xml:space="preserve">-0.0959275097649553</t>
  </si>
  <si>
    <t xml:space="preserve">-0.0943397098610904</t>
  </si>
  <si>
    <t xml:space="preserve">-0.0471698549305452</t>
  </si>
  <si>
    <t xml:space="preserve">1.96704455281431</t>
  </si>
  <si>
    <t xml:space="preserve">0.693831851450707</t>
  </si>
  <si>
    <t xml:space="preserve">0.73187737885016</t>
  </si>
  <si>
    <t xml:space="preserve">0.36593868942508</t>
  </si>
  <si>
    <t xml:space="preserve">1.60419423875524</t>
  </si>
  <si>
    <t xml:space="preserve">0.612720526088629</t>
  </si>
  <si>
    <t xml:space="preserve">0.657549504239991</t>
  </si>
  <si>
    <t xml:space="preserve">0.328774752119995</t>
  </si>
  <si>
    <t xml:space="preserve">0.145835839886906</t>
  </si>
  <si>
    <t xml:space="preserve">0.0557018660080823</t>
  </si>
  <si>
    <t xml:space="preserve">0.0601985251387474</t>
  </si>
  <si>
    <t xml:space="preserve">0.0300992625693737</t>
  </si>
  <si>
    <t xml:space="preserve">-0.159401964527414</t>
  </si>
  <si>
    <t xml:space="preserve">-0.0608834349390153</t>
  </si>
  <si>
    <t xml:space="preserve">-0.0612405170576158</t>
  </si>
  <si>
    <t xml:space="preserve">-0.0306202585288079</t>
  </si>
  <si>
    <t xml:space="preserve">-0.41376680153925</t>
  </si>
  <si>
    <t xml:space="preserve">-0.158037852394893</t>
  </si>
  <si>
    <t xml:space="preserve">-0.159375522652467</t>
  </si>
  <si>
    <t xml:space="preserve">-0.0796877613262334</t>
  </si>
  <si>
    <t xml:space="preserve">-0.145835839886761</t>
  </si>
  <si>
    <t xml:space="preserve">-0.055701866008027</t>
  </si>
  <si>
    <t xml:space="preserve">-0.0512094332339657</t>
  </si>
  <si>
    <t xml:space="preserve">-0.0256047166169829</t>
  </si>
  <si>
    <t xml:space="preserve">-0.895364226281907</t>
  </si>
  <si>
    <t xml:space="preserve">-0.341983549444783</t>
  </si>
  <si>
    <t xml:space="preserve">-0.354812354034528</t>
  </si>
  <si>
    <t xml:space="preserve">-0.177406177017264</t>
  </si>
  <si>
    <t xml:space="preserve">0.196708807289244</t>
  </si>
  <si>
    <t xml:space="preserve">0.0751327494992468</t>
  </si>
  <si>
    <t xml:space="preserve">0.0711882560379238</t>
  </si>
  <si>
    <t xml:space="preserve">0.0355941280189619</t>
  </si>
  <si>
    <t xml:space="preserve">0.878406570481272</t>
  </si>
  <si>
    <t xml:space="preserve">0.335506588281116</t>
  </si>
  <si>
    <t xml:space="preserve">0.336933452029612</t>
  </si>
  <si>
    <t xml:space="preserve">0.168466726014806</t>
  </si>
  <si>
    <t xml:space="preserve">1.92299816781021</t>
  </si>
  <si>
    <t xml:space="preserve">0.734487395966714</t>
  </si>
  <si>
    <t xml:space="preserve">0.782216027014443</t>
  </si>
  <si>
    <t xml:space="preserve">0.391108013507222</t>
  </si>
  <si>
    <t xml:space="preserve">-0.813967478438136</t>
  </si>
  <si>
    <t xml:space="preserve">-0.310894135858908</t>
  </si>
  <si>
    <t xml:space="preserve">-0.336334149069766</t>
  </si>
  <si>
    <t xml:space="preserve">-0.168167074534883</t>
  </si>
  <si>
    <t xml:space="preserve">-0.247581774691582</t>
  </si>
  <si>
    <t xml:space="preserve">-0.0945636329904113</t>
  </si>
  <si>
    <t xml:space="preserve">-0.0941873760626304</t>
  </si>
  <si>
    <t xml:space="preserve">-0.0470936880313152</t>
  </si>
  <si>
    <t xml:space="preserve">1.79072845256396</t>
  </si>
  <si>
    <t xml:space="preserve">0.68396709888962</t>
  </si>
  <si>
    <t xml:space="preserve">0.730518291478077</t>
  </si>
  <si>
    <t xml:space="preserve">0.365259145739038</t>
  </si>
  <si>
    <t xml:space="preserve">1.14068040223046</t>
  </si>
  <si>
    <t xml:space="preserve">0.479454599341737</t>
  </si>
  <si>
    <t xml:space="preserve">0.52408993746912</t>
  </si>
  <si>
    <t xml:space="preserve">0.26204496873456</t>
  </si>
  <si>
    <t xml:space="preserve">-0.156632993297208</t>
  </si>
  <si>
    <t xml:space="preserve">-0.0658365032818692</t>
  </si>
  <si>
    <t xml:space="preserve">-0.0724698819781621</t>
  </si>
  <si>
    <t xml:space="preserve">-0.0362349409890811</t>
  </si>
  <si>
    <t xml:space="preserve">-0.428163703989061</t>
  </si>
  <si>
    <t xml:space="preserve">-0.179967199179839</t>
  </si>
  <si>
    <t xml:space="preserve">-0.1844491790751</t>
  </si>
  <si>
    <t xml:space="preserve">-0.0922245895375502</t>
  </si>
  <si>
    <t xml:space="preserve">-0.654439296232186</t>
  </si>
  <si>
    <t xml:space="preserve">-0.275076112428112</t>
  </si>
  <si>
    <t xml:space="preserve">-0.28265155653899</t>
  </si>
  <si>
    <t xml:space="preserve">-0.141325778269495</t>
  </si>
  <si>
    <t xml:space="preserve">-0.416095672402742</t>
  </si>
  <si>
    <t xml:space="preserve">-0.17489472380659</t>
  </si>
  <si>
    <t xml:space="preserve">-0.16390074313662</t>
  </si>
  <si>
    <t xml:space="preserve">-0.08195037156831</t>
  </si>
  <si>
    <t xml:space="preserve">-1.08285441754606</t>
  </si>
  <si>
    <t xml:space="preserve">-0.455148988178267</t>
  </si>
  <si>
    <t xml:space="preserve">-0.481083868652537</t>
  </si>
  <si>
    <t xml:space="preserve">-0.240541934326269</t>
  </si>
  <si>
    <t xml:space="preserve">-0.111377874848609</t>
  </si>
  <si>
    <t xml:space="preserve">-0.0468147206322255</t>
  </si>
  <si>
    <t xml:space="preserve">-0.0452093835909007</t>
  </si>
  <si>
    <t xml:space="preserve">-0.0226046917954504</t>
  </si>
  <si>
    <t xml:space="preserve">0.495040712363239</t>
  </si>
  <si>
    <t xml:space="preserve">0.208077166873259</t>
  </si>
  <si>
    <t xml:space="preserve">0.212919127719075</t>
  </si>
  <si>
    <t xml:space="preserve">0.106459563859537</t>
  </si>
  <si>
    <t xml:space="preserve">1.42427914450863</t>
  </si>
  <si>
    <t xml:space="preserve">0.598657770612956</t>
  </si>
  <si>
    <t xml:space="preserve">0.649429798475962</t>
  </si>
  <si>
    <t xml:space="preserve">0.324714899237981</t>
  </si>
  <si>
    <t xml:space="preserve">-1.01044622802827</t>
  </si>
  <si>
    <t xml:space="preserve">-0.424714135938826</t>
  </si>
  <si>
    <t xml:space="preserve">-0.467979970662823</t>
  </si>
  <si>
    <t xml:space="preserve">-0.233989985331411</t>
  </si>
  <si>
    <t xml:space="preserve">-0.506605909300069</t>
  </si>
  <si>
    <t xml:space="preserve">-0.212938289105932</t>
  </si>
  <si>
    <t xml:space="preserve">-0.216116190174224</t>
  </si>
  <si>
    <t xml:space="preserve">-0.108058095087112</t>
  </si>
  <si>
    <t xml:space="preserve">1.30661583654212</t>
  </si>
  <si>
    <t xml:space="preserve">0.549201135723817</t>
  </si>
  <si>
    <t xml:space="preserve">0.597491091322952</t>
  </si>
  <si>
    <t xml:space="preserve">0.298745545661476</t>
  </si>
  <si>
    <t xml:space="preserve">informe_global</t>
  </si>
  <si>
    <t xml:space="preserve">11</t>
  </si>
  <si>
    <t xml:space="preserve">1</t>
  </si>
  <si>
    <t xml:space="preserve">hoja</t>
  </si>
  <si>
    <t xml:space="preserve">datos_homogeneidad</t>
  </si>
  <si>
    <t xml:space="preserve">Implementado</t>
  </si>
  <si>
    <t xml:space="preserve">Datos de homogeneidad filtrados por combo.</t>
  </si>
  <si>
    <t xml:space="preserve">calc_homogeneidad</t>
  </si>
  <si>
    <t xml:space="preserve">Calculos Excel de homogeneidad con MADe y nIQR.</t>
  </si>
  <si>
    <t xml:space="preserve">Tabla visible app.R y comparacion contra snapshot.</t>
  </si>
  <si>
    <t xml:space="preserve">datos_estabilidad</t>
  </si>
  <si>
    <t xml:space="preserve">Datos de estabilidad filtrados por combo.</t>
  </si>
  <si>
    <t xml:space="preserve">calc_estabilidad</t>
  </si>
  <si>
    <t xml:space="preserve">Calculos Excel de estabilidad y criterios internos.</t>
  </si>
  <si>
    <t xml:space="preserve">Tabla visible app.R repetida segun comportamiento validado.</t>
  </si>
  <si>
    <t xml:space="preserve">datos_participantes</t>
  </si>
  <si>
    <t xml:space="preserve">Participantes excluyendo ref con control u_i.</t>
  </si>
  <si>
    <t xml:space="preserve">datos_referencia</t>
  </si>
  <si>
    <t xml:space="preserve">Referencia con controles de promedio e incertidumbre.</t>
  </si>
  <si>
    <t xml:space="preserve">Parametros por metodo con incertidumbres compuestas.</t>
  </si>
  <si>
    <t xml:space="preserve">algoritmo_A_iteraciones</t>
  </si>
  <si>
    <t xml:space="preserve">Traza de 50 iteraciones del Algoritmo A.</t>
  </si>
  <si>
    <t xml:space="preserve">Resumen visible app.R y comparacion contra snapshot.</t>
  </si>
  <si>
    <t xml:space="preserve">Puntajes z, z', zeta y En por metodo y participante.</t>
  </si>
  <si>
    <t xml:space="preserve">Conteos globales por metodo, score y categoria.</t>
  </si>
  <si>
    <t xml:space="preserve">validacion_snapshot</t>
  </si>
  <si>
    <t xml:space="preserve">Snapshot congelado del combo.</t>
  </si>
  <si>
    <t xml:space="preserve">validacion_final</t>
  </si>
  <si>
    <t xml:space="preserve">Resumen de comparacion de estado del libro.</t>
  </si>
  <si>
    <t xml:space="preserve">Estado global</t>
  </si>
  <si>
    <t xml:space="preserve">error_excel</t>
  </si>
  <si>
    <t xml:space="preserve">etiqueta</t>
  </si>
  <si>
    <t xml:space="preserve">conteo</t>
  </si>
  <si>
    <t xml:space="preserve">#REF!</t>
  </si>
  <si>
    <t xml:space="preserve">REF</t>
  </si>
  <si>
    <t xml:space="preserve">#DIV/0!</t>
  </si>
  <si>
    <t xml:space="preserve">DIV/0</t>
  </si>
  <si>
    <t xml:space="preserve">#VALUE!</t>
  </si>
  <si>
    <t xml:space="preserve">VALUE</t>
  </si>
  <si>
    <t xml:space="preserve">#N/A</t>
  </si>
  <si>
    <t xml:space="preserve">#NAME?</t>
  </si>
  <si>
    <t xml:space="preserve">NAME</t>
  </si>
  <si>
    <t xml:space="preserve">Total errores Excel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</si>
</sst>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0000"/>
        <sz val="11"/>
      </font>
      <fill>
        <patternFill>
          <bgColor rgb="FFF4CCCC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42.99"/>
    <col collapsed="false" customWidth="true" hidden="false" outlineLevel="0" max="2" min="2" style="0" width="177.71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1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3" t="s">
        <v>9</v>
      </c>
      <c r="B7" s="3" t="s">
        <v>10</v>
      </c>
    </row>
    <row r="8" customFormat="false" ht="15" hidden="false" customHeight="false" outlineLevel="0" collapsed="false">
      <c r="A8" s="3" t="s">
        <v>11</v>
      </c>
      <c r="B8" s="3" t="s">
        <v>12</v>
      </c>
    </row>
    <row r="9" customFormat="false" ht="64.9" hidden="false" customHeight="false" outlineLevel="0" collapsed="false">
      <c r="A9" s="3" t="s">
        <v>13</v>
      </c>
      <c r="B9" s="3" t="s">
        <v>14</v>
      </c>
    </row>
    <row r="10" customFormat="false" ht="15" hidden="false" customHeight="false" outlineLevel="0" collapsed="false">
      <c r="A10" s="3" t="s">
        <v>15</v>
      </c>
      <c r="B10" s="3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3" min="2" style="0" width="8.71"/>
    <col collapsed="false" customWidth="true" hidden="false" outlineLevel="0" max="4" min="4" style="0" width="16.72"/>
    <col collapsed="false" customWidth="true" hidden="false" outlineLevel="0" max="5" min="5" style="0" width="14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customFormat="false" ht="15" hidden="false" customHeight="false" outlineLevel="0" collapsed="false">
      <c r="A2" s="3" t="n">
        <v>1</v>
      </c>
      <c r="B2" s="3" t="n">
        <v>79.477</v>
      </c>
      <c r="C2" s="3" t="n">
        <v>79.596</v>
      </c>
      <c r="D2" s="4" t="n">
        <f aca="false">AVERAGE(B2:C2)</f>
        <v>79.5365</v>
      </c>
      <c r="E2" s="4" t="n">
        <f aca="false">ABS(B2-C2)</f>
        <v>0.119</v>
      </c>
      <c r="F2" s="4" t="n">
        <f aca="false">ABS(C2-MEDIAN($B$2:$B$11))</f>
        <v>0.0610000000000071</v>
      </c>
    </row>
    <row r="3" customFormat="false" ht="15" hidden="false" customHeight="false" outlineLevel="0" collapsed="false">
      <c r="A3" s="3" t="n">
        <v>2</v>
      </c>
      <c r="B3" s="3" t="n">
        <v>80.683</v>
      </c>
      <c r="C3" s="3" t="n">
        <v>79.628</v>
      </c>
      <c r="D3" s="4" t="n">
        <f aca="false">AVERAGE(B3:C3)</f>
        <v>80.1555</v>
      </c>
      <c r="E3" s="4" t="n">
        <f aca="false">ABS(B3-C3)</f>
        <v>1.05500000000001</v>
      </c>
      <c r="F3" s="4" t="n">
        <f aca="false">ABS(C3-MEDIAN($B$2:$B$11))</f>
        <v>0.0930000000000035</v>
      </c>
    </row>
    <row r="4" customFormat="false" ht="15" hidden="false" customHeight="false" outlineLevel="0" collapsed="false">
      <c r="A4" s="3" t="n">
        <v>3</v>
      </c>
      <c r="B4" s="3" t="n">
        <v>80.717</v>
      </c>
      <c r="C4" s="3" t="n">
        <v>80.664</v>
      </c>
      <c r="D4" s="4" t="n">
        <f aca="false">AVERAGE(B4:C4)</f>
        <v>80.6905</v>
      </c>
      <c r="E4" s="4" t="n">
        <f aca="false">ABS(B4-C4)</f>
        <v>0.0529999999999973</v>
      </c>
      <c r="F4" s="4" t="n">
        <f aca="false">ABS(C4-MEDIAN($B$2:$B$11))</f>
        <v>1.129</v>
      </c>
    </row>
    <row r="5" customFormat="false" ht="15" hidden="false" customHeight="false" outlineLevel="0" collapsed="false">
      <c r="A5" s="3" t="n">
        <v>4</v>
      </c>
      <c r="B5" s="3" t="n">
        <v>80.655</v>
      </c>
      <c r="C5" s="3" t="n">
        <v>79.55</v>
      </c>
      <c r="D5" s="4" t="n">
        <f aca="false">AVERAGE(B5:C5)</f>
        <v>80.1025</v>
      </c>
      <c r="E5" s="4" t="n">
        <f aca="false">ABS(B5-C5)</f>
        <v>1.105</v>
      </c>
      <c r="F5" s="4" t="n">
        <f aca="false">ABS(C5-MEDIAN($B$2:$B$11))</f>
        <v>0.0150000000000006</v>
      </c>
    </row>
    <row r="6" customFormat="false" ht="15" hidden="false" customHeight="false" outlineLevel="0" collapsed="false">
      <c r="A6" s="3" t="n">
        <v>5</v>
      </c>
      <c r="B6" s="3" t="n">
        <v>79.543</v>
      </c>
      <c r="C6" s="3" t="n">
        <v>79.537</v>
      </c>
      <c r="D6" s="4" t="n">
        <f aca="false">AVERAGE(B6:C6)</f>
        <v>79.54</v>
      </c>
      <c r="E6" s="4" t="n">
        <f aca="false">ABS(B6-C6)</f>
        <v>0.00600000000000023</v>
      </c>
      <c r="F6" s="4" t="n">
        <f aca="false">ABS(C6-MEDIAN($B$2:$B$11))</f>
        <v>0.00200000000000955</v>
      </c>
    </row>
    <row r="7" customFormat="false" ht="15" hidden="false" customHeight="false" outlineLevel="0" collapsed="false">
      <c r="A7" s="3" t="n">
        <v>6</v>
      </c>
      <c r="B7" s="3" t="n">
        <v>79.527</v>
      </c>
      <c r="C7" s="3" t="n">
        <v>80.651</v>
      </c>
      <c r="D7" s="4" t="n">
        <f aca="false">AVERAGE(B7:C7)</f>
        <v>80.089</v>
      </c>
      <c r="E7" s="4" t="n">
        <f aca="false">ABS(B7-C7)</f>
        <v>1.124</v>
      </c>
      <c r="F7" s="4" t="n">
        <f aca="false">ABS(C7-MEDIAN($B$2:$B$11))</f>
        <v>1.116</v>
      </c>
    </row>
    <row r="8" customFormat="false" ht="15" hidden="false" customHeight="false" outlineLevel="0" collapsed="false">
      <c r="A8" s="3" t="n">
        <v>7</v>
      </c>
      <c r="B8" s="3" t="n">
        <v>79.498</v>
      </c>
      <c r="C8" s="3" t="n">
        <v>80.607</v>
      </c>
      <c r="D8" s="4" t="n">
        <f aca="false">AVERAGE(B8:C8)</f>
        <v>80.0525</v>
      </c>
      <c r="E8" s="4" t="n">
        <f aca="false">ABS(B8-C8)</f>
        <v>1.10899999999999</v>
      </c>
      <c r="F8" s="4" t="n">
        <f aca="false">ABS(C8-MEDIAN($B$2:$B$11))</f>
        <v>1.072</v>
      </c>
    </row>
    <row r="9" customFormat="false" ht="15" hidden="false" customHeight="false" outlineLevel="0" collapsed="false">
      <c r="A9" s="3" t="n">
        <v>8</v>
      </c>
      <c r="B9" s="3" t="n">
        <v>79.513</v>
      </c>
      <c r="C9" s="3" t="n">
        <v>79.479</v>
      </c>
      <c r="D9" s="4" t="n">
        <f aca="false">AVERAGE(B9:C9)</f>
        <v>79.496</v>
      </c>
      <c r="E9" s="4" t="n">
        <f aca="false">ABS(B9-C9)</f>
        <v>0.034000000000006</v>
      </c>
      <c r="F9" s="4" t="n">
        <f aca="false">ABS(C9-MEDIAN($B$2:$B$11))</f>
        <v>0.0559999999999974</v>
      </c>
    </row>
    <row r="10" customFormat="false" ht="15" hidden="false" customHeight="false" outlineLevel="0" collapsed="false">
      <c r="A10" s="3" t="n">
        <v>9</v>
      </c>
      <c r="B10" s="3" t="n">
        <v>79.524</v>
      </c>
      <c r="C10" s="3" t="n">
        <v>79.581</v>
      </c>
      <c r="D10" s="4" t="n">
        <f aca="false">AVERAGE(B10:C10)</f>
        <v>79.5525</v>
      </c>
      <c r="E10" s="4" t="n">
        <f aca="false">ABS(B10-C10)</f>
        <v>0.0570000000000022</v>
      </c>
      <c r="F10" s="4" t="n">
        <f aca="false">ABS(C10-MEDIAN($B$2:$B$11))</f>
        <v>0.0460000000000065</v>
      </c>
    </row>
    <row r="11" customFormat="false" ht="15" hidden="false" customHeight="false" outlineLevel="0" collapsed="false">
      <c r="A11" s="3" t="n">
        <v>10</v>
      </c>
      <c r="B11" s="3" t="n">
        <v>79.579</v>
      </c>
      <c r="C11" s="3" t="n">
        <v>79.533</v>
      </c>
      <c r="D11" s="4" t="n">
        <f aca="false">AVERAGE(B11:C11)</f>
        <v>79.556</v>
      </c>
      <c r="E11" s="4" t="n">
        <f aca="false">ABS(B11-C11)</f>
        <v>0.0459999999999923</v>
      </c>
      <c r="F11" s="4" t="n">
        <f aca="false">ABS(C11-MEDIAN($B$2:$B$11))</f>
        <v>0.00199999999999534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5.71"/>
    <col collapsed="false" customWidth="true" hidden="false" outlineLevel="0" max="3" min="3" style="0" width="67.71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</row>
    <row r="2" customFormat="false" ht="15" hidden="false" customHeight="false" outlineLevel="0" collapsed="false">
      <c r="A2" s="3" t="s">
        <v>28</v>
      </c>
      <c r="B2" s="4" t="n">
        <f aca="false">COUNT(datos_homogeneidad!$B$2:$B$11)</f>
        <v>10</v>
      </c>
      <c r="C2" s="3" t="s">
        <v>29</v>
      </c>
    </row>
    <row r="3" customFormat="false" ht="15" hidden="false" customHeight="false" outlineLevel="0" collapsed="false">
      <c r="A3" s="3" t="s">
        <v>30</v>
      </c>
      <c r="B3" s="4" t="n">
        <f aca="false">2</f>
        <v>2</v>
      </c>
      <c r="C3" s="3" t="s">
        <v>31</v>
      </c>
    </row>
    <row r="4" customFormat="false" ht="15" hidden="false" customHeight="false" outlineLevel="0" collapsed="false">
      <c r="A4" s="3" t="s">
        <v>32</v>
      </c>
      <c r="B4" s="4" t="n">
        <f aca="false">AVERAGE(datos_homogeneidad!$B$2:$B$11,datos_homogeneidad!$C$2:$C$11)</f>
        <v>79.8771</v>
      </c>
      <c r="C4" s="3" t="s">
        <v>33</v>
      </c>
    </row>
    <row r="5" customFormat="false" ht="15" hidden="false" customHeight="false" outlineLevel="0" collapsed="false">
      <c r="A5" s="3" t="s">
        <v>34</v>
      </c>
      <c r="B5" s="4" t="n">
        <f aca="false">MEDIAN(datos_homogeneidad!$B$2:$B$11)</f>
        <v>79.535</v>
      </c>
      <c r="C5" s="3" t="s">
        <v>35</v>
      </c>
    </row>
    <row r="6" customFormat="false" ht="15" hidden="false" customHeight="false" outlineLevel="0" collapsed="false">
      <c r="A6" s="3" t="s">
        <v>36</v>
      </c>
      <c r="B6" s="4" t="n">
        <f aca="false">VAR(datos_homogeneidad!$D$2:$D$11)</f>
        <v>0.160994488888887</v>
      </c>
      <c r="C6" s="3" t="s">
        <v>37</v>
      </c>
    </row>
    <row r="7" customFormat="false" ht="15" hidden="false" customHeight="false" outlineLevel="0" collapsed="false">
      <c r="A7" s="3" t="s">
        <v>38</v>
      </c>
      <c r="B7" s="4" t="n">
        <f aca="false">SQRT(SUMSQ(datos_homogeneidad!$E$2:$E$11)/(2*B2))</f>
        <v>0.492485228204867</v>
      </c>
      <c r="C7" s="3" t="s">
        <v>39</v>
      </c>
    </row>
    <row r="8" customFormat="false" ht="15" hidden="false" customHeight="false" outlineLevel="0" collapsed="false">
      <c r="A8" s="3" t="s">
        <v>40</v>
      </c>
      <c r="B8" s="4" t="n">
        <f aca="false">ABS(B6-(B7^2/B3))</f>
        <v>0.039723638888887</v>
      </c>
      <c r="C8" s="3" t="s">
        <v>41</v>
      </c>
    </row>
    <row r="9" customFormat="false" ht="15" hidden="false" customHeight="false" outlineLevel="0" collapsed="false">
      <c r="A9" s="3" t="s">
        <v>42</v>
      </c>
      <c r="B9" s="4" t="n">
        <f aca="false">SQRT(B8)</f>
        <v>0.199307899715207</v>
      </c>
      <c r="C9" s="3" t="s">
        <v>43</v>
      </c>
    </row>
    <row r="10" customFormat="false" ht="15" hidden="false" customHeight="false" outlineLevel="0" collapsed="false">
      <c r="A10" s="3" t="s">
        <v>44</v>
      </c>
      <c r="B10" s="4" t="n">
        <f aca="false">MEDIAN(datos_homogeneidad!$F$2:$F$11)</f>
        <v>0.0585000000000022</v>
      </c>
      <c r="C10" s="3" t="s">
        <v>45</v>
      </c>
    </row>
    <row r="11" customFormat="false" ht="15" hidden="false" customHeight="false" outlineLevel="0" collapsed="false">
      <c r="A11" s="3" t="s">
        <v>46</v>
      </c>
      <c r="B11" s="4" t="n">
        <f aca="false">1.483*B10</f>
        <v>0.0867555000000033</v>
      </c>
      <c r="C11" s="3" t="s">
        <v>47</v>
      </c>
    </row>
    <row r="12" customFormat="false" ht="15" hidden="false" customHeight="false" outlineLevel="0" collapsed="false">
      <c r="A12" s="3" t="s">
        <v>48</v>
      </c>
      <c r="B12" s="4" t="n">
        <f aca="false">IFERROR(1.25*B11/SQRT(B2),0)</f>
        <v>0.0342931224433435</v>
      </c>
      <c r="C12" s="3" t="s">
        <v>49</v>
      </c>
    </row>
    <row r="13" customFormat="false" ht="15" hidden="false" customHeight="false" outlineLevel="0" collapsed="false">
      <c r="A13" s="3" t="s">
        <v>50</v>
      </c>
      <c r="B13" s="4" t="n">
        <f aca="false">QUARTILE(datos_homogeneidad!$B$2:$B$11,1)</f>
        <v>79.51575</v>
      </c>
      <c r="C13" s="3" t="s">
        <v>51</v>
      </c>
    </row>
    <row r="14" customFormat="false" ht="15" hidden="false" customHeight="false" outlineLevel="0" collapsed="false">
      <c r="A14" s="3" t="s">
        <v>52</v>
      </c>
      <c r="B14" s="4" t="n">
        <f aca="false">QUARTILE(datos_homogeneidad!$B$2:$B$11,3)</f>
        <v>80.386</v>
      </c>
      <c r="C14" s="3" t="s">
        <v>53</v>
      </c>
    </row>
    <row r="15" customFormat="false" ht="15" hidden="false" customHeight="false" outlineLevel="0" collapsed="false">
      <c r="A15" s="3" t="s">
        <v>54</v>
      </c>
      <c r="B15" s="4" t="n">
        <f aca="false">B14-B13</f>
        <v>0.870249999999999</v>
      </c>
      <c r="C15" s="3" t="s">
        <v>55</v>
      </c>
    </row>
    <row r="16" customFormat="false" ht="15" hidden="false" customHeight="false" outlineLevel="0" collapsed="false">
      <c r="A16" s="3" t="s">
        <v>56</v>
      </c>
      <c r="B16" s="4" t="n">
        <f aca="false">0.7413*B15</f>
        <v>0.645116324999999</v>
      </c>
      <c r="C16" s="3" t="s">
        <v>57</v>
      </c>
    </row>
    <row r="17" customFormat="false" ht="15" hidden="false" customHeight="false" outlineLevel="0" collapsed="false">
      <c r="A17" s="3" t="s">
        <v>58</v>
      </c>
      <c r="B17" s="4" t="n">
        <f aca="false">IFERROR(1.25*B16/SQRT(B2),0)</f>
        <v>0.255004617844678</v>
      </c>
      <c r="C17" s="3" t="s">
        <v>59</v>
      </c>
    </row>
    <row r="18" customFormat="false" ht="15" hidden="false" customHeight="false" outlineLevel="0" collapsed="false">
      <c r="A18" s="3" t="s">
        <v>60</v>
      </c>
      <c r="B18" s="4" t="n">
        <f aca="false">0.3*B11</f>
        <v>0.026026650000001</v>
      </c>
      <c r="C18" s="3" t="s">
        <v>61</v>
      </c>
    </row>
    <row r="19" customFormat="false" ht="15" hidden="false" customHeight="false" outlineLevel="0" collapsed="false">
      <c r="A19" s="3" t="s">
        <v>62</v>
      </c>
      <c r="B19" s="4" t="n">
        <f aca="false">0.3*B16</f>
        <v>0.1935348975</v>
      </c>
      <c r="C19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34.71"/>
    <col collapsed="false" customWidth="true" hidden="false" outlineLevel="0" max="2" min="2" style="0" width="24.71"/>
    <col collapsed="false" customWidth="true" hidden="false" outlineLevel="0" max="5" min="3" style="0" width="9.71"/>
    <col collapsed="false" customWidth="true" hidden="false" outlineLevel="0" max="6" min="6" style="0" width="10.71"/>
    <col collapsed="false" customWidth="true" hidden="false" outlineLevel="0" max="7" min="7" style="0" width="6.71"/>
  </cols>
  <sheetData>
    <row r="1" customFormat="false" ht="15" hidden="false" customHeight="false" outlineLevel="0" collapsed="false">
      <c r="A1" s="2" t="s">
        <v>64</v>
      </c>
      <c r="B1" s="2" t="s">
        <v>25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</row>
    <row r="2" customFormat="false" ht="15" hidden="false" customHeight="false" outlineLevel="0" collapsed="false">
      <c r="A2" s="3" t="s">
        <v>70</v>
      </c>
      <c r="B2" s="3" t="s">
        <v>71</v>
      </c>
      <c r="C2" s="3" t="s">
        <v>72</v>
      </c>
      <c r="D2" s="4" t="n">
        <f aca="false">calc_homogeneidad!$B$2</f>
        <v>10</v>
      </c>
      <c r="E2" s="4" t="n">
        <f aca="false">IFERROR(ABS(D2-C2),"")</f>
        <v>0</v>
      </c>
      <c r="F2" s="3" t="n">
        <v>0.0005</v>
      </c>
      <c r="G2" s="5" t="str">
        <f aca="false">IF(E2="","Pendiente",IF(E2&lt;=F2,"OK","FALLA"))</f>
        <v>OK</v>
      </c>
    </row>
    <row r="3" customFormat="false" ht="15" hidden="false" customHeight="false" outlineLevel="0" collapsed="false">
      <c r="A3" s="3" t="s">
        <v>70</v>
      </c>
      <c r="B3" s="3" t="s">
        <v>73</v>
      </c>
      <c r="C3" s="3" t="s">
        <v>74</v>
      </c>
      <c r="D3" s="4" t="n">
        <f aca="false">calc_homogeneidad!$B$3</f>
        <v>2</v>
      </c>
      <c r="E3" s="4" t="n">
        <f aca="false">IFERROR(ABS(D3-C3),"")</f>
        <v>0</v>
      </c>
      <c r="F3" s="3" t="n">
        <v>0.0005</v>
      </c>
      <c r="G3" s="5" t="str">
        <f aca="false">IF(E3="","Pendiente",IF(E3&lt;=F3,"OK","FALLA"))</f>
        <v>OK</v>
      </c>
    </row>
    <row r="4" customFormat="false" ht="15" hidden="false" customHeight="false" outlineLevel="0" collapsed="false">
      <c r="A4" s="3" t="s">
        <v>70</v>
      </c>
      <c r="B4" s="3" t="s">
        <v>75</v>
      </c>
      <c r="C4" s="3" t="s">
        <v>76</v>
      </c>
      <c r="D4" s="4" t="n">
        <f aca="false">ROUND(calc_homogeneidad!$B$5,4)</f>
        <v>79.535</v>
      </c>
      <c r="E4" s="4" t="n">
        <f aca="false">IFERROR(ABS(D4-C4),"")</f>
        <v>0</v>
      </c>
      <c r="F4" s="3" t="n">
        <v>0.0005</v>
      </c>
      <c r="G4" s="5" t="str">
        <f aca="false">IF(E4="","Pendiente",IF(E4&lt;=F4,"OK","FALLA"))</f>
        <v>OK</v>
      </c>
    </row>
    <row r="5" customFormat="false" ht="15" hidden="false" customHeight="false" outlineLevel="0" collapsed="false">
      <c r="A5" s="3" t="s">
        <v>70</v>
      </c>
      <c r="B5" s="3" t="s">
        <v>77</v>
      </c>
      <c r="C5" s="3" t="s">
        <v>78</v>
      </c>
      <c r="D5" s="4" t="n">
        <f aca="false">ROUND(calc_homogeneidad!$B$11,4)</f>
        <v>0.0868</v>
      </c>
      <c r="E5" s="4" t="n">
        <f aca="false">IFERROR(ABS(D5-C5),"")</f>
        <v>0</v>
      </c>
      <c r="F5" s="3" t="n">
        <v>0.0005</v>
      </c>
      <c r="G5" s="5" t="str">
        <f aca="false">IF(E5="","Pendiente",IF(E5&lt;=F5,"OK","FALLA"))</f>
        <v>OK</v>
      </c>
    </row>
    <row r="6" customFormat="false" ht="15" hidden="false" customHeight="false" outlineLevel="0" collapsed="false">
      <c r="A6" s="3" t="s">
        <v>70</v>
      </c>
      <c r="B6" s="3" t="s">
        <v>79</v>
      </c>
      <c r="C6" s="3" t="s">
        <v>78</v>
      </c>
      <c r="D6" s="4" t="n">
        <f aca="false">ROUND(calc_homogeneidad!$B$11,4)</f>
        <v>0.0868</v>
      </c>
      <c r="E6" s="4" t="n">
        <f aca="false">IFERROR(ABS(D6-C6),"")</f>
        <v>0</v>
      </c>
      <c r="F6" s="3" t="n">
        <v>0.0005</v>
      </c>
      <c r="G6" s="5" t="str">
        <f aca="false">IF(E6="","Pendiente",IF(E6&lt;=F6,"OK","FALLA"))</f>
        <v>OK</v>
      </c>
    </row>
    <row r="7" customFormat="false" ht="15" hidden="false" customHeight="false" outlineLevel="0" collapsed="false">
      <c r="A7" s="3" t="s">
        <v>70</v>
      </c>
      <c r="B7" s="3" t="s">
        <v>48</v>
      </c>
      <c r="C7" s="3" t="s">
        <v>80</v>
      </c>
      <c r="D7" s="4" t="n">
        <f aca="false">ROUND(calc_homogeneidad!$B$12,4)</f>
        <v>0.0343</v>
      </c>
      <c r="E7" s="4" t="n">
        <f aca="false">IFERROR(ABS(D7-C7),"")</f>
        <v>0</v>
      </c>
      <c r="F7" s="3" t="n">
        <v>0.0005</v>
      </c>
      <c r="G7" s="5" t="str">
        <f aca="false">IF(E7="","Pendiente",IF(E7&lt;=F7,"OK","FALLA"))</f>
        <v>OK</v>
      </c>
    </row>
    <row r="8" customFormat="false" ht="15" hidden="false" customHeight="false" outlineLevel="0" collapsed="false">
      <c r="A8" s="3" t="s">
        <v>81</v>
      </c>
      <c r="B8" s="3" t="s">
        <v>71</v>
      </c>
      <c r="C8" s="3" t="s">
        <v>72</v>
      </c>
      <c r="D8" s="4" t="n">
        <f aca="false">calc_homogeneidad!$B$2</f>
        <v>10</v>
      </c>
      <c r="E8" s="4" t="n">
        <f aca="false">IFERROR(ABS(D8-C8),"")</f>
        <v>0</v>
      </c>
      <c r="F8" s="3" t="n">
        <v>0.0005</v>
      </c>
      <c r="G8" s="5" t="str">
        <f aca="false">IF(E8="","Pendiente",IF(E8&lt;=F8,"OK","FALLA"))</f>
        <v>OK</v>
      </c>
    </row>
    <row r="9" customFormat="false" ht="15" hidden="false" customHeight="false" outlineLevel="0" collapsed="false">
      <c r="A9" s="3" t="s">
        <v>81</v>
      </c>
      <c r="B9" s="3" t="s">
        <v>73</v>
      </c>
      <c r="C9" s="3" t="s">
        <v>74</v>
      </c>
      <c r="D9" s="4" t="n">
        <f aca="false">calc_homogeneidad!$B$3</f>
        <v>2</v>
      </c>
      <c r="E9" s="4" t="n">
        <f aca="false">IFERROR(ABS(D9-C9),"")</f>
        <v>0</v>
      </c>
      <c r="F9" s="3" t="n">
        <v>0.0005</v>
      </c>
      <c r="G9" s="5" t="str">
        <f aca="false">IF(E9="","Pendiente",IF(E9&lt;=F9,"OK","FALLA"))</f>
        <v>OK</v>
      </c>
    </row>
    <row r="10" customFormat="false" ht="15" hidden="false" customHeight="false" outlineLevel="0" collapsed="false">
      <c r="A10" s="3" t="s">
        <v>81</v>
      </c>
      <c r="B10" s="3" t="s">
        <v>75</v>
      </c>
      <c r="C10" s="3" t="s">
        <v>76</v>
      </c>
      <c r="D10" s="4" t="n">
        <f aca="false">ROUND(calc_homogeneidad!$B$5,4)</f>
        <v>79.535</v>
      </c>
      <c r="E10" s="4" t="n">
        <f aca="false">IFERROR(ABS(D10-C10),"")</f>
        <v>0</v>
      </c>
      <c r="F10" s="3" t="n">
        <v>0.0005</v>
      </c>
      <c r="G10" s="5" t="str">
        <f aca="false">IF(E10="","Pendiente",IF(E10&lt;=F10,"OK","FALLA"))</f>
        <v>OK</v>
      </c>
    </row>
    <row r="11" customFormat="false" ht="15" hidden="false" customHeight="false" outlineLevel="0" collapsed="false">
      <c r="A11" s="3" t="s">
        <v>81</v>
      </c>
      <c r="B11" s="3" t="s">
        <v>82</v>
      </c>
      <c r="C11" s="3" t="s">
        <v>83</v>
      </c>
      <c r="D11" s="4" t="n">
        <f aca="false">ROUND(calc_homogeneidad!$B$13,4)</f>
        <v>79.5158</v>
      </c>
      <c r="E11" s="4" t="n">
        <f aca="false">IFERROR(ABS(D11-C11),"")</f>
        <v>0.00010000000000332</v>
      </c>
      <c r="F11" s="3" t="n">
        <v>0.0005</v>
      </c>
      <c r="G11" s="5" t="str">
        <f aca="false">IF(E11="","Pendiente",IF(E11&lt;=F11,"OK","FALLA"))</f>
        <v>OK</v>
      </c>
    </row>
    <row r="12" customFormat="false" ht="15" hidden="false" customHeight="false" outlineLevel="0" collapsed="false">
      <c r="A12" s="3" t="s">
        <v>81</v>
      </c>
      <c r="B12" s="3" t="s">
        <v>84</v>
      </c>
      <c r="C12" s="3" t="s">
        <v>85</v>
      </c>
      <c r="D12" s="4" t="n">
        <f aca="false">ROUND(calc_homogeneidad!$B$14,4)</f>
        <v>80.386</v>
      </c>
      <c r="E12" s="4" t="n">
        <f aca="false">IFERROR(ABS(D12-C12),"")</f>
        <v>0</v>
      </c>
      <c r="F12" s="3" t="n">
        <v>0.0005</v>
      </c>
      <c r="G12" s="5" t="str">
        <f aca="false">IF(E12="","Pendiente",IF(E12&lt;=F12,"OK","FALLA"))</f>
        <v>OK</v>
      </c>
    </row>
    <row r="13" customFormat="false" ht="15" hidden="false" customHeight="false" outlineLevel="0" collapsed="false">
      <c r="A13" s="3" t="s">
        <v>81</v>
      </c>
      <c r="B13" s="3" t="s">
        <v>86</v>
      </c>
      <c r="C13" s="3" t="s">
        <v>87</v>
      </c>
      <c r="D13" s="4" t="n">
        <f aca="false">ROUND(calc_homogeneidad!$B$15,4)</f>
        <v>0.8702</v>
      </c>
      <c r="E13" s="4" t="n">
        <f aca="false">IFERROR(ABS(D13-C13),"")</f>
        <v>0</v>
      </c>
      <c r="F13" s="3" t="n">
        <v>0.0005</v>
      </c>
      <c r="G13" s="5" t="str">
        <f aca="false">IF(E13="","Pendiente",IF(E13&lt;=F13,"OK","FALLA"))</f>
        <v>OK</v>
      </c>
    </row>
    <row r="14" customFormat="false" ht="15" hidden="false" customHeight="false" outlineLevel="0" collapsed="false">
      <c r="A14" s="3" t="s">
        <v>81</v>
      </c>
      <c r="B14" s="3" t="s">
        <v>88</v>
      </c>
      <c r="C14" s="3" t="s">
        <v>89</v>
      </c>
      <c r="D14" s="4" t="n">
        <f aca="false">ROUND(calc_homogeneidad!$B$16,4)</f>
        <v>0.6451</v>
      </c>
      <c r="E14" s="4" t="n">
        <f aca="false">IFERROR(ABS(D14-C14),"")</f>
        <v>0</v>
      </c>
      <c r="F14" s="3" t="n">
        <v>0.0005</v>
      </c>
      <c r="G14" s="5" t="str">
        <f aca="false">IF(E14="","Pendiente",IF(E14&lt;=F14,"OK","FALLA"))</f>
        <v>OK</v>
      </c>
    </row>
    <row r="15" customFormat="false" ht="15" hidden="false" customHeight="false" outlineLevel="0" collapsed="false">
      <c r="A15" s="3" t="s">
        <v>81</v>
      </c>
      <c r="B15" s="3" t="s">
        <v>90</v>
      </c>
      <c r="C15" s="3" t="s">
        <v>91</v>
      </c>
      <c r="D15" s="4" t="n">
        <f aca="false">ROUND(calc_homogeneidad!$B$17,4)</f>
        <v>0.255</v>
      </c>
      <c r="E15" s="4" t="n">
        <f aca="false">IFERROR(ABS(D15-C15),"")</f>
        <v>0</v>
      </c>
      <c r="F15" s="3" t="n">
        <v>0.0005</v>
      </c>
      <c r="G15" s="5" t="str">
        <f aca="false">IF(E15="","Pendiente",IF(E15&lt;=F15,"OK","FALLA"))</f>
        <v>OK</v>
      </c>
    </row>
  </sheetData>
  <conditionalFormatting sqref="G2:G15">
    <cfRule type="expression" priority="2" aboveAverage="0" equalAverage="0" bottom="0" percent="0" rank="0" text="" dxfId="0">
      <formula>G2="FALLA"</formula>
    </cfRule>
    <cfRule type="expression" priority="3" aboveAverage="0" equalAverage="0" bottom="0" percent="0" rank="0" text="" dxfId="1">
      <formula>G2="OK"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3" min="2" style="0" width="8.71"/>
    <col collapsed="false" customWidth="true" hidden="false" outlineLevel="0" max="4" min="4" style="0" width="16.72"/>
    <col collapsed="false" customWidth="true" hidden="false" outlineLevel="0" max="5" min="5" style="0" width="14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customFormat="false" ht="15" hidden="false" customHeight="false" outlineLevel="0" collapsed="false">
      <c r="A2" s="3" t="n">
        <v>1</v>
      </c>
      <c r="B2" s="3" t="n">
        <v>80.633</v>
      </c>
      <c r="C2" s="3" t="n">
        <v>79.578</v>
      </c>
      <c r="D2" s="4" t="n">
        <f aca="false">AVERAGE(B2:C2)</f>
        <v>80.1055</v>
      </c>
      <c r="E2" s="4" t="n">
        <f aca="false">ABS(B2-C2)</f>
        <v>1.05499999999999</v>
      </c>
      <c r="F2" s="4" t="n">
        <f aca="false">ABS(C2-MEDIAN($B$2:$B$3))</f>
        <v>1.08349999999999</v>
      </c>
    </row>
    <row r="3" customFormat="false" ht="15" hidden="false" customHeight="false" outlineLevel="0" collapsed="false">
      <c r="A3" s="3" t="n">
        <v>2</v>
      </c>
      <c r="B3" s="3" t="n">
        <v>80.69</v>
      </c>
      <c r="C3" s="3" t="n">
        <v>79.472</v>
      </c>
      <c r="D3" s="4" t="n">
        <f aca="false">AVERAGE(B3:C3)</f>
        <v>80.081</v>
      </c>
      <c r="E3" s="4" t="n">
        <f aca="false">ABS(B3-C3)</f>
        <v>1.218</v>
      </c>
      <c r="F3" s="4" t="n">
        <f aca="false">ABS(C3-MEDIAN($B$2:$B$3))</f>
        <v>1.1895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5.71"/>
    <col collapsed="false" customWidth="true" hidden="false" outlineLevel="0" max="3" min="3" style="0" width="45.71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</row>
    <row r="2" customFormat="false" ht="15" hidden="false" customHeight="false" outlineLevel="0" collapsed="false">
      <c r="A2" s="3" t="s">
        <v>92</v>
      </c>
      <c r="B2" s="4" t="n">
        <f aca="false">COUNT(datos_estabilidad!$B$2:$B$3)</f>
        <v>2</v>
      </c>
      <c r="C2" s="3" t="s">
        <v>93</v>
      </c>
    </row>
    <row r="3" customFormat="false" ht="15" hidden="false" customHeight="false" outlineLevel="0" collapsed="false">
      <c r="A3" s="3" t="s">
        <v>94</v>
      </c>
      <c r="B3" s="4" t="n">
        <f aca="false">2</f>
        <v>2</v>
      </c>
      <c r="C3" s="3" t="s">
        <v>95</v>
      </c>
    </row>
    <row r="4" customFormat="false" ht="15" hidden="false" customHeight="false" outlineLevel="0" collapsed="false">
      <c r="A4" s="3" t="s">
        <v>96</v>
      </c>
      <c r="B4" s="4" t="n">
        <f aca="false">AVERAGE(datos_estabilidad!$B$2:$B$3,datos_estabilidad!$C$2:$C$3)</f>
        <v>80.09325</v>
      </c>
      <c r="C4" s="3" t="s">
        <v>97</v>
      </c>
    </row>
    <row r="5" customFormat="false" ht="15" hidden="false" customHeight="false" outlineLevel="0" collapsed="false">
      <c r="A5" s="3" t="s">
        <v>98</v>
      </c>
      <c r="B5" s="4" t="n">
        <f aca="false">MEDIAN(datos_estabilidad!$B$2:$B$3)</f>
        <v>80.6615</v>
      </c>
      <c r="C5" s="3" t="s">
        <v>99</v>
      </c>
    </row>
    <row r="6" customFormat="false" ht="15" hidden="false" customHeight="false" outlineLevel="0" collapsed="false">
      <c r="A6" s="3" t="s">
        <v>100</v>
      </c>
      <c r="B6" s="4" t="n">
        <f aca="false">VAR(datos_estabilidad!$D$2:$D$3)</f>
        <v>0.000300125000000429</v>
      </c>
      <c r="C6" s="3" t="s">
        <v>101</v>
      </c>
    </row>
    <row r="7" customFormat="false" ht="15" hidden="false" customHeight="false" outlineLevel="0" collapsed="false">
      <c r="A7" s="3" t="s">
        <v>102</v>
      </c>
      <c r="B7" s="4" t="n">
        <f aca="false">SQRT(SUMSQ(datos_estabilidad!$E$2:$E$3)/(2*B2))</f>
        <v>0.805690542329993</v>
      </c>
      <c r="C7" s="3" t="s">
        <v>39</v>
      </c>
    </row>
    <row r="8" customFormat="false" ht="15" hidden="false" customHeight="false" outlineLevel="0" collapsed="false">
      <c r="A8" s="3" t="s">
        <v>103</v>
      </c>
      <c r="B8" s="4" t="n">
        <f aca="false">ABS(B6-(B7^2/B3))</f>
        <v>0.324268499999999</v>
      </c>
      <c r="C8" s="3" t="s">
        <v>104</v>
      </c>
    </row>
    <row r="9" customFormat="false" ht="15" hidden="false" customHeight="false" outlineLevel="0" collapsed="false">
      <c r="A9" s="3" t="s">
        <v>105</v>
      </c>
      <c r="B9" s="4" t="n">
        <f aca="false">SQRT(B8)</f>
        <v>0.569445783196257</v>
      </c>
      <c r="C9" s="3" t="s">
        <v>106</v>
      </c>
    </row>
    <row r="10" customFormat="false" ht="15" hidden="false" customHeight="false" outlineLevel="0" collapsed="false">
      <c r="A10" s="3" t="s">
        <v>107</v>
      </c>
      <c r="B10" s="4" t="n">
        <f aca="false">ABS(B4-calc_homogeneidad!$B$4)</f>
        <v>0.216149999999999</v>
      </c>
      <c r="C10" s="3" t="s">
        <v>108</v>
      </c>
    </row>
    <row r="11" customFormat="false" ht="15" hidden="false" customHeight="false" outlineLevel="0" collapsed="false">
      <c r="A11" s="3" t="s">
        <v>109</v>
      </c>
      <c r="B11" s="4" t="n">
        <f aca="false">IFERROR(stdev.s(datos_homogeneidad!$B$2:$C$3)/SQRT(COUNT(datos_homogeneidad!$B$2:$C$3)),0)</f>
        <v>0</v>
      </c>
      <c r="C11" s="3" t="s">
        <v>110</v>
      </c>
    </row>
    <row r="12" customFormat="false" ht="15" hidden="false" customHeight="false" outlineLevel="0" collapsed="false">
      <c r="A12" s="3" t="s">
        <v>111</v>
      </c>
      <c r="B12" s="4" t="n">
        <f aca="false">IFERROR(stdev.s(datos_estabilidad!$B$2:$C$3)/SQRT(COUNT(datos_estabilidad!$B$2:$C$3)),0)</f>
        <v>0</v>
      </c>
      <c r="C12" s="3" t="s">
        <v>112</v>
      </c>
    </row>
    <row r="13" customFormat="false" ht="15" hidden="false" customHeight="false" outlineLevel="0" collapsed="false">
      <c r="A13" s="3" t="s">
        <v>60</v>
      </c>
      <c r="B13" s="4" t="n">
        <f aca="false">calc_homogeneidad!$B$18</f>
        <v>0.026026650000001</v>
      </c>
      <c r="C13" s="3" t="s">
        <v>113</v>
      </c>
    </row>
    <row r="14" customFormat="false" ht="15" hidden="false" customHeight="false" outlineLevel="0" collapsed="false">
      <c r="A14" s="3" t="s">
        <v>114</v>
      </c>
      <c r="B14" s="4" t="n">
        <f aca="false">B13+2*SQRT(B11^2+B12^2)</f>
        <v>0.026026650000001</v>
      </c>
      <c r="C14" s="3" t="s">
        <v>115</v>
      </c>
    </row>
    <row r="15" customFormat="false" ht="15" hidden="false" customHeight="false" outlineLevel="0" collapsed="false">
      <c r="A15" s="3" t="s">
        <v>62</v>
      </c>
      <c r="B15" s="4" t="n">
        <f aca="false">calc_homogeneidad!$B$19</f>
        <v>0.1935348975</v>
      </c>
      <c r="C15" s="3" t="s">
        <v>116</v>
      </c>
    </row>
    <row r="16" customFormat="false" ht="15" hidden="false" customHeight="false" outlineLevel="0" collapsed="false">
      <c r="A16" s="3" t="s">
        <v>117</v>
      </c>
      <c r="B16" s="4" t="n">
        <f aca="false">B15+2*SQRT(B11^2+B12^2)</f>
        <v>0.1935348975</v>
      </c>
      <c r="C16" s="3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34.71"/>
    <col collapsed="false" customWidth="true" hidden="false" outlineLevel="0" max="2" min="2" style="0" width="24.71"/>
    <col collapsed="false" customWidth="true" hidden="false" outlineLevel="0" max="5" min="3" style="0" width="9.71"/>
    <col collapsed="false" customWidth="true" hidden="false" outlineLevel="0" max="6" min="6" style="0" width="10.71"/>
    <col collapsed="false" customWidth="true" hidden="false" outlineLevel="0" max="7" min="7" style="0" width="6.71"/>
  </cols>
  <sheetData>
    <row r="1" customFormat="false" ht="15" hidden="false" customHeight="false" outlineLevel="0" collapsed="false">
      <c r="A1" s="2" t="s">
        <v>64</v>
      </c>
      <c r="B1" s="2" t="s">
        <v>25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</row>
    <row r="2" customFormat="false" ht="15" hidden="false" customHeight="false" outlineLevel="0" collapsed="false">
      <c r="A2" s="3" t="s">
        <v>70</v>
      </c>
      <c r="B2" s="3" t="s">
        <v>71</v>
      </c>
      <c r="C2" s="3" t="s">
        <v>72</v>
      </c>
      <c r="D2" s="4" t="n">
        <f aca="false">calc_homogeneidad!$B$2</f>
        <v>10</v>
      </c>
      <c r="E2" s="4" t="n">
        <f aca="false">IFERROR(ABS(D2-C2),"")</f>
        <v>0</v>
      </c>
      <c r="F2" s="3" t="n">
        <v>0.0005</v>
      </c>
      <c r="G2" s="5" t="str">
        <f aca="false">IF(E2="","Pendiente",IF(E2&lt;=F2,"OK","FALLA"))</f>
        <v>OK</v>
      </c>
    </row>
    <row r="3" customFormat="false" ht="15" hidden="false" customHeight="false" outlineLevel="0" collapsed="false">
      <c r="A3" s="3" t="s">
        <v>70</v>
      </c>
      <c r="B3" s="3" t="s">
        <v>73</v>
      </c>
      <c r="C3" s="3" t="s">
        <v>74</v>
      </c>
      <c r="D3" s="4" t="n">
        <f aca="false">calc_homogeneidad!$B$3</f>
        <v>2</v>
      </c>
      <c r="E3" s="4" t="n">
        <f aca="false">IFERROR(ABS(D3-C3),"")</f>
        <v>0</v>
      </c>
      <c r="F3" s="3" t="n">
        <v>0.0005</v>
      </c>
      <c r="G3" s="5" t="str">
        <f aca="false">IF(E3="","Pendiente",IF(E3&lt;=F3,"OK","FALLA"))</f>
        <v>OK</v>
      </c>
    </row>
    <row r="4" customFormat="false" ht="15" hidden="false" customHeight="false" outlineLevel="0" collapsed="false">
      <c r="A4" s="3" t="s">
        <v>70</v>
      </c>
      <c r="B4" s="3" t="s">
        <v>75</v>
      </c>
      <c r="C4" s="3" t="s">
        <v>76</v>
      </c>
      <c r="D4" s="4" t="n">
        <f aca="false">ROUND(calc_homogeneidad!$B$5,4)</f>
        <v>79.535</v>
      </c>
      <c r="E4" s="4" t="n">
        <f aca="false">IFERROR(ABS(D4-C4),"")</f>
        <v>0</v>
      </c>
      <c r="F4" s="3" t="n">
        <v>0.0005</v>
      </c>
      <c r="G4" s="5" t="str">
        <f aca="false">IF(E4="","Pendiente",IF(E4&lt;=F4,"OK","FALLA"))</f>
        <v>OK</v>
      </c>
    </row>
    <row r="5" customFormat="false" ht="15" hidden="false" customHeight="false" outlineLevel="0" collapsed="false">
      <c r="A5" s="3" t="s">
        <v>70</v>
      </c>
      <c r="B5" s="3" t="s">
        <v>77</v>
      </c>
      <c r="C5" s="3" t="s">
        <v>78</v>
      </c>
      <c r="D5" s="4" t="n">
        <f aca="false">ROUND(calc_homogeneidad!$B$11,4)</f>
        <v>0.0868</v>
      </c>
      <c r="E5" s="4" t="n">
        <f aca="false">IFERROR(ABS(D5-C5),"")</f>
        <v>0</v>
      </c>
      <c r="F5" s="3" t="n">
        <v>0.0005</v>
      </c>
      <c r="G5" s="5" t="str">
        <f aca="false">IF(E5="","Pendiente",IF(E5&lt;=F5,"OK","FALLA"))</f>
        <v>OK</v>
      </c>
    </row>
    <row r="6" customFormat="false" ht="15" hidden="false" customHeight="false" outlineLevel="0" collapsed="false">
      <c r="A6" s="3" t="s">
        <v>70</v>
      </c>
      <c r="B6" s="3" t="s">
        <v>79</v>
      </c>
      <c r="C6" s="3" t="s">
        <v>78</v>
      </c>
      <c r="D6" s="4" t="n">
        <f aca="false">ROUND(calc_homogeneidad!$B$11,4)</f>
        <v>0.0868</v>
      </c>
      <c r="E6" s="4" t="n">
        <f aca="false">IFERROR(ABS(D6-C6),"")</f>
        <v>0</v>
      </c>
      <c r="F6" s="3" t="n">
        <v>0.0005</v>
      </c>
      <c r="G6" s="5" t="str">
        <f aca="false">IF(E6="","Pendiente",IF(E6&lt;=F6,"OK","FALLA"))</f>
        <v>OK</v>
      </c>
    </row>
    <row r="7" customFormat="false" ht="15" hidden="false" customHeight="false" outlineLevel="0" collapsed="false">
      <c r="A7" s="3" t="s">
        <v>70</v>
      </c>
      <c r="B7" s="3" t="s">
        <v>48</v>
      </c>
      <c r="C7" s="3" t="s">
        <v>80</v>
      </c>
      <c r="D7" s="4" t="n">
        <f aca="false">ROUND(calc_homogeneidad!$B$12,4)</f>
        <v>0.0343</v>
      </c>
      <c r="E7" s="4" t="n">
        <f aca="false">IFERROR(ABS(D7-C7),"")</f>
        <v>0</v>
      </c>
      <c r="F7" s="3" t="n">
        <v>0.0005</v>
      </c>
      <c r="G7" s="5" t="str">
        <f aca="false">IF(E7="","Pendiente",IF(E7&lt;=F7,"OK","FALLA"))</f>
        <v>OK</v>
      </c>
    </row>
    <row r="8" customFormat="false" ht="15" hidden="false" customHeight="false" outlineLevel="0" collapsed="false">
      <c r="A8" s="3" t="s">
        <v>81</v>
      </c>
      <c r="B8" s="3" t="s">
        <v>71</v>
      </c>
      <c r="C8" s="3" t="s">
        <v>72</v>
      </c>
      <c r="D8" s="4" t="n">
        <f aca="false">calc_homogeneidad!$B$2</f>
        <v>10</v>
      </c>
      <c r="E8" s="4" t="n">
        <f aca="false">IFERROR(ABS(D8-C8),"")</f>
        <v>0</v>
      </c>
      <c r="F8" s="3" t="n">
        <v>0.0005</v>
      </c>
      <c r="G8" s="5" t="str">
        <f aca="false">IF(E8="","Pendiente",IF(E8&lt;=F8,"OK","FALLA"))</f>
        <v>OK</v>
      </c>
    </row>
    <row r="9" customFormat="false" ht="15" hidden="false" customHeight="false" outlineLevel="0" collapsed="false">
      <c r="A9" s="3" t="s">
        <v>81</v>
      </c>
      <c r="B9" s="3" t="s">
        <v>73</v>
      </c>
      <c r="C9" s="3" t="s">
        <v>74</v>
      </c>
      <c r="D9" s="4" t="n">
        <f aca="false">calc_homogeneidad!$B$3</f>
        <v>2</v>
      </c>
      <c r="E9" s="4" t="n">
        <f aca="false">IFERROR(ABS(D9-C9),"")</f>
        <v>0</v>
      </c>
      <c r="F9" s="3" t="n">
        <v>0.0005</v>
      </c>
      <c r="G9" s="5" t="str">
        <f aca="false">IF(E9="","Pendiente",IF(E9&lt;=F9,"OK","FALLA"))</f>
        <v>OK</v>
      </c>
    </row>
    <row r="10" customFormat="false" ht="15" hidden="false" customHeight="false" outlineLevel="0" collapsed="false">
      <c r="A10" s="3" t="s">
        <v>81</v>
      </c>
      <c r="B10" s="3" t="s">
        <v>75</v>
      </c>
      <c r="C10" s="3" t="s">
        <v>76</v>
      </c>
      <c r="D10" s="4" t="n">
        <f aca="false">ROUND(calc_homogeneidad!$B$5,4)</f>
        <v>79.535</v>
      </c>
      <c r="E10" s="4" t="n">
        <f aca="false">IFERROR(ABS(D10-C10),"")</f>
        <v>0</v>
      </c>
      <c r="F10" s="3" t="n">
        <v>0.0005</v>
      </c>
      <c r="G10" s="5" t="str">
        <f aca="false">IF(E10="","Pendiente",IF(E10&lt;=F10,"OK","FALLA"))</f>
        <v>OK</v>
      </c>
    </row>
    <row r="11" customFormat="false" ht="15" hidden="false" customHeight="false" outlineLevel="0" collapsed="false">
      <c r="A11" s="3" t="s">
        <v>81</v>
      </c>
      <c r="B11" s="3" t="s">
        <v>82</v>
      </c>
      <c r="C11" s="3" t="s">
        <v>83</v>
      </c>
      <c r="D11" s="4" t="n">
        <f aca="false">ROUND(calc_homogeneidad!$B$13,4)</f>
        <v>79.5158</v>
      </c>
      <c r="E11" s="4" t="n">
        <f aca="false">IFERROR(ABS(D11-C11),"")</f>
        <v>0.00010000000000332</v>
      </c>
      <c r="F11" s="3" t="n">
        <v>0.0005</v>
      </c>
      <c r="G11" s="5" t="str">
        <f aca="false">IF(E11="","Pendiente",IF(E11&lt;=F11,"OK","FALLA"))</f>
        <v>OK</v>
      </c>
    </row>
    <row r="12" customFormat="false" ht="15" hidden="false" customHeight="false" outlineLevel="0" collapsed="false">
      <c r="A12" s="3" t="s">
        <v>81</v>
      </c>
      <c r="B12" s="3" t="s">
        <v>84</v>
      </c>
      <c r="C12" s="3" t="s">
        <v>85</v>
      </c>
      <c r="D12" s="4" t="n">
        <f aca="false">ROUND(calc_homogeneidad!$B$14,4)</f>
        <v>80.386</v>
      </c>
      <c r="E12" s="4" t="n">
        <f aca="false">IFERROR(ABS(D12-C12),"")</f>
        <v>0</v>
      </c>
      <c r="F12" s="3" t="n">
        <v>0.0005</v>
      </c>
      <c r="G12" s="5" t="str">
        <f aca="false">IF(E12="","Pendiente",IF(E12&lt;=F12,"OK","FALLA"))</f>
        <v>OK</v>
      </c>
    </row>
    <row r="13" customFormat="false" ht="15" hidden="false" customHeight="false" outlineLevel="0" collapsed="false">
      <c r="A13" s="3" t="s">
        <v>81</v>
      </c>
      <c r="B13" s="3" t="s">
        <v>86</v>
      </c>
      <c r="C13" s="3" t="s">
        <v>87</v>
      </c>
      <c r="D13" s="4" t="n">
        <f aca="false">ROUND(calc_homogeneidad!$B$15,4)</f>
        <v>0.8702</v>
      </c>
      <c r="E13" s="4" t="n">
        <f aca="false">IFERROR(ABS(D13-C13),"")</f>
        <v>0</v>
      </c>
      <c r="F13" s="3" t="n">
        <v>0.0005</v>
      </c>
      <c r="G13" s="5" t="str">
        <f aca="false">IF(E13="","Pendiente",IF(E13&lt;=F13,"OK","FALLA"))</f>
        <v>OK</v>
      </c>
    </row>
    <row r="14" customFormat="false" ht="15" hidden="false" customHeight="false" outlineLevel="0" collapsed="false">
      <c r="A14" s="3" t="s">
        <v>81</v>
      </c>
      <c r="B14" s="3" t="s">
        <v>88</v>
      </c>
      <c r="C14" s="3" t="s">
        <v>89</v>
      </c>
      <c r="D14" s="4" t="n">
        <f aca="false">ROUND(calc_homogeneidad!$B$16,4)</f>
        <v>0.6451</v>
      </c>
      <c r="E14" s="4" t="n">
        <f aca="false">IFERROR(ABS(D14-C14),"")</f>
        <v>0</v>
      </c>
      <c r="F14" s="3" t="n">
        <v>0.0005</v>
      </c>
      <c r="G14" s="5" t="str">
        <f aca="false">IF(E14="","Pendiente",IF(E14&lt;=F14,"OK","FALLA"))</f>
        <v>OK</v>
      </c>
    </row>
    <row r="15" customFormat="false" ht="15" hidden="false" customHeight="false" outlineLevel="0" collapsed="false">
      <c r="A15" s="3" t="s">
        <v>81</v>
      </c>
      <c r="B15" s="3" t="s">
        <v>90</v>
      </c>
      <c r="C15" s="3" t="s">
        <v>91</v>
      </c>
      <c r="D15" s="4" t="n">
        <f aca="false">ROUND(calc_homogeneidad!$B$17,4)</f>
        <v>0.255</v>
      </c>
      <c r="E15" s="4" t="n">
        <f aca="false">IFERROR(ABS(D15-C15),"")</f>
        <v>0</v>
      </c>
      <c r="F15" s="3" t="n">
        <v>0.0005</v>
      </c>
      <c r="G15" s="5" t="str">
        <f aca="false">IF(E15="","Pendiente",IF(E15&lt;=F15,"OK","FALLA"))</f>
        <v>OK</v>
      </c>
    </row>
  </sheetData>
  <conditionalFormatting sqref="G2:G15">
    <cfRule type="expression" priority="2" aboveAverage="0" equalAverage="0" bottom="0" percent="0" rank="0" text="" dxfId="0">
      <formula>G2="FALLA"</formula>
    </cfRule>
    <cfRule type="expression" priority="3" aboveAverage="0" equalAverage="0" bottom="0" percent="0" rank="0" text="" dxfId="1">
      <formula>G2="OK"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9.71"/>
    <col collapsed="false" customWidth="true" hidden="false" outlineLevel="0" max="6" min="3" style="0" width="11.71"/>
    <col collapsed="false" customWidth="true" hidden="false" outlineLevel="0" max="7" min="7" style="0" width="9.71"/>
  </cols>
  <sheetData>
    <row r="1" customFormat="false" ht="15" hidden="false" customHeight="false" outlineLevel="0" collapsed="false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</row>
    <row r="2" customFormat="false" ht="15" hidden="false" customHeight="false" outlineLevel="0" collapsed="false">
      <c r="A2" s="3" t="s">
        <v>126</v>
      </c>
      <c r="B2" s="3" t="s">
        <v>8</v>
      </c>
      <c r="C2" s="3" t="s">
        <v>6</v>
      </c>
      <c r="D2" s="3" t="n">
        <v>80.2293333333333</v>
      </c>
      <c r="E2" s="3" t="n">
        <v>0.570666666666667</v>
      </c>
      <c r="F2" s="3" t="n">
        <v>0.0306434083253844</v>
      </c>
      <c r="G2" s="4" t="n">
        <f aca="false">IFERROR(F2/SQRT(3),"")</f>
        <v>0.0176919800455483</v>
      </c>
    </row>
    <row r="3" customFormat="false" ht="15" hidden="false" customHeight="false" outlineLevel="0" collapsed="false">
      <c r="A3" s="3" t="s">
        <v>127</v>
      </c>
      <c r="B3" s="3" t="s">
        <v>8</v>
      </c>
      <c r="C3" s="3" t="s">
        <v>6</v>
      </c>
      <c r="D3" s="3" t="n">
        <v>80.086</v>
      </c>
      <c r="E3" s="3" t="n">
        <v>0.587333333333333</v>
      </c>
      <c r="F3" s="3" t="n">
        <v>0.0117087117022311</v>
      </c>
      <c r="G3" s="4" t="n">
        <f aca="false">IFERROR(F3/SQRT(3),"")</f>
        <v>0.00676002785314685</v>
      </c>
    </row>
    <row r="4" customFormat="false" ht="15" hidden="false" customHeight="false" outlineLevel="0" collapsed="false">
      <c r="A4" s="3" t="s">
        <v>128</v>
      </c>
      <c r="B4" s="3" t="s">
        <v>8</v>
      </c>
      <c r="C4" s="3" t="s">
        <v>6</v>
      </c>
      <c r="D4" s="3" t="n">
        <v>80.056</v>
      </c>
      <c r="E4" s="3" t="n">
        <v>0.558333333333333</v>
      </c>
      <c r="F4" s="3" t="n">
        <v>0.0942858874123054</v>
      </c>
      <c r="G4" s="4" t="n">
        <f aca="false">IFERROR(F4/SQRT(3),"")</f>
        <v>0.0544359824782773</v>
      </c>
    </row>
    <row r="5" customFormat="false" ht="15" hidden="false" customHeight="false" outlineLevel="0" collapsed="false">
      <c r="A5" s="3" t="s">
        <v>129</v>
      </c>
      <c r="B5" s="3" t="s">
        <v>8</v>
      </c>
      <c r="C5" s="3" t="s">
        <v>6</v>
      </c>
      <c r="D5" s="3" t="n">
        <v>80.031</v>
      </c>
      <c r="E5" s="3" t="n">
        <v>0.575666666666667</v>
      </c>
      <c r="F5" s="3" t="n">
        <v>0.0924819264641932</v>
      </c>
      <c r="G5" s="4" t="n">
        <f aca="false">IFERROR(F5/SQRT(3),"")</f>
        <v>0.0533944651392771</v>
      </c>
    </row>
    <row r="6" customFormat="false" ht="15" hidden="false" customHeight="false" outlineLevel="0" collapsed="false">
      <c r="A6" s="3" t="s">
        <v>130</v>
      </c>
      <c r="B6" s="3" t="s">
        <v>8</v>
      </c>
      <c r="C6" s="3" t="s">
        <v>6</v>
      </c>
      <c r="D6" s="3" t="n">
        <v>80.0573333333333</v>
      </c>
      <c r="E6" s="3" t="n">
        <v>0.545333333333333</v>
      </c>
      <c r="F6" s="3" t="n">
        <v>0.147603994565192</v>
      </c>
      <c r="G6" s="4" t="n">
        <f aca="false">IFERROR(F6/SQRT(3),"")</f>
        <v>0.0852192059956777</v>
      </c>
    </row>
    <row r="7" customFormat="false" ht="15" hidden="false" customHeight="false" outlineLevel="0" collapsed="false">
      <c r="A7" s="3" t="s">
        <v>131</v>
      </c>
      <c r="B7" s="3" t="s">
        <v>8</v>
      </c>
      <c r="C7" s="3" t="s">
        <v>6</v>
      </c>
      <c r="D7" s="3" t="n">
        <v>79.9836666666667</v>
      </c>
      <c r="E7" s="3" t="n">
        <v>0.567333333333333</v>
      </c>
      <c r="F7" s="3" t="n">
        <v>0.0704138562754267</v>
      </c>
      <c r="G7" s="4" t="n">
        <f aca="false">IFERROR(F7/SQRT(3),"")</f>
        <v>0.0406534588752972</v>
      </c>
    </row>
    <row r="8" customFormat="false" ht="15" hidden="false" customHeight="false" outlineLevel="0" collapsed="false">
      <c r="A8" s="3" t="s">
        <v>132</v>
      </c>
      <c r="B8" s="3" t="s">
        <v>8</v>
      </c>
      <c r="C8" s="3" t="s">
        <v>6</v>
      </c>
      <c r="D8" s="3" t="n">
        <v>80.091</v>
      </c>
      <c r="E8" s="3" t="n">
        <v>0.567666666666667</v>
      </c>
      <c r="F8" s="3" t="n">
        <v>0.131152103622788</v>
      </c>
      <c r="G8" s="4" t="n">
        <f aca="false">IFERROR(F8/SQRT(3),"")</f>
        <v>0.0757207023314024</v>
      </c>
    </row>
    <row r="9" customFormat="false" ht="15" hidden="false" customHeight="false" outlineLevel="0" collapsed="false">
      <c r="A9" s="3" t="s">
        <v>133</v>
      </c>
      <c r="B9" s="3" t="s">
        <v>8</v>
      </c>
      <c r="C9" s="3" t="s">
        <v>6</v>
      </c>
      <c r="D9" s="3" t="n">
        <v>80.158</v>
      </c>
      <c r="E9" s="3" t="n">
        <v>0.569666666666667</v>
      </c>
      <c r="F9" s="3" t="n">
        <v>0.0953945351575979</v>
      </c>
      <c r="G9" s="4" t="n">
        <f aca="false">IFERROR(F9/SQRT(3),"")</f>
        <v>0.0550760605524584</v>
      </c>
    </row>
    <row r="10" customFormat="false" ht="15" hidden="false" customHeight="false" outlineLevel="0" collapsed="false">
      <c r="A10" s="3" t="s">
        <v>134</v>
      </c>
      <c r="B10" s="3" t="s">
        <v>8</v>
      </c>
      <c r="C10" s="3" t="s">
        <v>6</v>
      </c>
      <c r="D10" s="3" t="n">
        <v>80.2606666666667</v>
      </c>
      <c r="E10" s="3" t="n">
        <v>0.566</v>
      </c>
      <c r="F10" s="3" t="n">
        <v>0.0427293036158302</v>
      </c>
      <c r="G10" s="4" t="n">
        <f aca="false">IFERROR(F10/SQRT(3),"")</f>
        <v>0.0246697749448848</v>
      </c>
    </row>
    <row r="11" customFormat="false" ht="15" hidden="false" customHeight="false" outlineLevel="0" collapsed="false">
      <c r="A11" s="3" t="s">
        <v>135</v>
      </c>
      <c r="B11" s="3" t="s">
        <v>8</v>
      </c>
      <c r="C11" s="3" t="s">
        <v>6</v>
      </c>
      <c r="D11" s="3" t="n">
        <v>79.9916666666667</v>
      </c>
      <c r="E11" s="3" t="n">
        <v>0.583333333333333</v>
      </c>
      <c r="F11" s="3" t="n">
        <v>0.00466154333165642</v>
      </c>
      <c r="G11" s="4" t="n">
        <f aca="false">IFERROR(F11/SQRT(3),"")</f>
        <v>0.00269134329737094</v>
      </c>
    </row>
    <row r="12" customFormat="false" ht="15" hidden="false" customHeight="false" outlineLevel="0" collapsed="false">
      <c r="A12" s="3" t="s">
        <v>136</v>
      </c>
      <c r="B12" s="3" t="s">
        <v>8</v>
      </c>
      <c r="C12" s="3" t="s">
        <v>6</v>
      </c>
      <c r="D12" s="3" t="n">
        <v>80.0473333333333</v>
      </c>
      <c r="E12" s="3" t="n">
        <v>0.565666666666667</v>
      </c>
      <c r="F12" s="3" t="n">
        <v>0.100944697094177</v>
      </c>
      <c r="G12" s="4" t="n">
        <f aca="false">IFERROR(F12/SQRT(3),"")</f>
        <v>0.0582804480405883</v>
      </c>
    </row>
    <row r="13" customFormat="false" ht="15" hidden="false" customHeight="false" outlineLevel="0" collapsed="false">
      <c r="A13" s="3" t="s">
        <v>137</v>
      </c>
      <c r="B13" s="3" t="s">
        <v>8</v>
      </c>
      <c r="C13" s="3" t="s">
        <v>6</v>
      </c>
      <c r="D13" s="3" t="n">
        <v>80.2476666666667</v>
      </c>
      <c r="E13" s="3" t="n">
        <v>0.564</v>
      </c>
      <c r="F13" s="3" t="n">
        <v>0.0385972875321689</v>
      </c>
      <c r="G13" s="4" t="n">
        <f aca="false">IFERROR(F13/SQRT(3),"")</f>
        <v>0.0222841543466871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1.71"/>
    <col collapsed="false" customWidth="true" hidden="false" outlineLevel="0" max="3" min="3" style="0" width="14.71"/>
    <col collapsed="false" customWidth="true" hidden="false" outlineLevel="0" max="5" min="4" style="0" width="11.71"/>
    <col collapsed="false" customWidth="true" hidden="false" outlineLevel="0" max="6" min="6" style="0" width="8.71"/>
    <col collapsed="false" customWidth="true" hidden="false" outlineLevel="0" max="7" min="7" style="0" width="11.71"/>
  </cols>
  <sheetData>
    <row r="1" customFormat="false" ht="15" hidden="false" customHeight="false" outlineLevel="0" collapsed="false">
      <c r="A1" s="2" t="s">
        <v>120</v>
      </c>
      <c r="B1" s="2" t="s">
        <v>121</v>
      </c>
      <c r="C1" s="2" t="s">
        <v>119</v>
      </c>
      <c r="D1" s="2" t="s">
        <v>122</v>
      </c>
      <c r="E1" s="2" t="s">
        <v>123</v>
      </c>
      <c r="F1" s="2" t="s">
        <v>138</v>
      </c>
      <c r="G1" s="2" t="s">
        <v>139</v>
      </c>
    </row>
    <row r="2" customFormat="false" ht="15" hidden="false" customHeight="false" outlineLevel="0" collapsed="false">
      <c r="A2" s="3" t="s">
        <v>8</v>
      </c>
      <c r="B2" s="3" t="s">
        <v>6</v>
      </c>
      <c r="C2" s="3" t="s">
        <v>140</v>
      </c>
      <c r="D2" s="3" t="n">
        <v>79.8963333333333</v>
      </c>
      <c r="E2" s="3" t="n">
        <v>0.570333333333333</v>
      </c>
      <c r="F2" s="4" t="n">
        <f aca="false">AVERAGE(D2)</f>
        <v>79.8963333333333</v>
      </c>
      <c r="G2" s="4" t="str">
        <f aca="false">IFERROR(stdev.s(D2)/SQRT(COUNT(D2)),"")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1.71"/>
    <col collapsed="false" customWidth="true" hidden="false" outlineLevel="0" max="3" min="3" style="0" width="9.71"/>
  </cols>
  <sheetData>
    <row r="1" customFormat="false" ht="15" hidden="false" customHeight="false" outlineLevel="0" collapsed="false">
      <c r="A1" s="2" t="s">
        <v>141</v>
      </c>
      <c r="B1" s="2" t="s">
        <v>26</v>
      </c>
    </row>
    <row r="2" customFormat="false" ht="15" hidden="false" customHeight="false" outlineLevel="0" collapsed="false">
      <c r="A2" s="3" t="s">
        <v>142</v>
      </c>
      <c r="B2" s="4" t="n">
        <f aca="false">MEDIAN(algoritmo_A_iteraciones!B11:B22)</f>
        <v>80.0716666666667</v>
      </c>
    </row>
    <row r="3" customFormat="false" ht="15" hidden="false" customHeight="false" outlineLevel="0" collapsed="false">
      <c r="A3" s="3" t="s">
        <v>143</v>
      </c>
      <c r="B3" s="4" t="n">
        <f aca="false">1.483*MEDIAN(C11:C22)</f>
        <v>0.0894743333332899</v>
      </c>
    </row>
    <row r="4" customFormat="false" ht="15" hidden="false" customHeight="false" outlineLevel="0" collapsed="false">
      <c r="A4" s="3" t="s">
        <v>68</v>
      </c>
      <c r="B4" s="3" t="n">
        <v>1E-010</v>
      </c>
    </row>
    <row r="5" customFormat="false" ht="15" hidden="false" customHeight="false" outlineLevel="0" collapsed="false">
      <c r="A5" s="3" t="s">
        <v>144</v>
      </c>
      <c r="B5" s="4" t="n">
        <f aca="false">COUNT(algoritmo_A_iteraciones!B11:B22)</f>
        <v>12</v>
      </c>
    </row>
    <row r="6" customFormat="false" ht="15" hidden="false" customHeight="false" outlineLevel="0" collapsed="false">
      <c r="A6" s="3" t="s">
        <v>145</v>
      </c>
      <c r="B6" s="5" t="n">
        <f aca="false">IFERROR(MATCH(1,AC27:AC76,0),50)</f>
        <v>4</v>
      </c>
    </row>
    <row r="7" customFormat="false" ht="15" hidden="false" customHeight="false" outlineLevel="0" collapsed="false">
      <c r="A7" s="3" t="s">
        <v>146</v>
      </c>
      <c r="B7" s="4" t="n">
        <f aca="false">INDEX(S27:S76,$B$6)</f>
        <v>80.1033055555556</v>
      </c>
    </row>
    <row r="8" customFormat="false" ht="15" hidden="false" customHeight="false" outlineLevel="0" collapsed="false">
      <c r="A8" s="3" t="s">
        <v>147</v>
      </c>
      <c r="B8" s="4" t="n">
        <f aca="false">INDEX(T27:T76,$B$6)</f>
        <v>0.11048474010016</v>
      </c>
    </row>
    <row r="9" customFormat="false" ht="15" hidden="false" customHeight="false" outlineLevel="0" collapsed="false">
      <c r="A9" s="3" t="s">
        <v>148</v>
      </c>
      <c r="B9" s="4" t="n">
        <f aca="false">--(INDEX(G27:G76,$B$6)&lt;&gt;$B$11)+--(INDEX(H27:H76,$B$6)&lt;&gt;$B$12)+--(INDEX(I27:I76,$B$6)&lt;&gt;$B$13)+--(INDEX(J27:J76,$B$6)&lt;&gt;$B$14)+--(INDEX(K27:K76,$B$6)&lt;&gt;$B$15)+--(INDEX(L27:L76,$B$6)&lt;&gt;$B$16)+--(INDEX(M27:M76,$B$6)&lt;&gt;$B$17)+--(INDEX(N27:N76,$B$6)&lt;&gt;$B$18)+--(INDEX(O27:O76,$B$6)&lt;&gt;$B$19)+--(INDEX(P27:P76,$B$6)&lt;&gt;$B$20)+--(INDEX(Q27:Q76,$B$6)&lt;&gt;$B$21)+--(INDEX(R27:R76,$B$6)&lt;&gt;$B$22)</f>
        <v>0</v>
      </c>
    </row>
    <row r="10" customFormat="false" ht="15" hidden="false" customHeight="false" outlineLevel="0" collapsed="false">
      <c r="A10" s="2" t="s">
        <v>119</v>
      </c>
      <c r="B10" s="2" t="s">
        <v>149</v>
      </c>
      <c r="C10" s="2" t="s">
        <v>150</v>
      </c>
    </row>
    <row r="11" customFormat="false" ht="15" hidden="false" customHeight="false" outlineLevel="0" collapsed="false">
      <c r="A11" s="3" t="s">
        <v>126</v>
      </c>
      <c r="B11" s="3" t="n">
        <v>80.2293333333333</v>
      </c>
      <c r="C11" s="4" t="n">
        <f aca="false">ABS(B11-$B$2)</f>
        <v>0.157666666666643</v>
      </c>
    </row>
    <row r="12" customFormat="false" ht="15" hidden="false" customHeight="false" outlineLevel="0" collapsed="false">
      <c r="A12" s="3" t="s">
        <v>127</v>
      </c>
      <c r="B12" s="3" t="n">
        <v>80.086</v>
      </c>
      <c r="C12" s="4" t="n">
        <f aca="false">ABS(B12-$B$2)</f>
        <v>0.0143333333333402</v>
      </c>
    </row>
    <row r="13" customFormat="false" ht="15" hidden="false" customHeight="false" outlineLevel="0" collapsed="false">
      <c r="A13" s="3" t="s">
        <v>128</v>
      </c>
      <c r="B13" s="3" t="n">
        <v>80.056</v>
      </c>
      <c r="C13" s="4" t="n">
        <f aca="false">ABS(B13-$B$2)</f>
        <v>0.0156666666666609</v>
      </c>
    </row>
    <row r="14" customFormat="false" ht="15" hidden="false" customHeight="false" outlineLevel="0" collapsed="false">
      <c r="A14" s="3" t="s">
        <v>129</v>
      </c>
      <c r="B14" s="3" t="n">
        <v>80.031</v>
      </c>
      <c r="C14" s="4" t="n">
        <f aca="false">ABS(B14-$B$2)</f>
        <v>0.0406666666666524</v>
      </c>
    </row>
    <row r="15" customFormat="false" ht="15" hidden="false" customHeight="false" outlineLevel="0" collapsed="false">
      <c r="A15" s="3" t="s">
        <v>130</v>
      </c>
      <c r="B15" s="3" t="n">
        <v>80.0573333333333</v>
      </c>
      <c r="C15" s="4" t="n">
        <f aca="false">ABS(B15-$B$2)</f>
        <v>0.0143333333333544</v>
      </c>
    </row>
    <row r="16" customFormat="false" ht="15" hidden="false" customHeight="false" outlineLevel="0" collapsed="false">
      <c r="A16" s="3" t="s">
        <v>131</v>
      </c>
      <c r="B16" s="3" t="n">
        <v>79.9836666666667</v>
      </c>
      <c r="C16" s="4" t="n">
        <f aca="false">ABS(B16-$B$2)</f>
        <v>0.0879999999999512</v>
      </c>
    </row>
    <row r="17" customFormat="false" ht="15" hidden="false" customHeight="false" outlineLevel="0" collapsed="false">
      <c r="A17" s="3" t="s">
        <v>132</v>
      </c>
      <c r="B17" s="3" t="n">
        <v>80.091</v>
      </c>
      <c r="C17" s="4" t="n">
        <f aca="false">ABS(B17-$B$2)</f>
        <v>0.0193333333333356</v>
      </c>
    </row>
    <row r="18" customFormat="false" ht="15" hidden="false" customHeight="false" outlineLevel="0" collapsed="false">
      <c r="A18" s="3" t="s">
        <v>133</v>
      </c>
      <c r="B18" s="3" t="n">
        <v>80.158</v>
      </c>
      <c r="C18" s="4" t="n">
        <f aca="false">ABS(B18-$B$2)</f>
        <v>0.0863333333333429</v>
      </c>
    </row>
    <row r="19" customFormat="false" ht="15" hidden="false" customHeight="false" outlineLevel="0" collapsed="false">
      <c r="A19" s="3" t="s">
        <v>134</v>
      </c>
      <c r="B19" s="3" t="n">
        <v>80.2606666666667</v>
      </c>
      <c r="C19" s="4" t="n">
        <f aca="false">ABS(B19-$B$2)</f>
        <v>0.189000000000036</v>
      </c>
    </row>
    <row r="20" customFormat="false" ht="15" hidden="false" customHeight="false" outlineLevel="0" collapsed="false">
      <c r="A20" s="3" t="s">
        <v>135</v>
      </c>
      <c r="B20" s="3" t="n">
        <v>79.9916666666667</v>
      </c>
      <c r="C20" s="4" t="n">
        <f aca="false">ABS(B20-$B$2)</f>
        <v>0.0799999999999557</v>
      </c>
    </row>
    <row r="21" customFormat="false" ht="15" hidden="false" customHeight="false" outlineLevel="0" collapsed="false">
      <c r="A21" s="3" t="s">
        <v>136</v>
      </c>
      <c r="B21" s="3" t="n">
        <v>80.0473333333333</v>
      </c>
      <c r="C21" s="4" t="n">
        <f aca="false">ABS(B21-$B$2)</f>
        <v>0.0243333333333595</v>
      </c>
    </row>
    <row r="22" customFormat="false" ht="15" hidden="false" customHeight="false" outlineLevel="0" collapsed="false">
      <c r="A22" s="3" t="s">
        <v>137</v>
      </c>
      <c r="B22" s="3" t="n">
        <v>80.2476666666667</v>
      </c>
      <c r="C22" s="4" t="n">
        <f aca="false">ABS(B22-$B$2)</f>
        <v>0.176000000000045</v>
      </c>
    </row>
    <row r="26" customFormat="false" ht="15" hidden="false" customHeight="false" outlineLevel="0" collapsed="false">
      <c r="A26" s="2" t="s">
        <v>151</v>
      </c>
      <c r="B26" s="2" t="s">
        <v>152</v>
      </c>
      <c r="C26" s="2" t="s">
        <v>153</v>
      </c>
      <c r="D26" s="2" t="s">
        <v>154</v>
      </c>
      <c r="E26" s="2" t="s">
        <v>155</v>
      </c>
      <c r="F26" s="2" t="s">
        <v>156</v>
      </c>
      <c r="G26" s="2" t="s">
        <v>157</v>
      </c>
      <c r="H26" s="2" t="s">
        <v>158</v>
      </c>
      <c r="I26" s="2" t="s">
        <v>159</v>
      </c>
      <c r="J26" s="2" t="s">
        <v>160</v>
      </c>
      <c r="K26" s="2" t="s">
        <v>161</v>
      </c>
      <c r="L26" s="2" t="s">
        <v>162</v>
      </c>
      <c r="M26" s="2" t="s">
        <v>163</v>
      </c>
      <c r="N26" s="2" t="s">
        <v>164</v>
      </c>
      <c r="O26" s="2" t="s">
        <v>165</v>
      </c>
      <c r="P26" s="2" t="s">
        <v>166</v>
      </c>
      <c r="Q26" s="2" t="s">
        <v>167</v>
      </c>
      <c r="R26" s="2" t="s">
        <v>168</v>
      </c>
      <c r="S26" s="2" t="s">
        <v>169</v>
      </c>
      <c r="T26" s="2" t="s">
        <v>170</v>
      </c>
      <c r="U26" s="2" t="s">
        <v>171</v>
      </c>
      <c r="V26" s="2" t="s">
        <v>172</v>
      </c>
      <c r="W26" s="2" t="s">
        <v>173</v>
      </c>
      <c r="X26" s="2" t="s">
        <v>174</v>
      </c>
      <c r="Y26" s="2" t="s">
        <v>175</v>
      </c>
      <c r="Z26" s="2" t="s">
        <v>176</v>
      </c>
      <c r="AA26" s="2" t="s">
        <v>177</v>
      </c>
      <c r="AB26" s="2" t="s">
        <v>178</v>
      </c>
      <c r="AC26" s="2" t="s">
        <v>179</v>
      </c>
    </row>
    <row r="27" customFormat="false" ht="15" hidden="false" customHeight="false" outlineLevel="0" collapsed="false">
      <c r="A27" s="0" t="n">
        <v>1</v>
      </c>
      <c r="B27" s="6" t="n">
        <f aca="false">$B$2</f>
        <v>80.0716666666667</v>
      </c>
      <c r="C27" s="6" t="n">
        <f aca="false">$B$3</f>
        <v>0.0894743333332899</v>
      </c>
      <c r="D27" s="6" t="n">
        <f aca="false">1.5*C27</f>
        <v>0.134211499999935</v>
      </c>
      <c r="E27" s="6" t="n">
        <f aca="false">B27-D27</f>
        <v>79.9374551666667</v>
      </c>
      <c r="F27" s="6" t="n">
        <f aca="false">B27+D27</f>
        <v>80.2058781666666</v>
      </c>
      <c r="G27" s="6" t="n">
        <f aca="false">MIN(MAX($B$11,$E27),$F27)</f>
        <v>80.2058781666666</v>
      </c>
      <c r="H27" s="6" t="n">
        <f aca="false">MIN(MAX($B$12,$E27),$F27)</f>
        <v>80.086</v>
      </c>
      <c r="I27" s="6" t="n">
        <f aca="false">MIN(MAX($B$13,$E27),$F27)</f>
        <v>80.056</v>
      </c>
      <c r="J27" s="6" t="n">
        <f aca="false">MIN(MAX($B$14,$E27),$F27)</f>
        <v>80.031</v>
      </c>
      <c r="K27" s="6" t="n">
        <f aca="false">MIN(MAX($B$15,$E27),$F27)</f>
        <v>80.0573333333333</v>
      </c>
      <c r="L27" s="6" t="n">
        <f aca="false">MIN(MAX($B$16,$E27),$F27)</f>
        <v>79.9836666666667</v>
      </c>
      <c r="M27" s="6" t="n">
        <f aca="false">MIN(MAX($B$17,$E27),$F27)</f>
        <v>80.091</v>
      </c>
      <c r="N27" s="6" t="n">
        <f aca="false">MIN(MAX($B$18,$E27),$F27)</f>
        <v>80.158</v>
      </c>
      <c r="O27" s="6" t="n">
        <f aca="false">MIN(MAX($B$19,$E27),$F27)</f>
        <v>80.2058781666666</v>
      </c>
      <c r="P27" s="6" t="n">
        <f aca="false">MIN(MAX($B$20,$E27),$F27)</f>
        <v>79.9916666666667</v>
      </c>
      <c r="Q27" s="6" t="n">
        <f aca="false">MIN(MAX($B$21,$E27),$F27)</f>
        <v>80.0473333333333</v>
      </c>
      <c r="R27" s="6" t="n">
        <f aca="false">MIN(MAX($B$22,$E27),$F27)</f>
        <v>80.2058781666666</v>
      </c>
      <c r="S27" s="6" t="n">
        <f aca="false">AVERAGE(G27:R27)</f>
        <v>80.093302875</v>
      </c>
      <c r="T27" s="6" t="n">
        <f aca="false">1.134*STDEV(G27:R27)</f>
        <v>0.0925659526356808</v>
      </c>
      <c r="U27" s="6" t="n">
        <f aca="false">ABS(S27-B27)</f>
        <v>0.0216362083333337</v>
      </c>
      <c r="V27" s="6" t="n">
        <f aca="false">ABS(T27-C27)</f>
        <v>0.00309161930239085</v>
      </c>
      <c r="W27" s="6" t="n">
        <f aca="false">IF(OR(NOT(ISNUMBER(B27)),B27=0),B27,ROUND(B27,MAX(3-1-INT(LOG10(ABS(B27))),0)))</f>
        <v>80.1</v>
      </c>
      <c r="X27" s="6" t="n">
        <f aca="false">IF(OR(NOT(ISNUMBER(C27)),C27=0),C27,ROUND(C27,MAX(3-1-INT(LOG10(ABS(C27))),0)))</f>
        <v>0.0895</v>
      </c>
      <c r="Y27" s="6" t="n">
        <f aca="false">IF(OR(NOT(ISNUMBER(S27)),S27=0),S27,ROUND(S27,MAX(3-1-INT(LOG10(ABS(S27))),0)))</f>
        <v>80.1</v>
      </c>
      <c r="Z27" s="6" t="n">
        <f aca="false">IF(OR(NOT(ISNUMBER(T27)),T27=0),T27,ROUND(T27,MAX(3-1-INT(LOG10(ABS(T27))),0)))</f>
        <v>0.0926</v>
      </c>
      <c r="AA27" s="7" t="n">
        <f aca="false">IF(AND(Y27=W27,Z27=X27),1,0)</f>
        <v>0</v>
      </c>
      <c r="AB27" s="7" t="n">
        <f aca="false">IF(AND(U27&lt;$B$4,V27&lt;$B$4),1,0)</f>
        <v>0</v>
      </c>
      <c r="AC27" s="7" t="n">
        <f aca="false">IF(OR(AA27=1,AB27=1),1,0)</f>
        <v>0</v>
      </c>
    </row>
    <row r="28" customFormat="false" ht="15" hidden="false" customHeight="false" outlineLevel="0" collapsed="false">
      <c r="A28" s="0" t="n">
        <v>2</v>
      </c>
      <c r="B28" s="6" t="n">
        <f aca="false">S27</f>
        <v>80.093302875</v>
      </c>
      <c r="C28" s="6" t="n">
        <f aca="false">T27</f>
        <v>0.0925659526356808</v>
      </c>
      <c r="D28" s="6" t="n">
        <f aca="false">1.5*C28</f>
        <v>0.138848928953521</v>
      </c>
      <c r="E28" s="6" t="n">
        <f aca="false">B28-D28</f>
        <v>79.9544539460465</v>
      </c>
      <c r="F28" s="6" t="n">
        <f aca="false">B28+D28</f>
        <v>80.2321518039535</v>
      </c>
      <c r="G28" s="6" t="n">
        <f aca="false">MIN(MAX($B$11,$E28),$F28)</f>
        <v>80.2293333333333</v>
      </c>
      <c r="H28" s="6" t="n">
        <f aca="false">MIN(MAX($B$12,$E28),$F28)</f>
        <v>80.086</v>
      </c>
      <c r="I28" s="6" t="n">
        <f aca="false">MIN(MAX($B$13,$E28),$F28)</f>
        <v>80.056</v>
      </c>
      <c r="J28" s="6" t="n">
        <f aca="false">MIN(MAX($B$14,$E28),$F28)</f>
        <v>80.031</v>
      </c>
      <c r="K28" s="6" t="n">
        <f aca="false">MIN(MAX($B$15,$E28),$F28)</f>
        <v>80.0573333333333</v>
      </c>
      <c r="L28" s="6" t="n">
        <f aca="false">MIN(MAX($B$16,$E28),$F28)</f>
        <v>79.9836666666667</v>
      </c>
      <c r="M28" s="6" t="n">
        <f aca="false">MIN(MAX($B$17,$E28),$F28)</f>
        <v>80.091</v>
      </c>
      <c r="N28" s="6" t="n">
        <f aca="false">MIN(MAX($B$18,$E28),$F28)</f>
        <v>80.158</v>
      </c>
      <c r="O28" s="6" t="n">
        <f aca="false">MIN(MAX($B$19,$E28),$F28)</f>
        <v>80.2321518039535</v>
      </c>
      <c r="P28" s="6" t="n">
        <f aca="false">MIN(MAX($B$20,$E28),$F28)</f>
        <v>79.9916666666667</v>
      </c>
      <c r="Q28" s="6" t="n">
        <f aca="false">MIN(MAX($B$21,$E28),$F28)</f>
        <v>80.0473333333333</v>
      </c>
      <c r="R28" s="6" t="n">
        <f aca="false">MIN(MAX($B$22,$E28),$F28)</f>
        <v>80.2321518039535</v>
      </c>
      <c r="S28" s="6" t="n">
        <f aca="false">AVERAGE(G28:R28)</f>
        <v>80.09963641177</v>
      </c>
      <c r="T28" s="6" t="n">
        <f aca="false">1.134*STDEV(G28:R28)</f>
        <v>0.103626134288493</v>
      </c>
      <c r="U28" s="6" t="n">
        <f aca="false">ABS(S28-B28)</f>
        <v>0.00633353677002901</v>
      </c>
      <c r="V28" s="6" t="n">
        <f aca="false">ABS(T28-C28)</f>
        <v>0.0110601816528124</v>
      </c>
      <c r="W28" s="6" t="n">
        <f aca="false">IF(OR(NOT(ISNUMBER(B28)),B28=0),B28,ROUND(B28,MAX(3-1-INT(LOG10(ABS(B28))),0)))</f>
        <v>80.1</v>
      </c>
      <c r="X28" s="6" t="n">
        <f aca="false">IF(OR(NOT(ISNUMBER(C28)),C28=0),C28,ROUND(C28,MAX(3-1-INT(LOG10(ABS(C28))),0)))</f>
        <v>0.0926</v>
      </c>
      <c r="Y28" s="6" t="n">
        <f aca="false">IF(OR(NOT(ISNUMBER(S28)),S28=0),S28,ROUND(S28,MAX(3-1-INT(LOG10(ABS(S28))),0)))</f>
        <v>80.1</v>
      </c>
      <c r="Z28" s="6" t="n">
        <f aca="false">IF(OR(NOT(ISNUMBER(T28)),T28=0),T28,ROUND(T28,MAX(3-1-INT(LOG10(ABS(T28))),0)))</f>
        <v>0.104</v>
      </c>
      <c r="AA28" s="7" t="n">
        <f aca="false">IF(AND(Y28=W28,Z28=X28),1,0)</f>
        <v>0</v>
      </c>
      <c r="AB28" s="7" t="n">
        <f aca="false">IF(AND(U28&lt;$B$4,V28&lt;$B$4),1,0)</f>
        <v>0</v>
      </c>
      <c r="AC28" s="7" t="n">
        <f aca="false">IF(OR(AA28=1,AB28=1),1,0)</f>
        <v>0</v>
      </c>
    </row>
    <row r="29" customFormat="false" ht="15" hidden="false" customHeight="false" outlineLevel="0" collapsed="false">
      <c r="A29" s="0" t="n">
        <v>3</v>
      </c>
      <c r="B29" s="6" t="n">
        <f aca="false">S28</f>
        <v>80.09963641177</v>
      </c>
      <c r="C29" s="6" t="n">
        <f aca="false">T28</f>
        <v>0.103626134288493</v>
      </c>
      <c r="D29" s="6" t="n">
        <f aca="false">1.5*C29</f>
        <v>0.15543920143274</v>
      </c>
      <c r="E29" s="6" t="n">
        <f aca="false">B29-D29</f>
        <v>79.9441972103373</v>
      </c>
      <c r="F29" s="6" t="n">
        <f aca="false">B29+D29</f>
        <v>80.2550756132028</v>
      </c>
      <c r="G29" s="6" t="n">
        <f aca="false">MIN(MAX($B$11,$E29),$F29)</f>
        <v>80.2293333333333</v>
      </c>
      <c r="H29" s="6" t="n">
        <f aca="false">MIN(MAX($B$12,$E29),$F29)</f>
        <v>80.086</v>
      </c>
      <c r="I29" s="6" t="n">
        <f aca="false">MIN(MAX($B$13,$E29),$F29)</f>
        <v>80.056</v>
      </c>
      <c r="J29" s="6" t="n">
        <f aca="false">MIN(MAX($B$14,$E29),$F29)</f>
        <v>80.031</v>
      </c>
      <c r="K29" s="6" t="n">
        <f aca="false">MIN(MAX($B$15,$E29),$F29)</f>
        <v>80.0573333333333</v>
      </c>
      <c r="L29" s="6" t="n">
        <f aca="false">MIN(MAX($B$16,$E29),$F29)</f>
        <v>79.9836666666667</v>
      </c>
      <c r="M29" s="6" t="n">
        <f aca="false">MIN(MAX($B$17,$E29),$F29)</f>
        <v>80.091</v>
      </c>
      <c r="N29" s="6" t="n">
        <f aca="false">MIN(MAX($B$18,$E29),$F29)</f>
        <v>80.158</v>
      </c>
      <c r="O29" s="6" t="n">
        <f aca="false">MIN(MAX($B$19,$E29),$F29)</f>
        <v>80.2550756132028</v>
      </c>
      <c r="P29" s="6" t="n">
        <f aca="false">MIN(MAX($B$20,$E29),$F29)</f>
        <v>79.9916666666667</v>
      </c>
      <c r="Q29" s="6" t="n">
        <f aca="false">MIN(MAX($B$21,$E29),$F29)</f>
        <v>80.0473333333333</v>
      </c>
      <c r="R29" s="6" t="n">
        <f aca="false">MIN(MAX($B$22,$E29),$F29)</f>
        <v>80.2476666666667</v>
      </c>
      <c r="S29" s="6" t="n">
        <f aca="false">AVERAGE(G29:R29)</f>
        <v>80.1028396344336</v>
      </c>
      <c r="T29" s="6" t="n">
        <f aca="false">1.134*STDEV(G29:R29)</f>
        <v>0.109565131935242</v>
      </c>
      <c r="U29" s="6" t="n">
        <f aca="false">ABS(S29-B29)</f>
        <v>0.00320322266354367</v>
      </c>
      <c r="V29" s="6" t="n">
        <f aca="false">ABS(T29-C29)</f>
        <v>0.00593899764674909</v>
      </c>
      <c r="W29" s="6" t="n">
        <f aca="false">IF(OR(NOT(ISNUMBER(B29)),B29=0),B29,ROUND(B29,MAX(3-1-INT(LOG10(ABS(B29))),0)))</f>
        <v>80.1</v>
      </c>
      <c r="X29" s="6" t="n">
        <f aca="false">IF(OR(NOT(ISNUMBER(C29)),C29=0),C29,ROUND(C29,MAX(3-1-INT(LOG10(ABS(C29))),0)))</f>
        <v>0.104</v>
      </c>
      <c r="Y29" s="6" t="n">
        <f aca="false">IF(OR(NOT(ISNUMBER(S29)),S29=0),S29,ROUND(S29,MAX(3-1-INT(LOG10(ABS(S29))),0)))</f>
        <v>80.1</v>
      </c>
      <c r="Z29" s="6" t="n">
        <f aca="false">IF(OR(NOT(ISNUMBER(T29)),T29=0),T29,ROUND(T29,MAX(3-1-INT(LOG10(ABS(T29))),0)))</f>
        <v>0.11</v>
      </c>
      <c r="AA29" s="7" t="n">
        <f aca="false">IF(AND(Y29=W29,Z29=X29),1,0)</f>
        <v>0</v>
      </c>
      <c r="AB29" s="7" t="n">
        <f aca="false">IF(AND(U29&lt;$B$4,V29&lt;$B$4),1,0)</f>
        <v>0</v>
      </c>
      <c r="AC29" s="7" t="n">
        <f aca="false">IF(OR(AA29=1,AB29=1),1,0)</f>
        <v>0</v>
      </c>
    </row>
    <row r="30" customFormat="false" ht="15" hidden="false" customHeight="false" outlineLevel="0" collapsed="false">
      <c r="A30" s="0" t="n">
        <v>4</v>
      </c>
      <c r="B30" s="6" t="n">
        <f aca="false">S29</f>
        <v>80.1028396344336</v>
      </c>
      <c r="C30" s="6" t="n">
        <f aca="false">T29</f>
        <v>0.109565131935242</v>
      </c>
      <c r="D30" s="6" t="n">
        <f aca="false">1.5*C30</f>
        <v>0.164347697902863</v>
      </c>
      <c r="E30" s="6" t="n">
        <f aca="false">B30-D30</f>
        <v>79.9384919365307</v>
      </c>
      <c r="F30" s="6" t="n">
        <f aca="false">B30+D30</f>
        <v>80.2671873323364</v>
      </c>
      <c r="G30" s="6" t="n">
        <f aca="false">MIN(MAX($B$11,$E30),$F30)</f>
        <v>80.2293333333333</v>
      </c>
      <c r="H30" s="6" t="n">
        <f aca="false">MIN(MAX($B$12,$E30),$F30)</f>
        <v>80.086</v>
      </c>
      <c r="I30" s="6" t="n">
        <f aca="false">MIN(MAX($B$13,$E30),$F30)</f>
        <v>80.056</v>
      </c>
      <c r="J30" s="6" t="n">
        <f aca="false">MIN(MAX($B$14,$E30),$F30)</f>
        <v>80.031</v>
      </c>
      <c r="K30" s="6" t="n">
        <f aca="false">MIN(MAX($B$15,$E30),$F30)</f>
        <v>80.0573333333333</v>
      </c>
      <c r="L30" s="6" t="n">
        <f aca="false">MIN(MAX($B$16,$E30),$F30)</f>
        <v>79.9836666666667</v>
      </c>
      <c r="M30" s="6" t="n">
        <f aca="false">MIN(MAX($B$17,$E30),$F30)</f>
        <v>80.091</v>
      </c>
      <c r="N30" s="6" t="n">
        <f aca="false">MIN(MAX($B$18,$E30),$F30)</f>
        <v>80.158</v>
      </c>
      <c r="O30" s="6" t="n">
        <f aca="false">MIN(MAX($B$19,$E30),$F30)</f>
        <v>80.2606666666667</v>
      </c>
      <c r="P30" s="6" t="n">
        <f aca="false">MIN(MAX($B$20,$E30),$F30)</f>
        <v>79.9916666666667</v>
      </c>
      <c r="Q30" s="6" t="n">
        <f aca="false">MIN(MAX($B$21,$E30),$F30)</f>
        <v>80.0473333333333</v>
      </c>
      <c r="R30" s="6" t="n">
        <f aca="false">MIN(MAX($B$22,$E30),$F30)</f>
        <v>80.2476666666667</v>
      </c>
      <c r="S30" s="6" t="n">
        <f aca="false">AVERAGE(G30:R30)</f>
        <v>80.1033055555556</v>
      </c>
      <c r="T30" s="6" t="n">
        <f aca="false">1.134*STDEV(G30:R30)</f>
        <v>0.11048474010016</v>
      </c>
      <c r="U30" s="6" t="n">
        <f aca="false">ABS(S30-B30)</f>
        <v>0.000465921122000168</v>
      </c>
      <c r="V30" s="6" t="n">
        <f aca="false">ABS(T30-C30)</f>
        <v>0.000919608164917943</v>
      </c>
      <c r="W30" s="6" t="n">
        <f aca="false">IF(OR(NOT(ISNUMBER(B30)),B30=0),B30,ROUND(B30,MAX(3-1-INT(LOG10(ABS(B30))),0)))</f>
        <v>80.1</v>
      </c>
      <c r="X30" s="6" t="n">
        <f aca="false">IF(OR(NOT(ISNUMBER(C30)),C30=0),C30,ROUND(C30,MAX(3-1-INT(LOG10(ABS(C30))),0)))</f>
        <v>0.11</v>
      </c>
      <c r="Y30" s="6" t="n">
        <f aca="false">IF(OR(NOT(ISNUMBER(S30)),S30=0),S30,ROUND(S30,MAX(3-1-INT(LOG10(ABS(S30))),0)))</f>
        <v>80.1</v>
      </c>
      <c r="Z30" s="6" t="n">
        <f aca="false">IF(OR(NOT(ISNUMBER(T30)),T30=0),T30,ROUND(T30,MAX(3-1-INT(LOG10(ABS(T30))),0)))</f>
        <v>0.11</v>
      </c>
      <c r="AA30" s="7" t="n">
        <f aca="false">IF(AND(Y30=W30,Z30=X30),1,0)</f>
        <v>1</v>
      </c>
      <c r="AB30" s="7" t="n">
        <f aca="false">IF(AND(U30&lt;$B$4,V30&lt;$B$4),1,0)</f>
        <v>0</v>
      </c>
      <c r="AC30" s="7" t="n">
        <f aca="false">IF(OR(AA30=1,AB30=1),1,0)</f>
        <v>1</v>
      </c>
    </row>
    <row r="31" customFormat="false" ht="15" hidden="false" customHeight="false" outlineLevel="0" collapsed="false">
      <c r="A31" s="0" t="n">
        <v>5</v>
      </c>
      <c r="B31" s="6" t="n">
        <f aca="false">S30</f>
        <v>80.1033055555556</v>
      </c>
      <c r="C31" s="6" t="n">
        <f aca="false">T30</f>
        <v>0.11048474010016</v>
      </c>
      <c r="D31" s="6" t="n">
        <f aca="false">1.5*C31</f>
        <v>0.16572711015024</v>
      </c>
      <c r="E31" s="6" t="n">
        <f aca="false">B31-D31</f>
        <v>79.9375784454053</v>
      </c>
      <c r="F31" s="6" t="n">
        <f aca="false">B31+D31</f>
        <v>80.2690326657058</v>
      </c>
      <c r="G31" s="6" t="n">
        <f aca="false">MIN(MAX($B$11,$E31),$F31)</f>
        <v>80.2293333333333</v>
      </c>
      <c r="H31" s="6" t="n">
        <f aca="false">MIN(MAX($B$12,$E31),$F31)</f>
        <v>80.086</v>
      </c>
      <c r="I31" s="6" t="n">
        <f aca="false">MIN(MAX($B$13,$E31),$F31)</f>
        <v>80.056</v>
      </c>
      <c r="J31" s="6" t="n">
        <f aca="false">MIN(MAX($B$14,$E31),$F31)</f>
        <v>80.031</v>
      </c>
      <c r="K31" s="6" t="n">
        <f aca="false">MIN(MAX($B$15,$E31),$F31)</f>
        <v>80.0573333333333</v>
      </c>
      <c r="L31" s="6" t="n">
        <f aca="false">MIN(MAX($B$16,$E31),$F31)</f>
        <v>79.9836666666667</v>
      </c>
      <c r="M31" s="6" t="n">
        <f aca="false">MIN(MAX($B$17,$E31),$F31)</f>
        <v>80.091</v>
      </c>
      <c r="N31" s="6" t="n">
        <f aca="false">MIN(MAX($B$18,$E31),$F31)</f>
        <v>80.158</v>
      </c>
      <c r="O31" s="6" t="n">
        <f aca="false">MIN(MAX($B$19,$E31),$F31)</f>
        <v>80.2606666666667</v>
      </c>
      <c r="P31" s="6" t="n">
        <f aca="false">MIN(MAX($B$20,$E31),$F31)</f>
        <v>79.9916666666667</v>
      </c>
      <c r="Q31" s="6" t="n">
        <f aca="false">MIN(MAX($B$21,$E31),$F31)</f>
        <v>80.0473333333333</v>
      </c>
      <c r="R31" s="6" t="n">
        <f aca="false">MIN(MAX($B$22,$E31),$F31)</f>
        <v>80.2476666666667</v>
      </c>
      <c r="S31" s="6" t="n">
        <f aca="false">AVERAGE(G31:R31)</f>
        <v>80.1033055555556</v>
      </c>
      <c r="T31" s="6" t="n">
        <f aca="false">1.134*STDEV(G31:R31)</f>
        <v>0.11048474010016</v>
      </c>
      <c r="U31" s="6" t="n">
        <f aca="false">ABS(S31-B31)</f>
        <v>0</v>
      </c>
      <c r="V31" s="6" t="n">
        <f aca="false">ABS(T31-C31)</f>
        <v>0</v>
      </c>
      <c r="W31" s="6" t="n">
        <f aca="false">IF(OR(NOT(ISNUMBER(B31)),B31=0),B31,ROUND(B31,MAX(3-1-INT(LOG10(ABS(B31))),0)))</f>
        <v>80.1</v>
      </c>
      <c r="X31" s="6" t="n">
        <f aca="false">IF(OR(NOT(ISNUMBER(C31)),C31=0),C31,ROUND(C31,MAX(3-1-INT(LOG10(ABS(C31))),0)))</f>
        <v>0.11</v>
      </c>
      <c r="Y31" s="6" t="n">
        <f aca="false">IF(OR(NOT(ISNUMBER(S31)),S31=0),S31,ROUND(S31,MAX(3-1-INT(LOG10(ABS(S31))),0)))</f>
        <v>80.1</v>
      </c>
      <c r="Z31" s="6" t="n">
        <f aca="false">IF(OR(NOT(ISNUMBER(T31)),T31=0),T31,ROUND(T31,MAX(3-1-INT(LOG10(ABS(T31))),0)))</f>
        <v>0.11</v>
      </c>
      <c r="AA31" s="7" t="n">
        <f aca="false">IF(AND(Y31=W31,Z31=X31),1,0)</f>
        <v>1</v>
      </c>
      <c r="AB31" s="7" t="n">
        <f aca="false">IF(AND(U31&lt;$B$4,V31&lt;$B$4),1,0)</f>
        <v>1</v>
      </c>
      <c r="AC31" s="7" t="n">
        <f aca="false">IF(OR(AA31=1,AB31=1),1,0)</f>
        <v>1</v>
      </c>
    </row>
    <row r="32" customFormat="false" ht="15" hidden="false" customHeight="false" outlineLevel="0" collapsed="false">
      <c r="A32" s="0" t="n">
        <v>6</v>
      </c>
      <c r="B32" s="6" t="n">
        <f aca="false">S31</f>
        <v>80.1033055555556</v>
      </c>
      <c r="C32" s="6" t="n">
        <f aca="false">T31</f>
        <v>0.11048474010016</v>
      </c>
      <c r="D32" s="6" t="n">
        <f aca="false">1.5*C32</f>
        <v>0.16572711015024</v>
      </c>
      <c r="E32" s="6" t="n">
        <f aca="false">B32-D32</f>
        <v>79.9375784454053</v>
      </c>
      <c r="F32" s="6" t="n">
        <f aca="false">B32+D32</f>
        <v>80.2690326657058</v>
      </c>
      <c r="G32" s="6" t="n">
        <f aca="false">MIN(MAX($B$11,$E32),$F32)</f>
        <v>80.2293333333333</v>
      </c>
      <c r="H32" s="6" t="n">
        <f aca="false">MIN(MAX($B$12,$E32),$F32)</f>
        <v>80.086</v>
      </c>
      <c r="I32" s="6" t="n">
        <f aca="false">MIN(MAX($B$13,$E32),$F32)</f>
        <v>80.056</v>
      </c>
      <c r="J32" s="6" t="n">
        <f aca="false">MIN(MAX($B$14,$E32),$F32)</f>
        <v>80.031</v>
      </c>
      <c r="K32" s="6" t="n">
        <f aca="false">MIN(MAX($B$15,$E32),$F32)</f>
        <v>80.0573333333333</v>
      </c>
      <c r="L32" s="6" t="n">
        <f aca="false">MIN(MAX($B$16,$E32),$F32)</f>
        <v>79.9836666666667</v>
      </c>
      <c r="M32" s="6" t="n">
        <f aca="false">MIN(MAX($B$17,$E32),$F32)</f>
        <v>80.091</v>
      </c>
      <c r="N32" s="6" t="n">
        <f aca="false">MIN(MAX($B$18,$E32),$F32)</f>
        <v>80.158</v>
      </c>
      <c r="O32" s="6" t="n">
        <f aca="false">MIN(MAX($B$19,$E32),$F32)</f>
        <v>80.2606666666667</v>
      </c>
      <c r="P32" s="6" t="n">
        <f aca="false">MIN(MAX($B$20,$E32),$F32)</f>
        <v>79.9916666666667</v>
      </c>
      <c r="Q32" s="6" t="n">
        <f aca="false">MIN(MAX($B$21,$E32),$F32)</f>
        <v>80.0473333333333</v>
      </c>
      <c r="R32" s="6" t="n">
        <f aca="false">MIN(MAX($B$22,$E32),$F32)</f>
        <v>80.2476666666667</v>
      </c>
      <c r="S32" s="6" t="n">
        <f aca="false">AVERAGE(G32:R32)</f>
        <v>80.1033055555556</v>
      </c>
      <c r="T32" s="6" t="n">
        <f aca="false">1.134*STDEV(G32:R32)</f>
        <v>0.11048474010016</v>
      </c>
      <c r="U32" s="6" t="n">
        <f aca="false">ABS(S32-B32)</f>
        <v>0</v>
      </c>
      <c r="V32" s="6" t="n">
        <f aca="false">ABS(T32-C32)</f>
        <v>0</v>
      </c>
      <c r="W32" s="6" t="n">
        <f aca="false">IF(OR(NOT(ISNUMBER(B32)),B32=0),B32,ROUND(B32,MAX(3-1-INT(LOG10(ABS(B32))),0)))</f>
        <v>80.1</v>
      </c>
      <c r="X32" s="6" t="n">
        <f aca="false">IF(OR(NOT(ISNUMBER(C32)),C32=0),C32,ROUND(C32,MAX(3-1-INT(LOG10(ABS(C32))),0)))</f>
        <v>0.11</v>
      </c>
      <c r="Y32" s="6" t="n">
        <f aca="false">IF(OR(NOT(ISNUMBER(S32)),S32=0),S32,ROUND(S32,MAX(3-1-INT(LOG10(ABS(S32))),0)))</f>
        <v>80.1</v>
      </c>
      <c r="Z32" s="6" t="n">
        <f aca="false">IF(OR(NOT(ISNUMBER(T32)),T32=0),T32,ROUND(T32,MAX(3-1-INT(LOG10(ABS(T32))),0)))</f>
        <v>0.11</v>
      </c>
      <c r="AA32" s="7" t="n">
        <f aca="false">IF(AND(Y32=W32,Z32=X32),1,0)</f>
        <v>1</v>
      </c>
      <c r="AB32" s="7" t="n">
        <f aca="false">IF(AND(U32&lt;$B$4,V32&lt;$B$4),1,0)</f>
        <v>1</v>
      </c>
      <c r="AC32" s="7" t="n">
        <f aca="false">IF(OR(AA32=1,AB32=1),1,0)</f>
        <v>1</v>
      </c>
    </row>
    <row r="33" customFormat="false" ht="15" hidden="false" customHeight="false" outlineLevel="0" collapsed="false">
      <c r="A33" s="0" t="n">
        <v>7</v>
      </c>
      <c r="B33" s="6" t="n">
        <f aca="false">S32</f>
        <v>80.1033055555556</v>
      </c>
      <c r="C33" s="6" t="n">
        <f aca="false">T32</f>
        <v>0.11048474010016</v>
      </c>
      <c r="D33" s="6" t="n">
        <f aca="false">1.5*C33</f>
        <v>0.16572711015024</v>
      </c>
      <c r="E33" s="6" t="n">
        <f aca="false">B33-D33</f>
        <v>79.9375784454053</v>
      </c>
      <c r="F33" s="6" t="n">
        <f aca="false">B33+D33</f>
        <v>80.2690326657058</v>
      </c>
      <c r="G33" s="6" t="n">
        <f aca="false">MIN(MAX($B$11,$E33),$F33)</f>
        <v>80.2293333333333</v>
      </c>
      <c r="H33" s="6" t="n">
        <f aca="false">MIN(MAX($B$12,$E33),$F33)</f>
        <v>80.086</v>
      </c>
      <c r="I33" s="6" t="n">
        <f aca="false">MIN(MAX($B$13,$E33),$F33)</f>
        <v>80.056</v>
      </c>
      <c r="J33" s="6" t="n">
        <f aca="false">MIN(MAX($B$14,$E33),$F33)</f>
        <v>80.031</v>
      </c>
      <c r="K33" s="6" t="n">
        <f aca="false">MIN(MAX($B$15,$E33),$F33)</f>
        <v>80.0573333333333</v>
      </c>
      <c r="L33" s="6" t="n">
        <f aca="false">MIN(MAX($B$16,$E33),$F33)</f>
        <v>79.9836666666667</v>
      </c>
      <c r="M33" s="6" t="n">
        <f aca="false">MIN(MAX($B$17,$E33),$F33)</f>
        <v>80.091</v>
      </c>
      <c r="N33" s="6" t="n">
        <f aca="false">MIN(MAX($B$18,$E33),$F33)</f>
        <v>80.158</v>
      </c>
      <c r="O33" s="6" t="n">
        <f aca="false">MIN(MAX($B$19,$E33),$F33)</f>
        <v>80.2606666666667</v>
      </c>
      <c r="P33" s="6" t="n">
        <f aca="false">MIN(MAX($B$20,$E33),$F33)</f>
        <v>79.9916666666667</v>
      </c>
      <c r="Q33" s="6" t="n">
        <f aca="false">MIN(MAX($B$21,$E33),$F33)</f>
        <v>80.0473333333333</v>
      </c>
      <c r="R33" s="6" t="n">
        <f aca="false">MIN(MAX($B$22,$E33),$F33)</f>
        <v>80.2476666666667</v>
      </c>
      <c r="S33" s="6" t="n">
        <f aca="false">AVERAGE(G33:R33)</f>
        <v>80.1033055555556</v>
      </c>
      <c r="T33" s="6" t="n">
        <f aca="false">1.134*STDEV(G33:R33)</f>
        <v>0.11048474010016</v>
      </c>
      <c r="U33" s="6" t="n">
        <f aca="false">ABS(S33-B33)</f>
        <v>0</v>
      </c>
      <c r="V33" s="6" t="n">
        <f aca="false">ABS(T33-C33)</f>
        <v>0</v>
      </c>
      <c r="W33" s="6" t="n">
        <f aca="false">IF(OR(NOT(ISNUMBER(B33)),B33=0),B33,ROUND(B33,MAX(3-1-INT(LOG10(ABS(B33))),0)))</f>
        <v>80.1</v>
      </c>
      <c r="X33" s="6" t="n">
        <f aca="false">IF(OR(NOT(ISNUMBER(C33)),C33=0),C33,ROUND(C33,MAX(3-1-INT(LOG10(ABS(C33))),0)))</f>
        <v>0.11</v>
      </c>
      <c r="Y33" s="6" t="n">
        <f aca="false">IF(OR(NOT(ISNUMBER(S33)),S33=0),S33,ROUND(S33,MAX(3-1-INT(LOG10(ABS(S33))),0)))</f>
        <v>80.1</v>
      </c>
      <c r="Z33" s="6" t="n">
        <f aca="false">IF(OR(NOT(ISNUMBER(T33)),T33=0),T33,ROUND(T33,MAX(3-1-INT(LOG10(ABS(T33))),0)))</f>
        <v>0.11</v>
      </c>
      <c r="AA33" s="7" t="n">
        <f aca="false">IF(AND(Y33=W33,Z33=X33),1,0)</f>
        <v>1</v>
      </c>
      <c r="AB33" s="7" t="n">
        <f aca="false">IF(AND(U33&lt;$B$4,V33&lt;$B$4),1,0)</f>
        <v>1</v>
      </c>
      <c r="AC33" s="7" t="n">
        <f aca="false">IF(OR(AA33=1,AB33=1),1,0)</f>
        <v>1</v>
      </c>
    </row>
    <row r="34" customFormat="false" ht="15" hidden="false" customHeight="false" outlineLevel="0" collapsed="false">
      <c r="A34" s="0" t="n">
        <v>8</v>
      </c>
      <c r="B34" s="6" t="n">
        <f aca="false">S33</f>
        <v>80.1033055555556</v>
      </c>
      <c r="C34" s="6" t="n">
        <f aca="false">T33</f>
        <v>0.11048474010016</v>
      </c>
      <c r="D34" s="6" t="n">
        <f aca="false">1.5*C34</f>
        <v>0.16572711015024</v>
      </c>
      <c r="E34" s="6" t="n">
        <f aca="false">B34-D34</f>
        <v>79.9375784454053</v>
      </c>
      <c r="F34" s="6" t="n">
        <f aca="false">B34+D34</f>
        <v>80.2690326657058</v>
      </c>
      <c r="G34" s="6" t="n">
        <f aca="false">MIN(MAX($B$11,$E34),$F34)</f>
        <v>80.2293333333333</v>
      </c>
      <c r="H34" s="6" t="n">
        <f aca="false">MIN(MAX($B$12,$E34),$F34)</f>
        <v>80.086</v>
      </c>
      <c r="I34" s="6" t="n">
        <f aca="false">MIN(MAX($B$13,$E34),$F34)</f>
        <v>80.056</v>
      </c>
      <c r="J34" s="6" t="n">
        <f aca="false">MIN(MAX($B$14,$E34),$F34)</f>
        <v>80.031</v>
      </c>
      <c r="K34" s="6" t="n">
        <f aca="false">MIN(MAX($B$15,$E34),$F34)</f>
        <v>80.0573333333333</v>
      </c>
      <c r="L34" s="6" t="n">
        <f aca="false">MIN(MAX($B$16,$E34),$F34)</f>
        <v>79.9836666666667</v>
      </c>
      <c r="M34" s="6" t="n">
        <f aca="false">MIN(MAX($B$17,$E34),$F34)</f>
        <v>80.091</v>
      </c>
      <c r="N34" s="6" t="n">
        <f aca="false">MIN(MAX($B$18,$E34),$F34)</f>
        <v>80.158</v>
      </c>
      <c r="O34" s="6" t="n">
        <f aca="false">MIN(MAX($B$19,$E34),$F34)</f>
        <v>80.2606666666667</v>
      </c>
      <c r="P34" s="6" t="n">
        <f aca="false">MIN(MAX($B$20,$E34),$F34)</f>
        <v>79.9916666666667</v>
      </c>
      <c r="Q34" s="6" t="n">
        <f aca="false">MIN(MAX($B$21,$E34),$F34)</f>
        <v>80.0473333333333</v>
      </c>
      <c r="R34" s="6" t="n">
        <f aca="false">MIN(MAX($B$22,$E34),$F34)</f>
        <v>80.2476666666667</v>
      </c>
      <c r="S34" s="6" t="n">
        <f aca="false">AVERAGE(G34:R34)</f>
        <v>80.1033055555556</v>
      </c>
      <c r="T34" s="6" t="n">
        <f aca="false">1.134*STDEV(G34:R34)</f>
        <v>0.11048474010016</v>
      </c>
      <c r="U34" s="6" t="n">
        <f aca="false">ABS(S34-B34)</f>
        <v>0</v>
      </c>
      <c r="V34" s="6" t="n">
        <f aca="false">ABS(T34-C34)</f>
        <v>0</v>
      </c>
      <c r="W34" s="6" t="n">
        <f aca="false">IF(OR(NOT(ISNUMBER(B34)),B34=0),B34,ROUND(B34,MAX(3-1-INT(LOG10(ABS(B34))),0)))</f>
        <v>80.1</v>
      </c>
      <c r="X34" s="6" t="n">
        <f aca="false">IF(OR(NOT(ISNUMBER(C34)),C34=0),C34,ROUND(C34,MAX(3-1-INT(LOG10(ABS(C34))),0)))</f>
        <v>0.11</v>
      </c>
      <c r="Y34" s="6" t="n">
        <f aca="false">IF(OR(NOT(ISNUMBER(S34)),S34=0),S34,ROUND(S34,MAX(3-1-INT(LOG10(ABS(S34))),0)))</f>
        <v>80.1</v>
      </c>
      <c r="Z34" s="6" t="n">
        <f aca="false">IF(OR(NOT(ISNUMBER(T34)),T34=0),T34,ROUND(T34,MAX(3-1-INT(LOG10(ABS(T34))),0)))</f>
        <v>0.11</v>
      </c>
      <c r="AA34" s="7" t="n">
        <f aca="false">IF(AND(Y34=W34,Z34=X34),1,0)</f>
        <v>1</v>
      </c>
      <c r="AB34" s="7" t="n">
        <f aca="false">IF(AND(U34&lt;$B$4,V34&lt;$B$4),1,0)</f>
        <v>1</v>
      </c>
      <c r="AC34" s="7" t="n">
        <f aca="false">IF(OR(AA34=1,AB34=1),1,0)</f>
        <v>1</v>
      </c>
    </row>
    <row r="35" customFormat="false" ht="15" hidden="false" customHeight="false" outlineLevel="0" collapsed="false">
      <c r="A35" s="0" t="n">
        <v>9</v>
      </c>
      <c r="B35" s="6" t="n">
        <f aca="false">S34</f>
        <v>80.1033055555556</v>
      </c>
      <c r="C35" s="6" t="n">
        <f aca="false">T34</f>
        <v>0.11048474010016</v>
      </c>
      <c r="D35" s="6" t="n">
        <f aca="false">1.5*C35</f>
        <v>0.16572711015024</v>
      </c>
      <c r="E35" s="6" t="n">
        <f aca="false">B35-D35</f>
        <v>79.9375784454053</v>
      </c>
      <c r="F35" s="6" t="n">
        <f aca="false">B35+D35</f>
        <v>80.2690326657058</v>
      </c>
      <c r="G35" s="6" t="n">
        <f aca="false">MIN(MAX($B$11,$E35),$F35)</f>
        <v>80.2293333333333</v>
      </c>
      <c r="H35" s="6" t="n">
        <f aca="false">MIN(MAX($B$12,$E35),$F35)</f>
        <v>80.086</v>
      </c>
      <c r="I35" s="6" t="n">
        <f aca="false">MIN(MAX($B$13,$E35),$F35)</f>
        <v>80.056</v>
      </c>
      <c r="J35" s="6" t="n">
        <f aca="false">MIN(MAX($B$14,$E35),$F35)</f>
        <v>80.031</v>
      </c>
      <c r="K35" s="6" t="n">
        <f aca="false">MIN(MAX($B$15,$E35),$F35)</f>
        <v>80.0573333333333</v>
      </c>
      <c r="L35" s="6" t="n">
        <f aca="false">MIN(MAX($B$16,$E35),$F35)</f>
        <v>79.9836666666667</v>
      </c>
      <c r="M35" s="6" t="n">
        <f aca="false">MIN(MAX($B$17,$E35),$F35)</f>
        <v>80.091</v>
      </c>
      <c r="N35" s="6" t="n">
        <f aca="false">MIN(MAX($B$18,$E35),$F35)</f>
        <v>80.158</v>
      </c>
      <c r="O35" s="6" t="n">
        <f aca="false">MIN(MAX($B$19,$E35),$F35)</f>
        <v>80.2606666666667</v>
      </c>
      <c r="P35" s="6" t="n">
        <f aca="false">MIN(MAX($B$20,$E35),$F35)</f>
        <v>79.9916666666667</v>
      </c>
      <c r="Q35" s="6" t="n">
        <f aca="false">MIN(MAX($B$21,$E35),$F35)</f>
        <v>80.0473333333333</v>
      </c>
      <c r="R35" s="6" t="n">
        <f aca="false">MIN(MAX($B$22,$E35),$F35)</f>
        <v>80.2476666666667</v>
      </c>
      <c r="S35" s="6" t="n">
        <f aca="false">AVERAGE(G35:R35)</f>
        <v>80.1033055555556</v>
      </c>
      <c r="T35" s="6" t="n">
        <f aca="false">1.134*STDEV(G35:R35)</f>
        <v>0.11048474010016</v>
      </c>
      <c r="U35" s="6" t="n">
        <f aca="false">ABS(S35-B35)</f>
        <v>0</v>
      </c>
      <c r="V35" s="6" t="n">
        <f aca="false">ABS(T35-C35)</f>
        <v>0</v>
      </c>
      <c r="W35" s="6" t="n">
        <f aca="false">IF(OR(NOT(ISNUMBER(B35)),B35=0),B35,ROUND(B35,MAX(3-1-INT(LOG10(ABS(B35))),0)))</f>
        <v>80.1</v>
      </c>
      <c r="X35" s="6" t="n">
        <f aca="false">IF(OR(NOT(ISNUMBER(C35)),C35=0),C35,ROUND(C35,MAX(3-1-INT(LOG10(ABS(C35))),0)))</f>
        <v>0.11</v>
      </c>
      <c r="Y35" s="6" t="n">
        <f aca="false">IF(OR(NOT(ISNUMBER(S35)),S35=0),S35,ROUND(S35,MAX(3-1-INT(LOG10(ABS(S35))),0)))</f>
        <v>80.1</v>
      </c>
      <c r="Z35" s="6" t="n">
        <f aca="false">IF(OR(NOT(ISNUMBER(T35)),T35=0),T35,ROUND(T35,MAX(3-1-INT(LOG10(ABS(T35))),0)))</f>
        <v>0.11</v>
      </c>
      <c r="AA35" s="7" t="n">
        <f aca="false">IF(AND(Y35=W35,Z35=X35),1,0)</f>
        <v>1</v>
      </c>
      <c r="AB35" s="7" t="n">
        <f aca="false">IF(AND(U35&lt;$B$4,V35&lt;$B$4),1,0)</f>
        <v>1</v>
      </c>
      <c r="AC35" s="7" t="n">
        <f aca="false">IF(OR(AA35=1,AB35=1),1,0)</f>
        <v>1</v>
      </c>
    </row>
    <row r="36" customFormat="false" ht="15" hidden="false" customHeight="false" outlineLevel="0" collapsed="false">
      <c r="A36" s="0" t="n">
        <v>10</v>
      </c>
      <c r="B36" s="6" t="n">
        <f aca="false">S35</f>
        <v>80.1033055555556</v>
      </c>
      <c r="C36" s="6" t="n">
        <f aca="false">T35</f>
        <v>0.11048474010016</v>
      </c>
      <c r="D36" s="6" t="n">
        <f aca="false">1.5*C36</f>
        <v>0.16572711015024</v>
      </c>
      <c r="E36" s="6" t="n">
        <f aca="false">B36-D36</f>
        <v>79.9375784454053</v>
      </c>
      <c r="F36" s="6" t="n">
        <f aca="false">B36+D36</f>
        <v>80.2690326657058</v>
      </c>
      <c r="G36" s="6" t="n">
        <f aca="false">MIN(MAX($B$11,$E36),$F36)</f>
        <v>80.2293333333333</v>
      </c>
      <c r="H36" s="6" t="n">
        <f aca="false">MIN(MAX($B$12,$E36),$F36)</f>
        <v>80.086</v>
      </c>
      <c r="I36" s="6" t="n">
        <f aca="false">MIN(MAX($B$13,$E36),$F36)</f>
        <v>80.056</v>
      </c>
      <c r="J36" s="6" t="n">
        <f aca="false">MIN(MAX($B$14,$E36),$F36)</f>
        <v>80.031</v>
      </c>
      <c r="K36" s="6" t="n">
        <f aca="false">MIN(MAX($B$15,$E36),$F36)</f>
        <v>80.0573333333333</v>
      </c>
      <c r="L36" s="6" t="n">
        <f aca="false">MIN(MAX($B$16,$E36),$F36)</f>
        <v>79.9836666666667</v>
      </c>
      <c r="M36" s="6" t="n">
        <f aca="false">MIN(MAX($B$17,$E36),$F36)</f>
        <v>80.091</v>
      </c>
      <c r="N36" s="6" t="n">
        <f aca="false">MIN(MAX($B$18,$E36),$F36)</f>
        <v>80.158</v>
      </c>
      <c r="O36" s="6" t="n">
        <f aca="false">MIN(MAX($B$19,$E36),$F36)</f>
        <v>80.2606666666667</v>
      </c>
      <c r="P36" s="6" t="n">
        <f aca="false">MIN(MAX($B$20,$E36),$F36)</f>
        <v>79.9916666666667</v>
      </c>
      <c r="Q36" s="6" t="n">
        <f aca="false">MIN(MAX($B$21,$E36),$F36)</f>
        <v>80.0473333333333</v>
      </c>
      <c r="R36" s="6" t="n">
        <f aca="false">MIN(MAX($B$22,$E36),$F36)</f>
        <v>80.2476666666667</v>
      </c>
      <c r="S36" s="6" t="n">
        <f aca="false">AVERAGE(G36:R36)</f>
        <v>80.1033055555556</v>
      </c>
      <c r="T36" s="6" t="n">
        <f aca="false">1.134*STDEV(G36:R36)</f>
        <v>0.11048474010016</v>
      </c>
      <c r="U36" s="6" t="n">
        <f aca="false">ABS(S36-B36)</f>
        <v>0</v>
      </c>
      <c r="V36" s="6" t="n">
        <f aca="false">ABS(T36-C36)</f>
        <v>0</v>
      </c>
      <c r="W36" s="6" t="n">
        <f aca="false">IF(OR(NOT(ISNUMBER(B36)),B36=0),B36,ROUND(B36,MAX(3-1-INT(LOG10(ABS(B36))),0)))</f>
        <v>80.1</v>
      </c>
      <c r="X36" s="6" t="n">
        <f aca="false">IF(OR(NOT(ISNUMBER(C36)),C36=0),C36,ROUND(C36,MAX(3-1-INT(LOG10(ABS(C36))),0)))</f>
        <v>0.11</v>
      </c>
      <c r="Y36" s="6" t="n">
        <f aca="false">IF(OR(NOT(ISNUMBER(S36)),S36=0),S36,ROUND(S36,MAX(3-1-INT(LOG10(ABS(S36))),0)))</f>
        <v>80.1</v>
      </c>
      <c r="Z36" s="6" t="n">
        <f aca="false">IF(OR(NOT(ISNUMBER(T36)),T36=0),T36,ROUND(T36,MAX(3-1-INT(LOG10(ABS(T36))),0)))</f>
        <v>0.11</v>
      </c>
      <c r="AA36" s="7" t="n">
        <f aca="false">IF(AND(Y36=W36,Z36=X36),1,0)</f>
        <v>1</v>
      </c>
      <c r="AB36" s="7" t="n">
        <f aca="false">IF(AND(U36&lt;$B$4,V36&lt;$B$4),1,0)</f>
        <v>1</v>
      </c>
      <c r="AC36" s="7" t="n">
        <f aca="false">IF(OR(AA36=1,AB36=1),1,0)</f>
        <v>1</v>
      </c>
    </row>
    <row r="37" customFormat="false" ht="15" hidden="false" customHeight="false" outlineLevel="0" collapsed="false">
      <c r="A37" s="0" t="n">
        <v>11</v>
      </c>
      <c r="B37" s="6" t="n">
        <f aca="false">S36</f>
        <v>80.1033055555556</v>
      </c>
      <c r="C37" s="6" t="n">
        <f aca="false">T36</f>
        <v>0.11048474010016</v>
      </c>
      <c r="D37" s="6" t="n">
        <f aca="false">1.5*C37</f>
        <v>0.16572711015024</v>
      </c>
      <c r="E37" s="6" t="n">
        <f aca="false">B37-D37</f>
        <v>79.9375784454053</v>
      </c>
      <c r="F37" s="6" t="n">
        <f aca="false">B37+D37</f>
        <v>80.2690326657058</v>
      </c>
      <c r="G37" s="6" t="n">
        <f aca="false">MIN(MAX($B$11,$E37),$F37)</f>
        <v>80.2293333333333</v>
      </c>
      <c r="H37" s="6" t="n">
        <f aca="false">MIN(MAX($B$12,$E37),$F37)</f>
        <v>80.086</v>
      </c>
      <c r="I37" s="6" t="n">
        <f aca="false">MIN(MAX($B$13,$E37),$F37)</f>
        <v>80.056</v>
      </c>
      <c r="J37" s="6" t="n">
        <f aca="false">MIN(MAX($B$14,$E37),$F37)</f>
        <v>80.031</v>
      </c>
      <c r="K37" s="6" t="n">
        <f aca="false">MIN(MAX($B$15,$E37),$F37)</f>
        <v>80.0573333333333</v>
      </c>
      <c r="L37" s="6" t="n">
        <f aca="false">MIN(MAX($B$16,$E37),$F37)</f>
        <v>79.9836666666667</v>
      </c>
      <c r="M37" s="6" t="n">
        <f aca="false">MIN(MAX($B$17,$E37),$F37)</f>
        <v>80.091</v>
      </c>
      <c r="N37" s="6" t="n">
        <f aca="false">MIN(MAX($B$18,$E37),$F37)</f>
        <v>80.158</v>
      </c>
      <c r="O37" s="6" t="n">
        <f aca="false">MIN(MAX($B$19,$E37),$F37)</f>
        <v>80.2606666666667</v>
      </c>
      <c r="P37" s="6" t="n">
        <f aca="false">MIN(MAX($B$20,$E37),$F37)</f>
        <v>79.9916666666667</v>
      </c>
      <c r="Q37" s="6" t="n">
        <f aca="false">MIN(MAX($B$21,$E37),$F37)</f>
        <v>80.0473333333333</v>
      </c>
      <c r="R37" s="6" t="n">
        <f aca="false">MIN(MAX($B$22,$E37),$F37)</f>
        <v>80.2476666666667</v>
      </c>
      <c r="S37" s="6" t="n">
        <f aca="false">AVERAGE(G37:R37)</f>
        <v>80.1033055555556</v>
      </c>
      <c r="T37" s="6" t="n">
        <f aca="false">1.134*STDEV(G37:R37)</f>
        <v>0.11048474010016</v>
      </c>
      <c r="U37" s="6" t="n">
        <f aca="false">ABS(S37-B37)</f>
        <v>0</v>
      </c>
      <c r="V37" s="6" t="n">
        <f aca="false">ABS(T37-C37)</f>
        <v>0</v>
      </c>
      <c r="W37" s="6" t="n">
        <f aca="false">IF(OR(NOT(ISNUMBER(B37)),B37=0),B37,ROUND(B37,MAX(3-1-INT(LOG10(ABS(B37))),0)))</f>
        <v>80.1</v>
      </c>
      <c r="X37" s="6" t="n">
        <f aca="false">IF(OR(NOT(ISNUMBER(C37)),C37=0),C37,ROUND(C37,MAX(3-1-INT(LOG10(ABS(C37))),0)))</f>
        <v>0.11</v>
      </c>
      <c r="Y37" s="6" t="n">
        <f aca="false">IF(OR(NOT(ISNUMBER(S37)),S37=0),S37,ROUND(S37,MAX(3-1-INT(LOG10(ABS(S37))),0)))</f>
        <v>80.1</v>
      </c>
      <c r="Z37" s="6" t="n">
        <f aca="false">IF(OR(NOT(ISNUMBER(T37)),T37=0),T37,ROUND(T37,MAX(3-1-INT(LOG10(ABS(T37))),0)))</f>
        <v>0.11</v>
      </c>
      <c r="AA37" s="7" t="n">
        <f aca="false">IF(AND(Y37=W37,Z37=X37),1,0)</f>
        <v>1</v>
      </c>
      <c r="AB37" s="7" t="n">
        <f aca="false">IF(AND(U37&lt;$B$4,V37&lt;$B$4),1,0)</f>
        <v>1</v>
      </c>
      <c r="AC37" s="7" t="n">
        <f aca="false">IF(OR(AA37=1,AB37=1),1,0)</f>
        <v>1</v>
      </c>
    </row>
    <row r="38" customFormat="false" ht="15" hidden="false" customHeight="false" outlineLevel="0" collapsed="false">
      <c r="A38" s="0" t="n">
        <v>12</v>
      </c>
      <c r="B38" s="6" t="n">
        <f aca="false">S37</f>
        <v>80.1033055555556</v>
      </c>
      <c r="C38" s="6" t="n">
        <f aca="false">T37</f>
        <v>0.11048474010016</v>
      </c>
      <c r="D38" s="6" t="n">
        <f aca="false">1.5*C38</f>
        <v>0.16572711015024</v>
      </c>
      <c r="E38" s="6" t="n">
        <f aca="false">B38-D38</f>
        <v>79.9375784454053</v>
      </c>
      <c r="F38" s="6" t="n">
        <f aca="false">B38+D38</f>
        <v>80.2690326657058</v>
      </c>
      <c r="G38" s="6" t="n">
        <f aca="false">MIN(MAX($B$11,$E38),$F38)</f>
        <v>80.2293333333333</v>
      </c>
      <c r="H38" s="6" t="n">
        <f aca="false">MIN(MAX($B$12,$E38),$F38)</f>
        <v>80.086</v>
      </c>
      <c r="I38" s="6" t="n">
        <f aca="false">MIN(MAX($B$13,$E38),$F38)</f>
        <v>80.056</v>
      </c>
      <c r="J38" s="6" t="n">
        <f aca="false">MIN(MAX($B$14,$E38),$F38)</f>
        <v>80.031</v>
      </c>
      <c r="K38" s="6" t="n">
        <f aca="false">MIN(MAX($B$15,$E38),$F38)</f>
        <v>80.0573333333333</v>
      </c>
      <c r="L38" s="6" t="n">
        <f aca="false">MIN(MAX($B$16,$E38),$F38)</f>
        <v>79.9836666666667</v>
      </c>
      <c r="M38" s="6" t="n">
        <f aca="false">MIN(MAX($B$17,$E38),$F38)</f>
        <v>80.091</v>
      </c>
      <c r="N38" s="6" t="n">
        <f aca="false">MIN(MAX($B$18,$E38),$F38)</f>
        <v>80.158</v>
      </c>
      <c r="O38" s="6" t="n">
        <f aca="false">MIN(MAX($B$19,$E38),$F38)</f>
        <v>80.2606666666667</v>
      </c>
      <c r="P38" s="6" t="n">
        <f aca="false">MIN(MAX($B$20,$E38),$F38)</f>
        <v>79.9916666666667</v>
      </c>
      <c r="Q38" s="6" t="n">
        <f aca="false">MIN(MAX($B$21,$E38),$F38)</f>
        <v>80.0473333333333</v>
      </c>
      <c r="R38" s="6" t="n">
        <f aca="false">MIN(MAX($B$22,$E38),$F38)</f>
        <v>80.2476666666667</v>
      </c>
      <c r="S38" s="6" t="n">
        <f aca="false">AVERAGE(G38:R38)</f>
        <v>80.1033055555556</v>
      </c>
      <c r="T38" s="6" t="n">
        <f aca="false">1.134*STDEV(G38:R38)</f>
        <v>0.11048474010016</v>
      </c>
      <c r="U38" s="6" t="n">
        <f aca="false">ABS(S38-B38)</f>
        <v>0</v>
      </c>
      <c r="V38" s="6" t="n">
        <f aca="false">ABS(T38-C38)</f>
        <v>0</v>
      </c>
      <c r="W38" s="6" t="n">
        <f aca="false">IF(OR(NOT(ISNUMBER(B38)),B38=0),B38,ROUND(B38,MAX(3-1-INT(LOG10(ABS(B38))),0)))</f>
        <v>80.1</v>
      </c>
      <c r="X38" s="6" t="n">
        <f aca="false">IF(OR(NOT(ISNUMBER(C38)),C38=0),C38,ROUND(C38,MAX(3-1-INT(LOG10(ABS(C38))),0)))</f>
        <v>0.11</v>
      </c>
      <c r="Y38" s="6" t="n">
        <f aca="false">IF(OR(NOT(ISNUMBER(S38)),S38=0),S38,ROUND(S38,MAX(3-1-INT(LOG10(ABS(S38))),0)))</f>
        <v>80.1</v>
      </c>
      <c r="Z38" s="6" t="n">
        <f aca="false">IF(OR(NOT(ISNUMBER(T38)),T38=0),T38,ROUND(T38,MAX(3-1-INT(LOG10(ABS(T38))),0)))</f>
        <v>0.11</v>
      </c>
      <c r="AA38" s="7" t="n">
        <f aca="false">IF(AND(Y38=W38,Z38=X38),1,0)</f>
        <v>1</v>
      </c>
      <c r="AB38" s="7" t="n">
        <f aca="false">IF(AND(U38&lt;$B$4,V38&lt;$B$4),1,0)</f>
        <v>1</v>
      </c>
      <c r="AC38" s="7" t="n">
        <f aca="false">IF(OR(AA38=1,AB38=1),1,0)</f>
        <v>1</v>
      </c>
    </row>
    <row r="39" customFormat="false" ht="15" hidden="false" customHeight="false" outlineLevel="0" collapsed="false">
      <c r="A39" s="0" t="n">
        <v>13</v>
      </c>
      <c r="B39" s="6" t="n">
        <f aca="false">S38</f>
        <v>80.1033055555556</v>
      </c>
      <c r="C39" s="6" t="n">
        <f aca="false">T38</f>
        <v>0.11048474010016</v>
      </c>
      <c r="D39" s="6" t="n">
        <f aca="false">1.5*C39</f>
        <v>0.16572711015024</v>
      </c>
      <c r="E39" s="6" t="n">
        <f aca="false">B39-D39</f>
        <v>79.9375784454053</v>
      </c>
      <c r="F39" s="6" t="n">
        <f aca="false">B39+D39</f>
        <v>80.2690326657058</v>
      </c>
      <c r="G39" s="6" t="n">
        <f aca="false">MIN(MAX($B$11,$E39),$F39)</f>
        <v>80.2293333333333</v>
      </c>
      <c r="H39" s="6" t="n">
        <f aca="false">MIN(MAX($B$12,$E39),$F39)</f>
        <v>80.086</v>
      </c>
      <c r="I39" s="6" t="n">
        <f aca="false">MIN(MAX($B$13,$E39),$F39)</f>
        <v>80.056</v>
      </c>
      <c r="J39" s="6" t="n">
        <f aca="false">MIN(MAX($B$14,$E39),$F39)</f>
        <v>80.031</v>
      </c>
      <c r="K39" s="6" t="n">
        <f aca="false">MIN(MAX($B$15,$E39),$F39)</f>
        <v>80.0573333333333</v>
      </c>
      <c r="L39" s="6" t="n">
        <f aca="false">MIN(MAX($B$16,$E39),$F39)</f>
        <v>79.9836666666667</v>
      </c>
      <c r="M39" s="6" t="n">
        <f aca="false">MIN(MAX($B$17,$E39),$F39)</f>
        <v>80.091</v>
      </c>
      <c r="N39" s="6" t="n">
        <f aca="false">MIN(MAX($B$18,$E39),$F39)</f>
        <v>80.158</v>
      </c>
      <c r="O39" s="6" t="n">
        <f aca="false">MIN(MAX($B$19,$E39),$F39)</f>
        <v>80.2606666666667</v>
      </c>
      <c r="P39" s="6" t="n">
        <f aca="false">MIN(MAX($B$20,$E39),$F39)</f>
        <v>79.9916666666667</v>
      </c>
      <c r="Q39" s="6" t="n">
        <f aca="false">MIN(MAX($B$21,$E39),$F39)</f>
        <v>80.0473333333333</v>
      </c>
      <c r="R39" s="6" t="n">
        <f aca="false">MIN(MAX($B$22,$E39),$F39)</f>
        <v>80.2476666666667</v>
      </c>
      <c r="S39" s="6" t="n">
        <f aca="false">AVERAGE(G39:R39)</f>
        <v>80.1033055555556</v>
      </c>
      <c r="T39" s="6" t="n">
        <f aca="false">1.134*STDEV(G39:R39)</f>
        <v>0.11048474010016</v>
      </c>
      <c r="U39" s="6" t="n">
        <f aca="false">ABS(S39-B39)</f>
        <v>0</v>
      </c>
      <c r="V39" s="6" t="n">
        <f aca="false">ABS(T39-C39)</f>
        <v>0</v>
      </c>
      <c r="W39" s="6" t="n">
        <f aca="false">IF(OR(NOT(ISNUMBER(B39)),B39=0),B39,ROUND(B39,MAX(3-1-INT(LOG10(ABS(B39))),0)))</f>
        <v>80.1</v>
      </c>
      <c r="X39" s="6" t="n">
        <f aca="false">IF(OR(NOT(ISNUMBER(C39)),C39=0),C39,ROUND(C39,MAX(3-1-INT(LOG10(ABS(C39))),0)))</f>
        <v>0.11</v>
      </c>
      <c r="Y39" s="6" t="n">
        <f aca="false">IF(OR(NOT(ISNUMBER(S39)),S39=0),S39,ROUND(S39,MAX(3-1-INT(LOG10(ABS(S39))),0)))</f>
        <v>80.1</v>
      </c>
      <c r="Z39" s="6" t="n">
        <f aca="false">IF(OR(NOT(ISNUMBER(T39)),T39=0),T39,ROUND(T39,MAX(3-1-INT(LOG10(ABS(T39))),0)))</f>
        <v>0.11</v>
      </c>
      <c r="AA39" s="7" t="n">
        <f aca="false">IF(AND(Y39=W39,Z39=X39),1,0)</f>
        <v>1</v>
      </c>
      <c r="AB39" s="7" t="n">
        <f aca="false">IF(AND(U39&lt;$B$4,V39&lt;$B$4),1,0)</f>
        <v>1</v>
      </c>
      <c r="AC39" s="7" t="n">
        <f aca="false">IF(OR(AA39=1,AB39=1),1,0)</f>
        <v>1</v>
      </c>
    </row>
    <row r="40" customFormat="false" ht="15" hidden="false" customHeight="false" outlineLevel="0" collapsed="false">
      <c r="A40" s="0" t="n">
        <v>14</v>
      </c>
      <c r="B40" s="6" t="n">
        <f aca="false">S39</f>
        <v>80.1033055555556</v>
      </c>
      <c r="C40" s="6" t="n">
        <f aca="false">T39</f>
        <v>0.11048474010016</v>
      </c>
      <c r="D40" s="6" t="n">
        <f aca="false">1.5*C40</f>
        <v>0.16572711015024</v>
      </c>
      <c r="E40" s="6" t="n">
        <f aca="false">B40-D40</f>
        <v>79.9375784454053</v>
      </c>
      <c r="F40" s="6" t="n">
        <f aca="false">B40+D40</f>
        <v>80.2690326657058</v>
      </c>
      <c r="G40" s="6" t="n">
        <f aca="false">MIN(MAX($B$11,$E40),$F40)</f>
        <v>80.2293333333333</v>
      </c>
      <c r="H40" s="6" t="n">
        <f aca="false">MIN(MAX($B$12,$E40),$F40)</f>
        <v>80.086</v>
      </c>
      <c r="I40" s="6" t="n">
        <f aca="false">MIN(MAX($B$13,$E40),$F40)</f>
        <v>80.056</v>
      </c>
      <c r="J40" s="6" t="n">
        <f aca="false">MIN(MAX($B$14,$E40),$F40)</f>
        <v>80.031</v>
      </c>
      <c r="K40" s="6" t="n">
        <f aca="false">MIN(MAX($B$15,$E40),$F40)</f>
        <v>80.0573333333333</v>
      </c>
      <c r="L40" s="6" t="n">
        <f aca="false">MIN(MAX($B$16,$E40),$F40)</f>
        <v>79.9836666666667</v>
      </c>
      <c r="M40" s="6" t="n">
        <f aca="false">MIN(MAX($B$17,$E40),$F40)</f>
        <v>80.091</v>
      </c>
      <c r="N40" s="6" t="n">
        <f aca="false">MIN(MAX($B$18,$E40),$F40)</f>
        <v>80.158</v>
      </c>
      <c r="O40" s="6" t="n">
        <f aca="false">MIN(MAX($B$19,$E40),$F40)</f>
        <v>80.2606666666667</v>
      </c>
      <c r="P40" s="6" t="n">
        <f aca="false">MIN(MAX($B$20,$E40),$F40)</f>
        <v>79.9916666666667</v>
      </c>
      <c r="Q40" s="6" t="n">
        <f aca="false">MIN(MAX($B$21,$E40),$F40)</f>
        <v>80.0473333333333</v>
      </c>
      <c r="R40" s="6" t="n">
        <f aca="false">MIN(MAX($B$22,$E40),$F40)</f>
        <v>80.2476666666667</v>
      </c>
      <c r="S40" s="6" t="n">
        <f aca="false">AVERAGE(G40:R40)</f>
        <v>80.1033055555556</v>
      </c>
      <c r="T40" s="6" t="n">
        <f aca="false">1.134*STDEV(G40:R40)</f>
        <v>0.11048474010016</v>
      </c>
      <c r="U40" s="6" t="n">
        <f aca="false">ABS(S40-B40)</f>
        <v>0</v>
      </c>
      <c r="V40" s="6" t="n">
        <f aca="false">ABS(T40-C40)</f>
        <v>0</v>
      </c>
      <c r="W40" s="6" t="n">
        <f aca="false">IF(OR(NOT(ISNUMBER(B40)),B40=0),B40,ROUND(B40,MAX(3-1-INT(LOG10(ABS(B40))),0)))</f>
        <v>80.1</v>
      </c>
      <c r="X40" s="6" t="n">
        <f aca="false">IF(OR(NOT(ISNUMBER(C40)),C40=0),C40,ROUND(C40,MAX(3-1-INT(LOG10(ABS(C40))),0)))</f>
        <v>0.11</v>
      </c>
      <c r="Y40" s="6" t="n">
        <f aca="false">IF(OR(NOT(ISNUMBER(S40)),S40=0),S40,ROUND(S40,MAX(3-1-INT(LOG10(ABS(S40))),0)))</f>
        <v>80.1</v>
      </c>
      <c r="Z40" s="6" t="n">
        <f aca="false">IF(OR(NOT(ISNUMBER(T40)),T40=0),T40,ROUND(T40,MAX(3-1-INT(LOG10(ABS(T40))),0)))</f>
        <v>0.11</v>
      </c>
      <c r="AA40" s="7" t="n">
        <f aca="false">IF(AND(Y40=W40,Z40=X40),1,0)</f>
        <v>1</v>
      </c>
      <c r="AB40" s="7" t="n">
        <f aca="false">IF(AND(U40&lt;$B$4,V40&lt;$B$4),1,0)</f>
        <v>1</v>
      </c>
      <c r="AC40" s="7" t="n">
        <f aca="false">IF(OR(AA40=1,AB40=1),1,0)</f>
        <v>1</v>
      </c>
    </row>
    <row r="41" customFormat="false" ht="15" hidden="false" customHeight="false" outlineLevel="0" collapsed="false">
      <c r="A41" s="0" t="n">
        <v>15</v>
      </c>
      <c r="B41" s="6" t="n">
        <f aca="false">S40</f>
        <v>80.1033055555556</v>
      </c>
      <c r="C41" s="6" t="n">
        <f aca="false">T40</f>
        <v>0.11048474010016</v>
      </c>
      <c r="D41" s="6" t="n">
        <f aca="false">1.5*C41</f>
        <v>0.16572711015024</v>
      </c>
      <c r="E41" s="6" t="n">
        <f aca="false">B41-D41</f>
        <v>79.9375784454053</v>
      </c>
      <c r="F41" s="6" t="n">
        <f aca="false">B41+D41</f>
        <v>80.2690326657058</v>
      </c>
      <c r="G41" s="6" t="n">
        <f aca="false">MIN(MAX($B$11,$E41),$F41)</f>
        <v>80.2293333333333</v>
      </c>
      <c r="H41" s="6" t="n">
        <f aca="false">MIN(MAX($B$12,$E41),$F41)</f>
        <v>80.086</v>
      </c>
      <c r="I41" s="6" t="n">
        <f aca="false">MIN(MAX($B$13,$E41),$F41)</f>
        <v>80.056</v>
      </c>
      <c r="J41" s="6" t="n">
        <f aca="false">MIN(MAX($B$14,$E41),$F41)</f>
        <v>80.031</v>
      </c>
      <c r="K41" s="6" t="n">
        <f aca="false">MIN(MAX($B$15,$E41),$F41)</f>
        <v>80.0573333333333</v>
      </c>
      <c r="L41" s="6" t="n">
        <f aca="false">MIN(MAX($B$16,$E41),$F41)</f>
        <v>79.9836666666667</v>
      </c>
      <c r="M41" s="6" t="n">
        <f aca="false">MIN(MAX($B$17,$E41),$F41)</f>
        <v>80.091</v>
      </c>
      <c r="N41" s="6" t="n">
        <f aca="false">MIN(MAX($B$18,$E41),$F41)</f>
        <v>80.158</v>
      </c>
      <c r="O41" s="6" t="n">
        <f aca="false">MIN(MAX($B$19,$E41),$F41)</f>
        <v>80.2606666666667</v>
      </c>
      <c r="P41" s="6" t="n">
        <f aca="false">MIN(MAX($B$20,$E41),$F41)</f>
        <v>79.9916666666667</v>
      </c>
      <c r="Q41" s="6" t="n">
        <f aca="false">MIN(MAX($B$21,$E41),$F41)</f>
        <v>80.0473333333333</v>
      </c>
      <c r="R41" s="6" t="n">
        <f aca="false">MIN(MAX($B$22,$E41),$F41)</f>
        <v>80.2476666666667</v>
      </c>
      <c r="S41" s="6" t="n">
        <f aca="false">AVERAGE(G41:R41)</f>
        <v>80.1033055555556</v>
      </c>
      <c r="T41" s="6" t="n">
        <f aca="false">1.134*STDEV(G41:R41)</f>
        <v>0.11048474010016</v>
      </c>
      <c r="U41" s="6" t="n">
        <f aca="false">ABS(S41-B41)</f>
        <v>0</v>
      </c>
      <c r="V41" s="6" t="n">
        <f aca="false">ABS(T41-C41)</f>
        <v>0</v>
      </c>
      <c r="W41" s="6" t="n">
        <f aca="false">IF(OR(NOT(ISNUMBER(B41)),B41=0),B41,ROUND(B41,MAX(3-1-INT(LOG10(ABS(B41))),0)))</f>
        <v>80.1</v>
      </c>
      <c r="X41" s="6" t="n">
        <f aca="false">IF(OR(NOT(ISNUMBER(C41)),C41=0),C41,ROUND(C41,MAX(3-1-INT(LOG10(ABS(C41))),0)))</f>
        <v>0.11</v>
      </c>
      <c r="Y41" s="6" t="n">
        <f aca="false">IF(OR(NOT(ISNUMBER(S41)),S41=0),S41,ROUND(S41,MAX(3-1-INT(LOG10(ABS(S41))),0)))</f>
        <v>80.1</v>
      </c>
      <c r="Z41" s="6" t="n">
        <f aca="false">IF(OR(NOT(ISNUMBER(T41)),T41=0),T41,ROUND(T41,MAX(3-1-INT(LOG10(ABS(T41))),0)))</f>
        <v>0.11</v>
      </c>
      <c r="AA41" s="7" t="n">
        <f aca="false">IF(AND(Y41=W41,Z41=X41),1,0)</f>
        <v>1</v>
      </c>
      <c r="AB41" s="7" t="n">
        <f aca="false">IF(AND(U41&lt;$B$4,V41&lt;$B$4),1,0)</f>
        <v>1</v>
      </c>
      <c r="AC41" s="7" t="n">
        <f aca="false">IF(OR(AA41=1,AB41=1),1,0)</f>
        <v>1</v>
      </c>
    </row>
    <row r="42" customFormat="false" ht="15" hidden="false" customHeight="false" outlineLevel="0" collapsed="false">
      <c r="A42" s="0" t="n">
        <v>16</v>
      </c>
      <c r="B42" s="6" t="n">
        <f aca="false">S41</f>
        <v>80.1033055555556</v>
      </c>
      <c r="C42" s="6" t="n">
        <f aca="false">T41</f>
        <v>0.11048474010016</v>
      </c>
      <c r="D42" s="6" t="n">
        <f aca="false">1.5*C42</f>
        <v>0.16572711015024</v>
      </c>
      <c r="E42" s="6" t="n">
        <f aca="false">B42-D42</f>
        <v>79.9375784454053</v>
      </c>
      <c r="F42" s="6" t="n">
        <f aca="false">B42+D42</f>
        <v>80.2690326657058</v>
      </c>
      <c r="G42" s="6" t="n">
        <f aca="false">MIN(MAX($B$11,$E42),$F42)</f>
        <v>80.2293333333333</v>
      </c>
      <c r="H42" s="6" t="n">
        <f aca="false">MIN(MAX($B$12,$E42),$F42)</f>
        <v>80.086</v>
      </c>
      <c r="I42" s="6" t="n">
        <f aca="false">MIN(MAX($B$13,$E42),$F42)</f>
        <v>80.056</v>
      </c>
      <c r="J42" s="6" t="n">
        <f aca="false">MIN(MAX($B$14,$E42),$F42)</f>
        <v>80.031</v>
      </c>
      <c r="K42" s="6" t="n">
        <f aca="false">MIN(MAX($B$15,$E42),$F42)</f>
        <v>80.0573333333333</v>
      </c>
      <c r="L42" s="6" t="n">
        <f aca="false">MIN(MAX($B$16,$E42),$F42)</f>
        <v>79.9836666666667</v>
      </c>
      <c r="M42" s="6" t="n">
        <f aca="false">MIN(MAX($B$17,$E42),$F42)</f>
        <v>80.091</v>
      </c>
      <c r="N42" s="6" t="n">
        <f aca="false">MIN(MAX($B$18,$E42),$F42)</f>
        <v>80.158</v>
      </c>
      <c r="O42" s="6" t="n">
        <f aca="false">MIN(MAX($B$19,$E42),$F42)</f>
        <v>80.2606666666667</v>
      </c>
      <c r="P42" s="6" t="n">
        <f aca="false">MIN(MAX($B$20,$E42),$F42)</f>
        <v>79.9916666666667</v>
      </c>
      <c r="Q42" s="6" t="n">
        <f aca="false">MIN(MAX($B$21,$E42),$F42)</f>
        <v>80.0473333333333</v>
      </c>
      <c r="R42" s="6" t="n">
        <f aca="false">MIN(MAX($B$22,$E42),$F42)</f>
        <v>80.2476666666667</v>
      </c>
      <c r="S42" s="6" t="n">
        <f aca="false">AVERAGE(G42:R42)</f>
        <v>80.1033055555556</v>
      </c>
      <c r="T42" s="6" t="n">
        <f aca="false">1.134*STDEV(G42:R42)</f>
        <v>0.11048474010016</v>
      </c>
      <c r="U42" s="6" t="n">
        <f aca="false">ABS(S42-B42)</f>
        <v>0</v>
      </c>
      <c r="V42" s="6" t="n">
        <f aca="false">ABS(T42-C42)</f>
        <v>0</v>
      </c>
      <c r="W42" s="6" t="n">
        <f aca="false">IF(OR(NOT(ISNUMBER(B42)),B42=0),B42,ROUND(B42,MAX(3-1-INT(LOG10(ABS(B42))),0)))</f>
        <v>80.1</v>
      </c>
      <c r="X42" s="6" t="n">
        <f aca="false">IF(OR(NOT(ISNUMBER(C42)),C42=0),C42,ROUND(C42,MAX(3-1-INT(LOG10(ABS(C42))),0)))</f>
        <v>0.11</v>
      </c>
      <c r="Y42" s="6" t="n">
        <f aca="false">IF(OR(NOT(ISNUMBER(S42)),S42=0),S42,ROUND(S42,MAX(3-1-INT(LOG10(ABS(S42))),0)))</f>
        <v>80.1</v>
      </c>
      <c r="Z42" s="6" t="n">
        <f aca="false">IF(OR(NOT(ISNUMBER(T42)),T42=0),T42,ROUND(T42,MAX(3-1-INT(LOG10(ABS(T42))),0)))</f>
        <v>0.11</v>
      </c>
      <c r="AA42" s="7" t="n">
        <f aca="false">IF(AND(Y42=W42,Z42=X42),1,0)</f>
        <v>1</v>
      </c>
      <c r="AB42" s="7" t="n">
        <f aca="false">IF(AND(U42&lt;$B$4,V42&lt;$B$4),1,0)</f>
        <v>1</v>
      </c>
      <c r="AC42" s="7" t="n">
        <f aca="false">IF(OR(AA42=1,AB42=1),1,0)</f>
        <v>1</v>
      </c>
    </row>
    <row r="43" customFormat="false" ht="15" hidden="false" customHeight="false" outlineLevel="0" collapsed="false">
      <c r="A43" s="0" t="n">
        <v>17</v>
      </c>
      <c r="B43" s="6" t="n">
        <f aca="false">S42</f>
        <v>80.1033055555556</v>
      </c>
      <c r="C43" s="6" t="n">
        <f aca="false">T42</f>
        <v>0.11048474010016</v>
      </c>
      <c r="D43" s="6" t="n">
        <f aca="false">1.5*C43</f>
        <v>0.16572711015024</v>
      </c>
      <c r="E43" s="6" t="n">
        <f aca="false">B43-D43</f>
        <v>79.9375784454053</v>
      </c>
      <c r="F43" s="6" t="n">
        <f aca="false">B43+D43</f>
        <v>80.2690326657058</v>
      </c>
      <c r="G43" s="6" t="n">
        <f aca="false">MIN(MAX($B$11,$E43),$F43)</f>
        <v>80.2293333333333</v>
      </c>
      <c r="H43" s="6" t="n">
        <f aca="false">MIN(MAX($B$12,$E43),$F43)</f>
        <v>80.086</v>
      </c>
      <c r="I43" s="6" t="n">
        <f aca="false">MIN(MAX($B$13,$E43),$F43)</f>
        <v>80.056</v>
      </c>
      <c r="J43" s="6" t="n">
        <f aca="false">MIN(MAX($B$14,$E43),$F43)</f>
        <v>80.031</v>
      </c>
      <c r="K43" s="6" t="n">
        <f aca="false">MIN(MAX($B$15,$E43),$F43)</f>
        <v>80.0573333333333</v>
      </c>
      <c r="L43" s="6" t="n">
        <f aca="false">MIN(MAX($B$16,$E43),$F43)</f>
        <v>79.9836666666667</v>
      </c>
      <c r="M43" s="6" t="n">
        <f aca="false">MIN(MAX($B$17,$E43),$F43)</f>
        <v>80.091</v>
      </c>
      <c r="N43" s="6" t="n">
        <f aca="false">MIN(MAX($B$18,$E43),$F43)</f>
        <v>80.158</v>
      </c>
      <c r="O43" s="6" t="n">
        <f aca="false">MIN(MAX($B$19,$E43),$F43)</f>
        <v>80.2606666666667</v>
      </c>
      <c r="P43" s="6" t="n">
        <f aca="false">MIN(MAX($B$20,$E43),$F43)</f>
        <v>79.9916666666667</v>
      </c>
      <c r="Q43" s="6" t="n">
        <f aca="false">MIN(MAX($B$21,$E43),$F43)</f>
        <v>80.0473333333333</v>
      </c>
      <c r="R43" s="6" t="n">
        <f aca="false">MIN(MAX($B$22,$E43),$F43)</f>
        <v>80.2476666666667</v>
      </c>
      <c r="S43" s="6" t="n">
        <f aca="false">AVERAGE(G43:R43)</f>
        <v>80.1033055555556</v>
      </c>
      <c r="T43" s="6" t="n">
        <f aca="false">1.134*STDEV(G43:R43)</f>
        <v>0.11048474010016</v>
      </c>
      <c r="U43" s="6" t="n">
        <f aca="false">ABS(S43-B43)</f>
        <v>0</v>
      </c>
      <c r="V43" s="6" t="n">
        <f aca="false">ABS(T43-C43)</f>
        <v>0</v>
      </c>
      <c r="W43" s="6" t="n">
        <f aca="false">IF(OR(NOT(ISNUMBER(B43)),B43=0),B43,ROUND(B43,MAX(3-1-INT(LOG10(ABS(B43))),0)))</f>
        <v>80.1</v>
      </c>
      <c r="X43" s="6" t="n">
        <f aca="false">IF(OR(NOT(ISNUMBER(C43)),C43=0),C43,ROUND(C43,MAX(3-1-INT(LOG10(ABS(C43))),0)))</f>
        <v>0.11</v>
      </c>
      <c r="Y43" s="6" t="n">
        <f aca="false">IF(OR(NOT(ISNUMBER(S43)),S43=0),S43,ROUND(S43,MAX(3-1-INT(LOG10(ABS(S43))),0)))</f>
        <v>80.1</v>
      </c>
      <c r="Z43" s="6" t="n">
        <f aca="false">IF(OR(NOT(ISNUMBER(T43)),T43=0),T43,ROUND(T43,MAX(3-1-INT(LOG10(ABS(T43))),0)))</f>
        <v>0.11</v>
      </c>
      <c r="AA43" s="7" t="n">
        <f aca="false">IF(AND(Y43=W43,Z43=X43),1,0)</f>
        <v>1</v>
      </c>
      <c r="AB43" s="7" t="n">
        <f aca="false">IF(AND(U43&lt;$B$4,V43&lt;$B$4),1,0)</f>
        <v>1</v>
      </c>
      <c r="AC43" s="7" t="n">
        <f aca="false">IF(OR(AA43=1,AB43=1),1,0)</f>
        <v>1</v>
      </c>
    </row>
    <row r="44" customFormat="false" ht="15" hidden="false" customHeight="false" outlineLevel="0" collapsed="false">
      <c r="A44" s="0" t="n">
        <v>18</v>
      </c>
      <c r="B44" s="6" t="n">
        <f aca="false">S43</f>
        <v>80.1033055555556</v>
      </c>
      <c r="C44" s="6" t="n">
        <f aca="false">T43</f>
        <v>0.11048474010016</v>
      </c>
      <c r="D44" s="6" t="n">
        <f aca="false">1.5*C44</f>
        <v>0.16572711015024</v>
      </c>
      <c r="E44" s="6" t="n">
        <f aca="false">B44-D44</f>
        <v>79.9375784454053</v>
      </c>
      <c r="F44" s="6" t="n">
        <f aca="false">B44+D44</f>
        <v>80.2690326657058</v>
      </c>
      <c r="G44" s="6" t="n">
        <f aca="false">MIN(MAX($B$11,$E44),$F44)</f>
        <v>80.2293333333333</v>
      </c>
      <c r="H44" s="6" t="n">
        <f aca="false">MIN(MAX($B$12,$E44),$F44)</f>
        <v>80.086</v>
      </c>
      <c r="I44" s="6" t="n">
        <f aca="false">MIN(MAX($B$13,$E44),$F44)</f>
        <v>80.056</v>
      </c>
      <c r="J44" s="6" t="n">
        <f aca="false">MIN(MAX($B$14,$E44),$F44)</f>
        <v>80.031</v>
      </c>
      <c r="K44" s="6" t="n">
        <f aca="false">MIN(MAX($B$15,$E44),$F44)</f>
        <v>80.0573333333333</v>
      </c>
      <c r="L44" s="6" t="n">
        <f aca="false">MIN(MAX($B$16,$E44),$F44)</f>
        <v>79.9836666666667</v>
      </c>
      <c r="M44" s="6" t="n">
        <f aca="false">MIN(MAX($B$17,$E44),$F44)</f>
        <v>80.091</v>
      </c>
      <c r="N44" s="6" t="n">
        <f aca="false">MIN(MAX($B$18,$E44),$F44)</f>
        <v>80.158</v>
      </c>
      <c r="O44" s="6" t="n">
        <f aca="false">MIN(MAX($B$19,$E44),$F44)</f>
        <v>80.2606666666667</v>
      </c>
      <c r="P44" s="6" t="n">
        <f aca="false">MIN(MAX($B$20,$E44),$F44)</f>
        <v>79.9916666666667</v>
      </c>
      <c r="Q44" s="6" t="n">
        <f aca="false">MIN(MAX($B$21,$E44),$F44)</f>
        <v>80.0473333333333</v>
      </c>
      <c r="R44" s="6" t="n">
        <f aca="false">MIN(MAX($B$22,$E44),$F44)</f>
        <v>80.2476666666667</v>
      </c>
      <c r="S44" s="6" t="n">
        <f aca="false">AVERAGE(G44:R44)</f>
        <v>80.1033055555556</v>
      </c>
      <c r="T44" s="6" t="n">
        <f aca="false">1.134*STDEV(G44:R44)</f>
        <v>0.11048474010016</v>
      </c>
      <c r="U44" s="6" t="n">
        <f aca="false">ABS(S44-B44)</f>
        <v>0</v>
      </c>
      <c r="V44" s="6" t="n">
        <f aca="false">ABS(T44-C44)</f>
        <v>0</v>
      </c>
      <c r="W44" s="6" t="n">
        <f aca="false">IF(OR(NOT(ISNUMBER(B44)),B44=0),B44,ROUND(B44,MAX(3-1-INT(LOG10(ABS(B44))),0)))</f>
        <v>80.1</v>
      </c>
      <c r="X44" s="6" t="n">
        <f aca="false">IF(OR(NOT(ISNUMBER(C44)),C44=0),C44,ROUND(C44,MAX(3-1-INT(LOG10(ABS(C44))),0)))</f>
        <v>0.11</v>
      </c>
      <c r="Y44" s="6" t="n">
        <f aca="false">IF(OR(NOT(ISNUMBER(S44)),S44=0),S44,ROUND(S44,MAX(3-1-INT(LOG10(ABS(S44))),0)))</f>
        <v>80.1</v>
      </c>
      <c r="Z44" s="6" t="n">
        <f aca="false">IF(OR(NOT(ISNUMBER(T44)),T44=0),T44,ROUND(T44,MAX(3-1-INT(LOG10(ABS(T44))),0)))</f>
        <v>0.11</v>
      </c>
      <c r="AA44" s="7" t="n">
        <f aca="false">IF(AND(Y44=W44,Z44=X44),1,0)</f>
        <v>1</v>
      </c>
      <c r="AB44" s="7" t="n">
        <f aca="false">IF(AND(U44&lt;$B$4,V44&lt;$B$4),1,0)</f>
        <v>1</v>
      </c>
      <c r="AC44" s="7" t="n">
        <f aca="false">IF(OR(AA44=1,AB44=1),1,0)</f>
        <v>1</v>
      </c>
    </row>
    <row r="45" customFormat="false" ht="15" hidden="false" customHeight="false" outlineLevel="0" collapsed="false">
      <c r="A45" s="0" t="n">
        <v>19</v>
      </c>
      <c r="B45" s="6" t="n">
        <f aca="false">S44</f>
        <v>80.1033055555556</v>
      </c>
      <c r="C45" s="6" t="n">
        <f aca="false">T44</f>
        <v>0.11048474010016</v>
      </c>
      <c r="D45" s="6" t="n">
        <f aca="false">1.5*C45</f>
        <v>0.16572711015024</v>
      </c>
      <c r="E45" s="6" t="n">
        <f aca="false">B45-D45</f>
        <v>79.9375784454053</v>
      </c>
      <c r="F45" s="6" t="n">
        <f aca="false">B45+D45</f>
        <v>80.2690326657058</v>
      </c>
      <c r="G45" s="6" t="n">
        <f aca="false">MIN(MAX($B$11,$E45),$F45)</f>
        <v>80.2293333333333</v>
      </c>
      <c r="H45" s="6" t="n">
        <f aca="false">MIN(MAX($B$12,$E45),$F45)</f>
        <v>80.086</v>
      </c>
      <c r="I45" s="6" t="n">
        <f aca="false">MIN(MAX($B$13,$E45),$F45)</f>
        <v>80.056</v>
      </c>
      <c r="J45" s="6" t="n">
        <f aca="false">MIN(MAX($B$14,$E45),$F45)</f>
        <v>80.031</v>
      </c>
      <c r="K45" s="6" t="n">
        <f aca="false">MIN(MAX($B$15,$E45),$F45)</f>
        <v>80.0573333333333</v>
      </c>
      <c r="L45" s="6" t="n">
        <f aca="false">MIN(MAX($B$16,$E45),$F45)</f>
        <v>79.9836666666667</v>
      </c>
      <c r="M45" s="6" t="n">
        <f aca="false">MIN(MAX($B$17,$E45),$F45)</f>
        <v>80.091</v>
      </c>
      <c r="N45" s="6" t="n">
        <f aca="false">MIN(MAX($B$18,$E45),$F45)</f>
        <v>80.158</v>
      </c>
      <c r="O45" s="6" t="n">
        <f aca="false">MIN(MAX($B$19,$E45),$F45)</f>
        <v>80.2606666666667</v>
      </c>
      <c r="P45" s="6" t="n">
        <f aca="false">MIN(MAX($B$20,$E45),$F45)</f>
        <v>79.9916666666667</v>
      </c>
      <c r="Q45" s="6" t="n">
        <f aca="false">MIN(MAX($B$21,$E45),$F45)</f>
        <v>80.0473333333333</v>
      </c>
      <c r="R45" s="6" t="n">
        <f aca="false">MIN(MAX($B$22,$E45),$F45)</f>
        <v>80.2476666666667</v>
      </c>
      <c r="S45" s="6" t="n">
        <f aca="false">AVERAGE(G45:R45)</f>
        <v>80.1033055555556</v>
      </c>
      <c r="T45" s="6" t="n">
        <f aca="false">1.134*STDEV(G45:R45)</f>
        <v>0.11048474010016</v>
      </c>
      <c r="U45" s="6" t="n">
        <f aca="false">ABS(S45-B45)</f>
        <v>0</v>
      </c>
      <c r="V45" s="6" t="n">
        <f aca="false">ABS(T45-C45)</f>
        <v>0</v>
      </c>
      <c r="W45" s="6" t="n">
        <f aca="false">IF(OR(NOT(ISNUMBER(B45)),B45=0),B45,ROUND(B45,MAX(3-1-INT(LOG10(ABS(B45))),0)))</f>
        <v>80.1</v>
      </c>
      <c r="X45" s="6" t="n">
        <f aca="false">IF(OR(NOT(ISNUMBER(C45)),C45=0),C45,ROUND(C45,MAX(3-1-INT(LOG10(ABS(C45))),0)))</f>
        <v>0.11</v>
      </c>
      <c r="Y45" s="6" t="n">
        <f aca="false">IF(OR(NOT(ISNUMBER(S45)),S45=0),S45,ROUND(S45,MAX(3-1-INT(LOG10(ABS(S45))),0)))</f>
        <v>80.1</v>
      </c>
      <c r="Z45" s="6" t="n">
        <f aca="false">IF(OR(NOT(ISNUMBER(T45)),T45=0),T45,ROUND(T45,MAX(3-1-INT(LOG10(ABS(T45))),0)))</f>
        <v>0.11</v>
      </c>
      <c r="AA45" s="7" t="n">
        <f aca="false">IF(AND(Y45=W45,Z45=X45),1,0)</f>
        <v>1</v>
      </c>
      <c r="AB45" s="7" t="n">
        <f aca="false">IF(AND(U45&lt;$B$4,V45&lt;$B$4),1,0)</f>
        <v>1</v>
      </c>
      <c r="AC45" s="7" t="n">
        <f aca="false">IF(OR(AA45=1,AB45=1),1,0)</f>
        <v>1</v>
      </c>
    </row>
    <row r="46" customFormat="false" ht="15" hidden="false" customHeight="false" outlineLevel="0" collapsed="false">
      <c r="A46" s="0" t="n">
        <v>20</v>
      </c>
      <c r="B46" s="6" t="n">
        <f aca="false">S45</f>
        <v>80.1033055555556</v>
      </c>
      <c r="C46" s="6" t="n">
        <f aca="false">T45</f>
        <v>0.11048474010016</v>
      </c>
      <c r="D46" s="6" t="n">
        <f aca="false">1.5*C46</f>
        <v>0.16572711015024</v>
      </c>
      <c r="E46" s="6" t="n">
        <f aca="false">B46-D46</f>
        <v>79.9375784454053</v>
      </c>
      <c r="F46" s="6" t="n">
        <f aca="false">B46+D46</f>
        <v>80.2690326657058</v>
      </c>
      <c r="G46" s="6" t="n">
        <f aca="false">MIN(MAX($B$11,$E46),$F46)</f>
        <v>80.2293333333333</v>
      </c>
      <c r="H46" s="6" t="n">
        <f aca="false">MIN(MAX($B$12,$E46),$F46)</f>
        <v>80.086</v>
      </c>
      <c r="I46" s="6" t="n">
        <f aca="false">MIN(MAX($B$13,$E46),$F46)</f>
        <v>80.056</v>
      </c>
      <c r="J46" s="6" t="n">
        <f aca="false">MIN(MAX($B$14,$E46),$F46)</f>
        <v>80.031</v>
      </c>
      <c r="K46" s="6" t="n">
        <f aca="false">MIN(MAX($B$15,$E46),$F46)</f>
        <v>80.0573333333333</v>
      </c>
      <c r="L46" s="6" t="n">
        <f aca="false">MIN(MAX($B$16,$E46),$F46)</f>
        <v>79.9836666666667</v>
      </c>
      <c r="M46" s="6" t="n">
        <f aca="false">MIN(MAX($B$17,$E46),$F46)</f>
        <v>80.091</v>
      </c>
      <c r="N46" s="6" t="n">
        <f aca="false">MIN(MAX($B$18,$E46),$F46)</f>
        <v>80.158</v>
      </c>
      <c r="O46" s="6" t="n">
        <f aca="false">MIN(MAX($B$19,$E46),$F46)</f>
        <v>80.2606666666667</v>
      </c>
      <c r="P46" s="6" t="n">
        <f aca="false">MIN(MAX($B$20,$E46),$F46)</f>
        <v>79.9916666666667</v>
      </c>
      <c r="Q46" s="6" t="n">
        <f aca="false">MIN(MAX($B$21,$E46),$F46)</f>
        <v>80.0473333333333</v>
      </c>
      <c r="R46" s="6" t="n">
        <f aca="false">MIN(MAX($B$22,$E46),$F46)</f>
        <v>80.2476666666667</v>
      </c>
      <c r="S46" s="6" t="n">
        <f aca="false">AVERAGE(G46:R46)</f>
        <v>80.1033055555556</v>
      </c>
      <c r="T46" s="6" t="n">
        <f aca="false">1.134*STDEV(G46:R46)</f>
        <v>0.11048474010016</v>
      </c>
      <c r="U46" s="6" t="n">
        <f aca="false">ABS(S46-B46)</f>
        <v>0</v>
      </c>
      <c r="V46" s="6" t="n">
        <f aca="false">ABS(T46-C46)</f>
        <v>0</v>
      </c>
      <c r="W46" s="6" t="n">
        <f aca="false">IF(OR(NOT(ISNUMBER(B46)),B46=0),B46,ROUND(B46,MAX(3-1-INT(LOG10(ABS(B46))),0)))</f>
        <v>80.1</v>
      </c>
      <c r="X46" s="6" t="n">
        <f aca="false">IF(OR(NOT(ISNUMBER(C46)),C46=0),C46,ROUND(C46,MAX(3-1-INT(LOG10(ABS(C46))),0)))</f>
        <v>0.11</v>
      </c>
      <c r="Y46" s="6" t="n">
        <f aca="false">IF(OR(NOT(ISNUMBER(S46)),S46=0),S46,ROUND(S46,MAX(3-1-INT(LOG10(ABS(S46))),0)))</f>
        <v>80.1</v>
      </c>
      <c r="Z46" s="6" t="n">
        <f aca="false">IF(OR(NOT(ISNUMBER(T46)),T46=0),T46,ROUND(T46,MAX(3-1-INT(LOG10(ABS(T46))),0)))</f>
        <v>0.11</v>
      </c>
      <c r="AA46" s="7" t="n">
        <f aca="false">IF(AND(Y46=W46,Z46=X46),1,0)</f>
        <v>1</v>
      </c>
      <c r="AB46" s="7" t="n">
        <f aca="false">IF(AND(U46&lt;$B$4,V46&lt;$B$4),1,0)</f>
        <v>1</v>
      </c>
      <c r="AC46" s="7" t="n">
        <f aca="false">IF(OR(AA46=1,AB46=1),1,0)</f>
        <v>1</v>
      </c>
    </row>
    <row r="47" customFormat="false" ht="15" hidden="false" customHeight="false" outlineLevel="0" collapsed="false">
      <c r="A47" s="0" t="n">
        <v>21</v>
      </c>
      <c r="B47" s="6" t="n">
        <f aca="false">S46</f>
        <v>80.1033055555556</v>
      </c>
      <c r="C47" s="6" t="n">
        <f aca="false">T46</f>
        <v>0.11048474010016</v>
      </c>
      <c r="D47" s="6" t="n">
        <f aca="false">1.5*C47</f>
        <v>0.16572711015024</v>
      </c>
      <c r="E47" s="6" t="n">
        <f aca="false">B47-D47</f>
        <v>79.9375784454053</v>
      </c>
      <c r="F47" s="6" t="n">
        <f aca="false">B47+D47</f>
        <v>80.2690326657058</v>
      </c>
      <c r="G47" s="6" t="n">
        <f aca="false">MIN(MAX($B$11,$E47),$F47)</f>
        <v>80.2293333333333</v>
      </c>
      <c r="H47" s="6" t="n">
        <f aca="false">MIN(MAX($B$12,$E47),$F47)</f>
        <v>80.086</v>
      </c>
      <c r="I47" s="6" t="n">
        <f aca="false">MIN(MAX($B$13,$E47),$F47)</f>
        <v>80.056</v>
      </c>
      <c r="J47" s="6" t="n">
        <f aca="false">MIN(MAX($B$14,$E47),$F47)</f>
        <v>80.031</v>
      </c>
      <c r="K47" s="6" t="n">
        <f aca="false">MIN(MAX($B$15,$E47),$F47)</f>
        <v>80.0573333333333</v>
      </c>
      <c r="L47" s="6" t="n">
        <f aca="false">MIN(MAX($B$16,$E47),$F47)</f>
        <v>79.9836666666667</v>
      </c>
      <c r="M47" s="6" t="n">
        <f aca="false">MIN(MAX($B$17,$E47),$F47)</f>
        <v>80.091</v>
      </c>
      <c r="N47" s="6" t="n">
        <f aca="false">MIN(MAX($B$18,$E47),$F47)</f>
        <v>80.158</v>
      </c>
      <c r="O47" s="6" t="n">
        <f aca="false">MIN(MAX($B$19,$E47),$F47)</f>
        <v>80.2606666666667</v>
      </c>
      <c r="P47" s="6" t="n">
        <f aca="false">MIN(MAX($B$20,$E47),$F47)</f>
        <v>79.9916666666667</v>
      </c>
      <c r="Q47" s="6" t="n">
        <f aca="false">MIN(MAX($B$21,$E47),$F47)</f>
        <v>80.0473333333333</v>
      </c>
      <c r="R47" s="6" t="n">
        <f aca="false">MIN(MAX($B$22,$E47),$F47)</f>
        <v>80.2476666666667</v>
      </c>
      <c r="S47" s="6" t="n">
        <f aca="false">AVERAGE(G47:R47)</f>
        <v>80.1033055555556</v>
      </c>
      <c r="T47" s="6" t="n">
        <f aca="false">1.134*STDEV(G47:R47)</f>
        <v>0.11048474010016</v>
      </c>
      <c r="U47" s="6" t="n">
        <f aca="false">ABS(S47-B47)</f>
        <v>0</v>
      </c>
      <c r="V47" s="6" t="n">
        <f aca="false">ABS(T47-C47)</f>
        <v>0</v>
      </c>
      <c r="W47" s="6" t="n">
        <f aca="false">IF(OR(NOT(ISNUMBER(B47)),B47=0),B47,ROUND(B47,MAX(3-1-INT(LOG10(ABS(B47))),0)))</f>
        <v>80.1</v>
      </c>
      <c r="X47" s="6" t="n">
        <f aca="false">IF(OR(NOT(ISNUMBER(C47)),C47=0),C47,ROUND(C47,MAX(3-1-INT(LOG10(ABS(C47))),0)))</f>
        <v>0.11</v>
      </c>
      <c r="Y47" s="6" t="n">
        <f aca="false">IF(OR(NOT(ISNUMBER(S47)),S47=0),S47,ROUND(S47,MAX(3-1-INT(LOG10(ABS(S47))),0)))</f>
        <v>80.1</v>
      </c>
      <c r="Z47" s="6" t="n">
        <f aca="false">IF(OR(NOT(ISNUMBER(T47)),T47=0),T47,ROUND(T47,MAX(3-1-INT(LOG10(ABS(T47))),0)))</f>
        <v>0.11</v>
      </c>
      <c r="AA47" s="7" t="n">
        <f aca="false">IF(AND(Y47=W47,Z47=X47),1,0)</f>
        <v>1</v>
      </c>
      <c r="AB47" s="7" t="n">
        <f aca="false">IF(AND(U47&lt;$B$4,V47&lt;$B$4),1,0)</f>
        <v>1</v>
      </c>
      <c r="AC47" s="7" t="n">
        <f aca="false">IF(OR(AA47=1,AB47=1),1,0)</f>
        <v>1</v>
      </c>
    </row>
    <row r="48" customFormat="false" ht="15" hidden="false" customHeight="false" outlineLevel="0" collapsed="false">
      <c r="A48" s="0" t="n">
        <v>22</v>
      </c>
      <c r="B48" s="6" t="n">
        <f aca="false">S47</f>
        <v>80.1033055555556</v>
      </c>
      <c r="C48" s="6" t="n">
        <f aca="false">T47</f>
        <v>0.11048474010016</v>
      </c>
      <c r="D48" s="6" t="n">
        <f aca="false">1.5*C48</f>
        <v>0.16572711015024</v>
      </c>
      <c r="E48" s="6" t="n">
        <f aca="false">B48-D48</f>
        <v>79.9375784454053</v>
      </c>
      <c r="F48" s="6" t="n">
        <f aca="false">B48+D48</f>
        <v>80.2690326657058</v>
      </c>
      <c r="G48" s="6" t="n">
        <f aca="false">MIN(MAX($B$11,$E48),$F48)</f>
        <v>80.2293333333333</v>
      </c>
      <c r="H48" s="6" t="n">
        <f aca="false">MIN(MAX($B$12,$E48),$F48)</f>
        <v>80.086</v>
      </c>
      <c r="I48" s="6" t="n">
        <f aca="false">MIN(MAX($B$13,$E48),$F48)</f>
        <v>80.056</v>
      </c>
      <c r="J48" s="6" t="n">
        <f aca="false">MIN(MAX($B$14,$E48),$F48)</f>
        <v>80.031</v>
      </c>
      <c r="K48" s="6" t="n">
        <f aca="false">MIN(MAX($B$15,$E48),$F48)</f>
        <v>80.0573333333333</v>
      </c>
      <c r="L48" s="6" t="n">
        <f aca="false">MIN(MAX($B$16,$E48),$F48)</f>
        <v>79.9836666666667</v>
      </c>
      <c r="M48" s="6" t="n">
        <f aca="false">MIN(MAX($B$17,$E48),$F48)</f>
        <v>80.091</v>
      </c>
      <c r="N48" s="6" t="n">
        <f aca="false">MIN(MAX($B$18,$E48),$F48)</f>
        <v>80.158</v>
      </c>
      <c r="O48" s="6" t="n">
        <f aca="false">MIN(MAX($B$19,$E48),$F48)</f>
        <v>80.2606666666667</v>
      </c>
      <c r="P48" s="6" t="n">
        <f aca="false">MIN(MAX($B$20,$E48),$F48)</f>
        <v>79.9916666666667</v>
      </c>
      <c r="Q48" s="6" t="n">
        <f aca="false">MIN(MAX($B$21,$E48),$F48)</f>
        <v>80.0473333333333</v>
      </c>
      <c r="R48" s="6" t="n">
        <f aca="false">MIN(MAX($B$22,$E48),$F48)</f>
        <v>80.2476666666667</v>
      </c>
      <c r="S48" s="6" t="n">
        <f aca="false">AVERAGE(G48:R48)</f>
        <v>80.1033055555556</v>
      </c>
      <c r="T48" s="6" t="n">
        <f aca="false">1.134*STDEV(G48:R48)</f>
        <v>0.11048474010016</v>
      </c>
      <c r="U48" s="6" t="n">
        <f aca="false">ABS(S48-B48)</f>
        <v>0</v>
      </c>
      <c r="V48" s="6" t="n">
        <f aca="false">ABS(T48-C48)</f>
        <v>0</v>
      </c>
      <c r="W48" s="6" t="n">
        <f aca="false">IF(OR(NOT(ISNUMBER(B48)),B48=0),B48,ROUND(B48,MAX(3-1-INT(LOG10(ABS(B48))),0)))</f>
        <v>80.1</v>
      </c>
      <c r="X48" s="6" t="n">
        <f aca="false">IF(OR(NOT(ISNUMBER(C48)),C48=0),C48,ROUND(C48,MAX(3-1-INT(LOG10(ABS(C48))),0)))</f>
        <v>0.11</v>
      </c>
      <c r="Y48" s="6" t="n">
        <f aca="false">IF(OR(NOT(ISNUMBER(S48)),S48=0),S48,ROUND(S48,MAX(3-1-INT(LOG10(ABS(S48))),0)))</f>
        <v>80.1</v>
      </c>
      <c r="Z48" s="6" t="n">
        <f aca="false">IF(OR(NOT(ISNUMBER(T48)),T48=0),T48,ROUND(T48,MAX(3-1-INT(LOG10(ABS(T48))),0)))</f>
        <v>0.11</v>
      </c>
      <c r="AA48" s="7" t="n">
        <f aca="false">IF(AND(Y48=W48,Z48=X48),1,0)</f>
        <v>1</v>
      </c>
      <c r="AB48" s="7" t="n">
        <f aca="false">IF(AND(U48&lt;$B$4,V48&lt;$B$4),1,0)</f>
        <v>1</v>
      </c>
      <c r="AC48" s="7" t="n">
        <f aca="false">IF(OR(AA48=1,AB48=1),1,0)</f>
        <v>1</v>
      </c>
    </row>
    <row r="49" customFormat="false" ht="15" hidden="false" customHeight="false" outlineLevel="0" collapsed="false">
      <c r="A49" s="0" t="n">
        <v>23</v>
      </c>
      <c r="B49" s="6" t="n">
        <f aca="false">S48</f>
        <v>80.1033055555556</v>
      </c>
      <c r="C49" s="6" t="n">
        <f aca="false">T48</f>
        <v>0.11048474010016</v>
      </c>
      <c r="D49" s="6" t="n">
        <f aca="false">1.5*C49</f>
        <v>0.16572711015024</v>
      </c>
      <c r="E49" s="6" t="n">
        <f aca="false">B49-D49</f>
        <v>79.9375784454053</v>
      </c>
      <c r="F49" s="6" t="n">
        <f aca="false">B49+D49</f>
        <v>80.2690326657058</v>
      </c>
      <c r="G49" s="6" t="n">
        <f aca="false">MIN(MAX($B$11,$E49),$F49)</f>
        <v>80.2293333333333</v>
      </c>
      <c r="H49" s="6" t="n">
        <f aca="false">MIN(MAX($B$12,$E49),$F49)</f>
        <v>80.086</v>
      </c>
      <c r="I49" s="6" t="n">
        <f aca="false">MIN(MAX($B$13,$E49),$F49)</f>
        <v>80.056</v>
      </c>
      <c r="J49" s="6" t="n">
        <f aca="false">MIN(MAX($B$14,$E49),$F49)</f>
        <v>80.031</v>
      </c>
      <c r="K49" s="6" t="n">
        <f aca="false">MIN(MAX($B$15,$E49),$F49)</f>
        <v>80.0573333333333</v>
      </c>
      <c r="L49" s="6" t="n">
        <f aca="false">MIN(MAX($B$16,$E49),$F49)</f>
        <v>79.9836666666667</v>
      </c>
      <c r="M49" s="6" t="n">
        <f aca="false">MIN(MAX($B$17,$E49),$F49)</f>
        <v>80.091</v>
      </c>
      <c r="N49" s="6" t="n">
        <f aca="false">MIN(MAX($B$18,$E49),$F49)</f>
        <v>80.158</v>
      </c>
      <c r="O49" s="6" t="n">
        <f aca="false">MIN(MAX($B$19,$E49),$F49)</f>
        <v>80.2606666666667</v>
      </c>
      <c r="P49" s="6" t="n">
        <f aca="false">MIN(MAX($B$20,$E49),$F49)</f>
        <v>79.9916666666667</v>
      </c>
      <c r="Q49" s="6" t="n">
        <f aca="false">MIN(MAX($B$21,$E49),$F49)</f>
        <v>80.0473333333333</v>
      </c>
      <c r="R49" s="6" t="n">
        <f aca="false">MIN(MAX($B$22,$E49),$F49)</f>
        <v>80.2476666666667</v>
      </c>
      <c r="S49" s="6" t="n">
        <f aca="false">AVERAGE(G49:R49)</f>
        <v>80.1033055555556</v>
      </c>
      <c r="T49" s="6" t="n">
        <f aca="false">1.134*STDEV(G49:R49)</f>
        <v>0.11048474010016</v>
      </c>
      <c r="U49" s="6" t="n">
        <f aca="false">ABS(S49-B49)</f>
        <v>0</v>
      </c>
      <c r="V49" s="6" t="n">
        <f aca="false">ABS(T49-C49)</f>
        <v>0</v>
      </c>
      <c r="W49" s="6" t="n">
        <f aca="false">IF(OR(NOT(ISNUMBER(B49)),B49=0),B49,ROUND(B49,MAX(3-1-INT(LOG10(ABS(B49))),0)))</f>
        <v>80.1</v>
      </c>
      <c r="X49" s="6" t="n">
        <f aca="false">IF(OR(NOT(ISNUMBER(C49)),C49=0),C49,ROUND(C49,MAX(3-1-INT(LOG10(ABS(C49))),0)))</f>
        <v>0.11</v>
      </c>
      <c r="Y49" s="6" t="n">
        <f aca="false">IF(OR(NOT(ISNUMBER(S49)),S49=0),S49,ROUND(S49,MAX(3-1-INT(LOG10(ABS(S49))),0)))</f>
        <v>80.1</v>
      </c>
      <c r="Z49" s="6" t="n">
        <f aca="false">IF(OR(NOT(ISNUMBER(T49)),T49=0),T49,ROUND(T49,MAX(3-1-INT(LOG10(ABS(T49))),0)))</f>
        <v>0.11</v>
      </c>
      <c r="AA49" s="7" t="n">
        <f aca="false">IF(AND(Y49=W49,Z49=X49),1,0)</f>
        <v>1</v>
      </c>
      <c r="AB49" s="7" t="n">
        <f aca="false">IF(AND(U49&lt;$B$4,V49&lt;$B$4),1,0)</f>
        <v>1</v>
      </c>
      <c r="AC49" s="7" t="n">
        <f aca="false">IF(OR(AA49=1,AB49=1),1,0)</f>
        <v>1</v>
      </c>
    </row>
    <row r="50" customFormat="false" ht="15" hidden="false" customHeight="false" outlineLevel="0" collapsed="false">
      <c r="A50" s="0" t="n">
        <v>24</v>
      </c>
      <c r="B50" s="6" t="n">
        <f aca="false">S49</f>
        <v>80.1033055555556</v>
      </c>
      <c r="C50" s="6" t="n">
        <f aca="false">T49</f>
        <v>0.11048474010016</v>
      </c>
      <c r="D50" s="6" t="n">
        <f aca="false">1.5*C50</f>
        <v>0.16572711015024</v>
      </c>
      <c r="E50" s="6" t="n">
        <f aca="false">B50-D50</f>
        <v>79.9375784454053</v>
      </c>
      <c r="F50" s="6" t="n">
        <f aca="false">B50+D50</f>
        <v>80.2690326657058</v>
      </c>
      <c r="G50" s="6" t="n">
        <f aca="false">MIN(MAX($B$11,$E50),$F50)</f>
        <v>80.2293333333333</v>
      </c>
      <c r="H50" s="6" t="n">
        <f aca="false">MIN(MAX($B$12,$E50),$F50)</f>
        <v>80.086</v>
      </c>
      <c r="I50" s="6" t="n">
        <f aca="false">MIN(MAX($B$13,$E50),$F50)</f>
        <v>80.056</v>
      </c>
      <c r="J50" s="6" t="n">
        <f aca="false">MIN(MAX($B$14,$E50),$F50)</f>
        <v>80.031</v>
      </c>
      <c r="K50" s="6" t="n">
        <f aca="false">MIN(MAX($B$15,$E50),$F50)</f>
        <v>80.0573333333333</v>
      </c>
      <c r="L50" s="6" t="n">
        <f aca="false">MIN(MAX($B$16,$E50),$F50)</f>
        <v>79.9836666666667</v>
      </c>
      <c r="M50" s="6" t="n">
        <f aca="false">MIN(MAX($B$17,$E50),$F50)</f>
        <v>80.091</v>
      </c>
      <c r="N50" s="6" t="n">
        <f aca="false">MIN(MAX($B$18,$E50),$F50)</f>
        <v>80.158</v>
      </c>
      <c r="O50" s="6" t="n">
        <f aca="false">MIN(MAX($B$19,$E50),$F50)</f>
        <v>80.2606666666667</v>
      </c>
      <c r="P50" s="6" t="n">
        <f aca="false">MIN(MAX($B$20,$E50),$F50)</f>
        <v>79.9916666666667</v>
      </c>
      <c r="Q50" s="6" t="n">
        <f aca="false">MIN(MAX($B$21,$E50),$F50)</f>
        <v>80.0473333333333</v>
      </c>
      <c r="R50" s="6" t="n">
        <f aca="false">MIN(MAX($B$22,$E50),$F50)</f>
        <v>80.2476666666667</v>
      </c>
      <c r="S50" s="6" t="n">
        <f aca="false">AVERAGE(G50:R50)</f>
        <v>80.1033055555556</v>
      </c>
      <c r="T50" s="6" t="n">
        <f aca="false">1.134*STDEV(G50:R50)</f>
        <v>0.11048474010016</v>
      </c>
      <c r="U50" s="6" t="n">
        <f aca="false">ABS(S50-B50)</f>
        <v>0</v>
      </c>
      <c r="V50" s="6" t="n">
        <f aca="false">ABS(T50-C50)</f>
        <v>0</v>
      </c>
      <c r="W50" s="6" t="n">
        <f aca="false">IF(OR(NOT(ISNUMBER(B50)),B50=0),B50,ROUND(B50,MAX(3-1-INT(LOG10(ABS(B50))),0)))</f>
        <v>80.1</v>
      </c>
      <c r="X50" s="6" t="n">
        <f aca="false">IF(OR(NOT(ISNUMBER(C50)),C50=0),C50,ROUND(C50,MAX(3-1-INT(LOG10(ABS(C50))),0)))</f>
        <v>0.11</v>
      </c>
      <c r="Y50" s="6" t="n">
        <f aca="false">IF(OR(NOT(ISNUMBER(S50)),S50=0),S50,ROUND(S50,MAX(3-1-INT(LOG10(ABS(S50))),0)))</f>
        <v>80.1</v>
      </c>
      <c r="Z50" s="6" t="n">
        <f aca="false">IF(OR(NOT(ISNUMBER(T50)),T50=0),T50,ROUND(T50,MAX(3-1-INT(LOG10(ABS(T50))),0)))</f>
        <v>0.11</v>
      </c>
      <c r="AA50" s="7" t="n">
        <f aca="false">IF(AND(Y50=W50,Z50=X50),1,0)</f>
        <v>1</v>
      </c>
      <c r="AB50" s="7" t="n">
        <f aca="false">IF(AND(U50&lt;$B$4,V50&lt;$B$4),1,0)</f>
        <v>1</v>
      </c>
      <c r="AC50" s="7" t="n">
        <f aca="false">IF(OR(AA50=1,AB50=1),1,0)</f>
        <v>1</v>
      </c>
    </row>
    <row r="51" customFormat="false" ht="15" hidden="false" customHeight="false" outlineLevel="0" collapsed="false">
      <c r="A51" s="0" t="n">
        <v>25</v>
      </c>
      <c r="B51" s="6" t="n">
        <f aca="false">S50</f>
        <v>80.1033055555556</v>
      </c>
      <c r="C51" s="6" t="n">
        <f aca="false">T50</f>
        <v>0.11048474010016</v>
      </c>
      <c r="D51" s="6" t="n">
        <f aca="false">1.5*C51</f>
        <v>0.16572711015024</v>
      </c>
      <c r="E51" s="6" t="n">
        <f aca="false">B51-D51</f>
        <v>79.9375784454053</v>
      </c>
      <c r="F51" s="6" t="n">
        <f aca="false">B51+D51</f>
        <v>80.2690326657058</v>
      </c>
      <c r="G51" s="6" t="n">
        <f aca="false">MIN(MAX($B$11,$E51),$F51)</f>
        <v>80.2293333333333</v>
      </c>
      <c r="H51" s="6" t="n">
        <f aca="false">MIN(MAX($B$12,$E51),$F51)</f>
        <v>80.086</v>
      </c>
      <c r="I51" s="6" t="n">
        <f aca="false">MIN(MAX($B$13,$E51),$F51)</f>
        <v>80.056</v>
      </c>
      <c r="J51" s="6" t="n">
        <f aca="false">MIN(MAX($B$14,$E51),$F51)</f>
        <v>80.031</v>
      </c>
      <c r="K51" s="6" t="n">
        <f aca="false">MIN(MAX($B$15,$E51),$F51)</f>
        <v>80.0573333333333</v>
      </c>
      <c r="L51" s="6" t="n">
        <f aca="false">MIN(MAX($B$16,$E51),$F51)</f>
        <v>79.9836666666667</v>
      </c>
      <c r="M51" s="6" t="n">
        <f aca="false">MIN(MAX($B$17,$E51),$F51)</f>
        <v>80.091</v>
      </c>
      <c r="N51" s="6" t="n">
        <f aca="false">MIN(MAX($B$18,$E51),$F51)</f>
        <v>80.158</v>
      </c>
      <c r="O51" s="6" t="n">
        <f aca="false">MIN(MAX($B$19,$E51),$F51)</f>
        <v>80.2606666666667</v>
      </c>
      <c r="P51" s="6" t="n">
        <f aca="false">MIN(MAX($B$20,$E51),$F51)</f>
        <v>79.9916666666667</v>
      </c>
      <c r="Q51" s="6" t="n">
        <f aca="false">MIN(MAX($B$21,$E51),$F51)</f>
        <v>80.0473333333333</v>
      </c>
      <c r="R51" s="6" t="n">
        <f aca="false">MIN(MAX($B$22,$E51),$F51)</f>
        <v>80.2476666666667</v>
      </c>
      <c r="S51" s="6" t="n">
        <f aca="false">AVERAGE(G51:R51)</f>
        <v>80.1033055555556</v>
      </c>
      <c r="T51" s="6" t="n">
        <f aca="false">1.134*STDEV(G51:R51)</f>
        <v>0.11048474010016</v>
      </c>
      <c r="U51" s="6" t="n">
        <f aca="false">ABS(S51-B51)</f>
        <v>0</v>
      </c>
      <c r="V51" s="6" t="n">
        <f aca="false">ABS(T51-C51)</f>
        <v>0</v>
      </c>
      <c r="W51" s="6" t="n">
        <f aca="false">IF(OR(NOT(ISNUMBER(B51)),B51=0),B51,ROUND(B51,MAX(3-1-INT(LOG10(ABS(B51))),0)))</f>
        <v>80.1</v>
      </c>
      <c r="X51" s="6" t="n">
        <f aca="false">IF(OR(NOT(ISNUMBER(C51)),C51=0),C51,ROUND(C51,MAX(3-1-INT(LOG10(ABS(C51))),0)))</f>
        <v>0.11</v>
      </c>
      <c r="Y51" s="6" t="n">
        <f aca="false">IF(OR(NOT(ISNUMBER(S51)),S51=0),S51,ROUND(S51,MAX(3-1-INT(LOG10(ABS(S51))),0)))</f>
        <v>80.1</v>
      </c>
      <c r="Z51" s="6" t="n">
        <f aca="false">IF(OR(NOT(ISNUMBER(T51)),T51=0),T51,ROUND(T51,MAX(3-1-INT(LOG10(ABS(T51))),0)))</f>
        <v>0.11</v>
      </c>
      <c r="AA51" s="7" t="n">
        <f aca="false">IF(AND(Y51=W51,Z51=X51),1,0)</f>
        <v>1</v>
      </c>
      <c r="AB51" s="7" t="n">
        <f aca="false">IF(AND(U51&lt;$B$4,V51&lt;$B$4),1,0)</f>
        <v>1</v>
      </c>
      <c r="AC51" s="7" t="n">
        <f aca="false">IF(OR(AA51=1,AB51=1),1,0)</f>
        <v>1</v>
      </c>
    </row>
    <row r="52" customFormat="false" ht="15" hidden="false" customHeight="false" outlineLevel="0" collapsed="false">
      <c r="A52" s="0" t="n">
        <v>26</v>
      </c>
      <c r="B52" s="6" t="n">
        <f aca="false">S51</f>
        <v>80.1033055555556</v>
      </c>
      <c r="C52" s="6" t="n">
        <f aca="false">T51</f>
        <v>0.11048474010016</v>
      </c>
      <c r="D52" s="6" t="n">
        <f aca="false">1.5*C52</f>
        <v>0.16572711015024</v>
      </c>
      <c r="E52" s="6" t="n">
        <f aca="false">B52-D52</f>
        <v>79.9375784454053</v>
      </c>
      <c r="F52" s="6" t="n">
        <f aca="false">B52+D52</f>
        <v>80.2690326657058</v>
      </c>
      <c r="G52" s="6" t="n">
        <f aca="false">MIN(MAX($B$11,$E52),$F52)</f>
        <v>80.2293333333333</v>
      </c>
      <c r="H52" s="6" t="n">
        <f aca="false">MIN(MAX($B$12,$E52),$F52)</f>
        <v>80.086</v>
      </c>
      <c r="I52" s="6" t="n">
        <f aca="false">MIN(MAX($B$13,$E52),$F52)</f>
        <v>80.056</v>
      </c>
      <c r="J52" s="6" t="n">
        <f aca="false">MIN(MAX($B$14,$E52),$F52)</f>
        <v>80.031</v>
      </c>
      <c r="K52" s="6" t="n">
        <f aca="false">MIN(MAX($B$15,$E52),$F52)</f>
        <v>80.0573333333333</v>
      </c>
      <c r="L52" s="6" t="n">
        <f aca="false">MIN(MAX($B$16,$E52),$F52)</f>
        <v>79.9836666666667</v>
      </c>
      <c r="M52" s="6" t="n">
        <f aca="false">MIN(MAX($B$17,$E52),$F52)</f>
        <v>80.091</v>
      </c>
      <c r="N52" s="6" t="n">
        <f aca="false">MIN(MAX($B$18,$E52),$F52)</f>
        <v>80.158</v>
      </c>
      <c r="O52" s="6" t="n">
        <f aca="false">MIN(MAX($B$19,$E52),$F52)</f>
        <v>80.2606666666667</v>
      </c>
      <c r="P52" s="6" t="n">
        <f aca="false">MIN(MAX($B$20,$E52),$F52)</f>
        <v>79.9916666666667</v>
      </c>
      <c r="Q52" s="6" t="n">
        <f aca="false">MIN(MAX($B$21,$E52),$F52)</f>
        <v>80.0473333333333</v>
      </c>
      <c r="R52" s="6" t="n">
        <f aca="false">MIN(MAX($B$22,$E52),$F52)</f>
        <v>80.2476666666667</v>
      </c>
      <c r="S52" s="6" t="n">
        <f aca="false">AVERAGE(G52:R52)</f>
        <v>80.1033055555556</v>
      </c>
      <c r="T52" s="6" t="n">
        <f aca="false">1.134*STDEV(G52:R52)</f>
        <v>0.11048474010016</v>
      </c>
      <c r="U52" s="6" t="n">
        <f aca="false">ABS(S52-B52)</f>
        <v>0</v>
      </c>
      <c r="V52" s="6" t="n">
        <f aca="false">ABS(T52-C52)</f>
        <v>0</v>
      </c>
      <c r="W52" s="6" t="n">
        <f aca="false">IF(OR(NOT(ISNUMBER(B52)),B52=0),B52,ROUND(B52,MAX(3-1-INT(LOG10(ABS(B52))),0)))</f>
        <v>80.1</v>
      </c>
      <c r="X52" s="6" t="n">
        <f aca="false">IF(OR(NOT(ISNUMBER(C52)),C52=0),C52,ROUND(C52,MAX(3-1-INT(LOG10(ABS(C52))),0)))</f>
        <v>0.11</v>
      </c>
      <c r="Y52" s="6" t="n">
        <f aca="false">IF(OR(NOT(ISNUMBER(S52)),S52=0),S52,ROUND(S52,MAX(3-1-INT(LOG10(ABS(S52))),0)))</f>
        <v>80.1</v>
      </c>
      <c r="Z52" s="6" t="n">
        <f aca="false">IF(OR(NOT(ISNUMBER(T52)),T52=0),T52,ROUND(T52,MAX(3-1-INT(LOG10(ABS(T52))),0)))</f>
        <v>0.11</v>
      </c>
      <c r="AA52" s="7" t="n">
        <f aca="false">IF(AND(Y52=W52,Z52=X52),1,0)</f>
        <v>1</v>
      </c>
      <c r="AB52" s="7" t="n">
        <f aca="false">IF(AND(U52&lt;$B$4,V52&lt;$B$4),1,0)</f>
        <v>1</v>
      </c>
      <c r="AC52" s="7" t="n">
        <f aca="false">IF(OR(AA52=1,AB52=1),1,0)</f>
        <v>1</v>
      </c>
    </row>
    <row r="53" customFormat="false" ht="15" hidden="false" customHeight="false" outlineLevel="0" collapsed="false">
      <c r="A53" s="0" t="n">
        <v>27</v>
      </c>
      <c r="B53" s="6" t="n">
        <f aca="false">S52</f>
        <v>80.1033055555556</v>
      </c>
      <c r="C53" s="6" t="n">
        <f aca="false">T52</f>
        <v>0.11048474010016</v>
      </c>
      <c r="D53" s="6" t="n">
        <f aca="false">1.5*C53</f>
        <v>0.16572711015024</v>
      </c>
      <c r="E53" s="6" t="n">
        <f aca="false">B53-D53</f>
        <v>79.9375784454053</v>
      </c>
      <c r="F53" s="6" t="n">
        <f aca="false">B53+D53</f>
        <v>80.2690326657058</v>
      </c>
      <c r="G53" s="6" t="n">
        <f aca="false">MIN(MAX($B$11,$E53),$F53)</f>
        <v>80.2293333333333</v>
      </c>
      <c r="H53" s="6" t="n">
        <f aca="false">MIN(MAX($B$12,$E53),$F53)</f>
        <v>80.086</v>
      </c>
      <c r="I53" s="6" t="n">
        <f aca="false">MIN(MAX($B$13,$E53),$F53)</f>
        <v>80.056</v>
      </c>
      <c r="J53" s="6" t="n">
        <f aca="false">MIN(MAX($B$14,$E53),$F53)</f>
        <v>80.031</v>
      </c>
      <c r="K53" s="6" t="n">
        <f aca="false">MIN(MAX($B$15,$E53),$F53)</f>
        <v>80.0573333333333</v>
      </c>
      <c r="L53" s="6" t="n">
        <f aca="false">MIN(MAX($B$16,$E53),$F53)</f>
        <v>79.9836666666667</v>
      </c>
      <c r="M53" s="6" t="n">
        <f aca="false">MIN(MAX($B$17,$E53),$F53)</f>
        <v>80.091</v>
      </c>
      <c r="N53" s="6" t="n">
        <f aca="false">MIN(MAX($B$18,$E53),$F53)</f>
        <v>80.158</v>
      </c>
      <c r="O53" s="6" t="n">
        <f aca="false">MIN(MAX($B$19,$E53),$F53)</f>
        <v>80.2606666666667</v>
      </c>
      <c r="P53" s="6" t="n">
        <f aca="false">MIN(MAX($B$20,$E53),$F53)</f>
        <v>79.9916666666667</v>
      </c>
      <c r="Q53" s="6" t="n">
        <f aca="false">MIN(MAX($B$21,$E53),$F53)</f>
        <v>80.0473333333333</v>
      </c>
      <c r="R53" s="6" t="n">
        <f aca="false">MIN(MAX($B$22,$E53),$F53)</f>
        <v>80.2476666666667</v>
      </c>
      <c r="S53" s="6" t="n">
        <f aca="false">AVERAGE(G53:R53)</f>
        <v>80.1033055555556</v>
      </c>
      <c r="T53" s="6" t="n">
        <f aca="false">1.134*STDEV(G53:R53)</f>
        <v>0.11048474010016</v>
      </c>
      <c r="U53" s="6" t="n">
        <f aca="false">ABS(S53-B53)</f>
        <v>0</v>
      </c>
      <c r="V53" s="6" t="n">
        <f aca="false">ABS(T53-C53)</f>
        <v>0</v>
      </c>
      <c r="W53" s="6" t="n">
        <f aca="false">IF(OR(NOT(ISNUMBER(B53)),B53=0),B53,ROUND(B53,MAX(3-1-INT(LOG10(ABS(B53))),0)))</f>
        <v>80.1</v>
      </c>
      <c r="X53" s="6" t="n">
        <f aca="false">IF(OR(NOT(ISNUMBER(C53)),C53=0),C53,ROUND(C53,MAX(3-1-INT(LOG10(ABS(C53))),0)))</f>
        <v>0.11</v>
      </c>
      <c r="Y53" s="6" t="n">
        <f aca="false">IF(OR(NOT(ISNUMBER(S53)),S53=0),S53,ROUND(S53,MAX(3-1-INT(LOG10(ABS(S53))),0)))</f>
        <v>80.1</v>
      </c>
      <c r="Z53" s="6" t="n">
        <f aca="false">IF(OR(NOT(ISNUMBER(T53)),T53=0),T53,ROUND(T53,MAX(3-1-INT(LOG10(ABS(T53))),0)))</f>
        <v>0.11</v>
      </c>
      <c r="AA53" s="7" t="n">
        <f aca="false">IF(AND(Y53=W53,Z53=X53),1,0)</f>
        <v>1</v>
      </c>
      <c r="AB53" s="7" t="n">
        <f aca="false">IF(AND(U53&lt;$B$4,V53&lt;$B$4),1,0)</f>
        <v>1</v>
      </c>
      <c r="AC53" s="7" t="n">
        <f aca="false">IF(OR(AA53=1,AB53=1),1,0)</f>
        <v>1</v>
      </c>
    </row>
    <row r="54" customFormat="false" ht="15" hidden="false" customHeight="false" outlineLevel="0" collapsed="false">
      <c r="A54" s="0" t="n">
        <v>28</v>
      </c>
      <c r="B54" s="6" t="n">
        <f aca="false">S53</f>
        <v>80.1033055555556</v>
      </c>
      <c r="C54" s="6" t="n">
        <f aca="false">T53</f>
        <v>0.11048474010016</v>
      </c>
      <c r="D54" s="6" t="n">
        <f aca="false">1.5*C54</f>
        <v>0.16572711015024</v>
      </c>
      <c r="E54" s="6" t="n">
        <f aca="false">B54-D54</f>
        <v>79.9375784454053</v>
      </c>
      <c r="F54" s="6" t="n">
        <f aca="false">B54+D54</f>
        <v>80.2690326657058</v>
      </c>
      <c r="G54" s="6" t="n">
        <f aca="false">MIN(MAX($B$11,$E54),$F54)</f>
        <v>80.2293333333333</v>
      </c>
      <c r="H54" s="6" t="n">
        <f aca="false">MIN(MAX($B$12,$E54),$F54)</f>
        <v>80.086</v>
      </c>
      <c r="I54" s="6" t="n">
        <f aca="false">MIN(MAX($B$13,$E54),$F54)</f>
        <v>80.056</v>
      </c>
      <c r="J54" s="6" t="n">
        <f aca="false">MIN(MAX($B$14,$E54),$F54)</f>
        <v>80.031</v>
      </c>
      <c r="K54" s="6" t="n">
        <f aca="false">MIN(MAX($B$15,$E54),$F54)</f>
        <v>80.0573333333333</v>
      </c>
      <c r="L54" s="6" t="n">
        <f aca="false">MIN(MAX($B$16,$E54),$F54)</f>
        <v>79.9836666666667</v>
      </c>
      <c r="M54" s="6" t="n">
        <f aca="false">MIN(MAX($B$17,$E54),$F54)</f>
        <v>80.091</v>
      </c>
      <c r="N54" s="6" t="n">
        <f aca="false">MIN(MAX($B$18,$E54),$F54)</f>
        <v>80.158</v>
      </c>
      <c r="O54" s="6" t="n">
        <f aca="false">MIN(MAX($B$19,$E54),$F54)</f>
        <v>80.2606666666667</v>
      </c>
      <c r="P54" s="6" t="n">
        <f aca="false">MIN(MAX($B$20,$E54),$F54)</f>
        <v>79.9916666666667</v>
      </c>
      <c r="Q54" s="6" t="n">
        <f aca="false">MIN(MAX($B$21,$E54),$F54)</f>
        <v>80.0473333333333</v>
      </c>
      <c r="R54" s="6" t="n">
        <f aca="false">MIN(MAX($B$22,$E54),$F54)</f>
        <v>80.2476666666667</v>
      </c>
      <c r="S54" s="6" t="n">
        <f aca="false">AVERAGE(G54:R54)</f>
        <v>80.1033055555556</v>
      </c>
      <c r="T54" s="6" t="n">
        <f aca="false">1.134*STDEV(G54:R54)</f>
        <v>0.11048474010016</v>
      </c>
      <c r="U54" s="6" t="n">
        <f aca="false">ABS(S54-B54)</f>
        <v>0</v>
      </c>
      <c r="V54" s="6" t="n">
        <f aca="false">ABS(T54-C54)</f>
        <v>0</v>
      </c>
      <c r="W54" s="6" t="n">
        <f aca="false">IF(OR(NOT(ISNUMBER(B54)),B54=0),B54,ROUND(B54,MAX(3-1-INT(LOG10(ABS(B54))),0)))</f>
        <v>80.1</v>
      </c>
      <c r="X54" s="6" t="n">
        <f aca="false">IF(OR(NOT(ISNUMBER(C54)),C54=0),C54,ROUND(C54,MAX(3-1-INT(LOG10(ABS(C54))),0)))</f>
        <v>0.11</v>
      </c>
      <c r="Y54" s="6" t="n">
        <f aca="false">IF(OR(NOT(ISNUMBER(S54)),S54=0),S54,ROUND(S54,MAX(3-1-INT(LOG10(ABS(S54))),0)))</f>
        <v>80.1</v>
      </c>
      <c r="Z54" s="6" t="n">
        <f aca="false">IF(OR(NOT(ISNUMBER(T54)),T54=0),T54,ROUND(T54,MAX(3-1-INT(LOG10(ABS(T54))),0)))</f>
        <v>0.11</v>
      </c>
      <c r="AA54" s="7" t="n">
        <f aca="false">IF(AND(Y54=W54,Z54=X54),1,0)</f>
        <v>1</v>
      </c>
      <c r="AB54" s="7" t="n">
        <f aca="false">IF(AND(U54&lt;$B$4,V54&lt;$B$4),1,0)</f>
        <v>1</v>
      </c>
      <c r="AC54" s="7" t="n">
        <f aca="false">IF(OR(AA54=1,AB54=1),1,0)</f>
        <v>1</v>
      </c>
    </row>
    <row r="55" customFormat="false" ht="15" hidden="false" customHeight="false" outlineLevel="0" collapsed="false">
      <c r="A55" s="0" t="n">
        <v>29</v>
      </c>
      <c r="B55" s="6" t="n">
        <f aca="false">S54</f>
        <v>80.1033055555556</v>
      </c>
      <c r="C55" s="6" t="n">
        <f aca="false">T54</f>
        <v>0.11048474010016</v>
      </c>
      <c r="D55" s="6" t="n">
        <f aca="false">1.5*C55</f>
        <v>0.16572711015024</v>
      </c>
      <c r="E55" s="6" t="n">
        <f aca="false">B55-D55</f>
        <v>79.9375784454053</v>
      </c>
      <c r="F55" s="6" t="n">
        <f aca="false">B55+D55</f>
        <v>80.2690326657058</v>
      </c>
      <c r="G55" s="6" t="n">
        <f aca="false">MIN(MAX($B$11,$E55),$F55)</f>
        <v>80.2293333333333</v>
      </c>
      <c r="H55" s="6" t="n">
        <f aca="false">MIN(MAX($B$12,$E55),$F55)</f>
        <v>80.086</v>
      </c>
      <c r="I55" s="6" t="n">
        <f aca="false">MIN(MAX($B$13,$E55),$F55)</f>
        <v>80.056</v>
      </c>
      <c r="J55" s="6" t="n">
        <f aca="false">MIN(MAX($B$14,$E55),$F55)</f>
        <v>80.031</v>
      </c>
      <c r="K55" s="6" t="n">
        <f aca="false">MIN(MAX($B$15,$E55),$F55)</f>
        <v>80.0573333333333</v>
      </c>
      <c r="L55" s="6" t="n">
        <f aca="false">MIN(MAX($B$16,$E55),$F55)</f>
        <v>79.9836666666667</v>
      </c>
      <c r="M55" s="6" t="n">
        <f aca="false">MIN(MAX($B$17,$E55),$F55)</f>
        <v>80.091</v>
      </c>
      <c r="N55" s="6" t="n">
        <f aca="false">MIN(MAX($B$18,$E55),$F55)</f>
        <v>80.158</v>
      </c>
      <c r="O55" s="6" t="n">
        <f aca="false">MIN(MAX($B$19,$E55),$F55)</f>
        <v>80.2606666666667</v>
      </c>
      <c r="P55" s="6" t="n">
        <f aca="false">MIN(MAX($B$20,$E55),$F55)</f>
        <v>79.9916666666667</v>
      </c>
      <c r="Q55" s="6" t="n">
        <f aca="false">MIN(MAX($B$21,$E55),$F55)</f>
        <v>80.0473333333333</v>
      </c>
      <c r="R55" s="6" t="n">
        <f aca="false">MIN(MAX($B$22,$E55),$F55)</f>
        <v>80.2476666666667</v>
      </c>
      <c r="S55" s="6" t="n">
        <f aca="false">AVERAGE(G55:R55)</f>
        <v>80.1033055555556</v>
      </c>
      <c r="T55" s="6" t="n">
        <f aca="false">1.134*STDEV(G55:R55)</f>
        <v>0.11048474010016</v>
      </c>
      <c r="U55" s="6" t="n">
        <f aca="false">ABS(S55-B55)</f>
        <v>0</v>
      </c>
      <c r="V55" s="6" t="n">
        <f aca="false">ABS(T55-C55)</f>
        <v>0</v>
      </c>
      <c r="W55" s="6" t="n">
        <f aca="false">IF(OR(NOT(ISNUMBER(B55)),B55=0),B55,ROUND(B55,MAX(3-1-INT(LOG10(ABS(B55))),0)))</f>
        <v>80.1</v>
      </c>
      <c r="X55" s="6" t="n">
        <f aca="false">IF(OR(NOT(ISNUMBER(C55)),C55=0),C55,ROUND(C55,MAX(3-1-INT(LOG10(ABS(C55))),0)))</f>
        <v>0.11</v>
      </c>
      <c r="Y55" s="6" t="n">
        <f aca="false">IF(OR(NOT(ISNUMBER(S55)),S55=0),S55,ROUND(S55,MAX(3-1-INT(LOG10(ABS(S55))),0)))</f>
        <v>80.1</v>
      </c>
      <c r="Z55" s="6" t="n">
        <f aca="false">IF(OR(NOT(ISNUMBER(T55)),T55=0),T55,ROUND(T55,MAX(3-1-INT(LOG10(ABS(T55))),0)))</f>
        <v>0.11</v>
      </c>
      <c r="AA55" s="7" t="n">
        <f aca="false">IF(AND(Y55=W55,Z55=X55),1,0)</f>
        <v>1</v>
      </c>
      <c r="AB55" s="7" t="n">
        <f aca="false">IF(AND(U55&lt;$B$4,V55&lt;$B$4),1,0)</f>
        <v>1</v>
      </c>
      <c r="AC55" s="7" t="n">
        <f aca="false">IF(OR(AA55=1,AB55=1),1,0)</f>
        <v>1</v>
      </c>
    </row>
    <row r="56" customFormat="false" ht="15" hidden="false" customHeight="false" outlineLevel="0" collapsed="false">
      <c r="A56" s="0" t="n">
        <v>30</v>
      </c>
      <c r="B56" s="6" t="n">
        <f aca="false">S55</f>
        <v>80.1033055555556</v>
      </c>
      <c r="C56" s="6" t="n">
        <f aca="false">T55</f>
        <v>0.11048474010016</v>
      </c>
      <c r="D56" s="6" t="n">
        <f aca="false">1.5*C56</f>
        <v>0.16572711015024</v>
      </c>
      <c r="E56" s="6" t="n">
        <f aca="false">B56-D56</f>
        <v>79.9375784454053</v>
      </c>
      <c r="F56" s="6" t="n">
        <f aca="false">B56+D56</f>
        <v>80.2690326657058</v>
      </c>
      <c r="G56" s="6" t="n">
        <f aca="false">MIN(MAX($B$11,$E56),$F56)</f>
        <v>80.2293333333333</v>
      </c>
      <c r="H56" s="6" t="n">
        <f aca="false">MIN(MAX($B$12,$E56),$F56)</f>
        <v>80.086</v>
      </c>
      <c r="I56" s="6" t="n">
        <f aca="false">MIN(MAX($B$13,$E56),$F56)</f>
        <v>80.056</v>
      </c>
      <c r="J56" s="6" t="n">
        <f aca="false">MIN(MAX($B$14,$E56),$F56)</f>
        <v>80.031</v>
      </c>
      <c r="K56" s="6" t="n">
        <f aca="false">MIN(MAX($B$15,$E56),$F56)</f>
        <v>80.0573333333333</v>
      </c>
      <c r="L56" s="6" t="n">
        <f aca="false">MIN(MAX($B$16,$E56),$F56)</f>
        <v>79.9836666666667</v>
      </c>
      <c r="M56" s="6" t="n">
        <f aca="false">MIN(MAX($B$17,$E56),$F56)</f>
        <v>80.091</v>
      </c>
      <c r="N56" s="6" t="n">
        <f aca="false">MIN(MAX($B$18,$E56),$F56)</f>
        <v>80.158</v>
      </c>
      <c r="O56" s="6" t="n">
        <f aca="false">MIN(MAX($B$19,$E56),$F56)</f>
        <v>80.2606666666667</v>
      </c>
      <c r="P56" s="6" t="n">
        <f aca="false">MIN(MAX($B$20,$E56),$F56)</f>
        <v>79.9916666666667</v>
      </c>
      <c r="Q56" s="6" t="n">
        <f aca="false">MIN(MAX($B$21,$E56),$F56)</f>
        <v>80.0473333333333</v>
      </c>
      <c r="R56" s="6" t="n">
        <f aca="false">MIN(MAX($B$22,$E56),$F56)</f>
        <v>80.2476666666667</v>
      </c>
      <c r="S56" s="6" t="n">
        <f aca="false">AVERAGE(G56:R56)</f>
        <v>80.1033055555556</v>
      </c>
      <c r="T56" s="6" t="n">
        <f aca="false">1.134*STDEV(G56:R56)</f>
        <v>0.11048474010016</v>
      </c>
      <c r="U56" s="6" t="n">
        <f aca="false">ABS(S56-B56)</f>
        <v>0</v>
      </c>
      <c r="V56" s="6" t="n">
        <f aca="false">ABS(T56-C56)</f>
        <v>0</v>
      </c>
      <c r="W56" s="6" t="n">
        <f aca="false">IF(OR(NOT(ISNUMBER(B56)),B56=0),B56,ROUND(B56,MAX(3-1-INT(LOG10(ABS(B56))),0)))</f>
        <v>80.1</v>
      </c>
      <c r="X56" s="6" t="n">
        <f aca="false">IF(OR(NOT(ISNUMBER(C56)),C56=0),C56,ROUND(C56,MAX(3-1-INT(LOG10(ABS(C56))),0)))</f>
        <v>0.11</v>
      </c>
      <c r="Y56" s="6" t="n">
        <f aca="false">IF(OR(NOT(ISNUMBER(S56)),S56=0),S56,ROUND(S56,MAX(3-1-INT(LOG10(ABS(S56))),0)))</f>
        <v>80.1</v>
      </c>
      <c r="Z56" s="6" t="n">
        <f aca="false">IF(OR(NOT(ISNUMBER(T56)),T56=0),T56,ROUND(T56,MAX(3-1-INT(LOG10(ABS(T56))),0)))</f>
        <v>0.11</v>
      </c>
      <c r="AA56" s="7" t="n">
        <f aca="false">IF(AND(Y56=W56,Z56=X56),1,0)</f>
        <v>1</v>
      </c>
      <c r="AB56" s="7" t="n">
        <f aca="false">IF(AND(U56&lt;$B$4,V56&lt;$B$4),1,0)</f>
        <v>1</v>
      </c>
      <c r="AC56" s="7" t="n">
        <f aca="false">IF(OR(AA56=1,AB56=1),1,0)</f>
        <v>1</v>
      </c>
    </row>
    <row r="57" customFormat="false" ht="15" hidden="false" customHeight="false" outlineLevel="0" collapsed="false">
      <c r="A57" s="0" t="n">
        <v>31</v>
      </c>
      <c r="B57" s="6" t="n">
        <f aca="false">S56</f>
        <v>80.1033055555556</v>
      </c>
      <c r="C57" s="6" t="n">
        <f aca="false">T56</f>
        <v>0.11048474010016</v>
      </c>
      <c r="D57" s="6" t="n">
        <f aca="false">1.5*C57</f>
        <v>0.16572711015024</v>
      </c>
      <c r="E57" s="6" t="n">
        <f aca="false">B57-D57</f>
        <v>79.9375784454053</v>
      </c>
      <c r="F57" s="6" t="n">
        <f aca="false">B57+D57</f>
        <v>80.2690326657058</v>
      </c>
      <c r="G57" s="6" t="n">
        <f aca="false">MIN(MAX($B$11,$E57),$F57)</f>
        <v>80.2293333333333</v>
      </c>
      <c r="H57" s="6" t="n">
        <f aca="false">MIN(MAX($B$12,$E57),$F57)</f>
        <v>80.086</v>
      </c>
      <c r="I57" s="6" t="n">
        <f aca="false">MIN(MAX($B$13,$E57),$F57)</f>
        <v>80.056</v>
      </c>
      <c r="J57" s="6" t="n">
        <f aca="false">MIN(MAX($B$14,$E57),$F57)</f>
        <v>80.031</v>
      </c>
      <c r="K57" s="6" t="n">
        <f aca="false">MIN(MAX($B$15,$E57),$F57)</f>
        <v>80.0573333333333</v>
      </c>
      <c r="L57" s="6" t="n">
        <f aca="false">MIN(MAX($B$16,$E57),$F57)</f>
        <v>79.9836666666667</v>
      </c>
      <c r="M57" s="6" t="n">
        <f aca="false">MIN(MAX($B$17,$E57),$F57)</f>
        <v>80.091</v>
      </c>
      <c r="N57" s="6" t="n">
        <f aca="false">MIN(MAX($B$18,$E57),$F57)</f>
        <v>80.158</v>
      </c>
      <c r="O57" s="6" t="n">
        <f aca="false">MIN(MAX($B$19,$E57),$F57)</f>
        <v>80.2606666666667</v>
      </c>
      <c r="P57" s="6" t="n">
        <f aca="false">MIN(MAX($B$20,$E57),$F57)</f>
        <v>79.9916666666667</v>
      </c>
      <c r="Q57" s="6" t="n">
        <f aca="false">MIN(MAX($B$21,$E57),$F57)</f>
        <v>80.0473333333333</v>
      </c>
      <c r="R57" s="6" t="n">
        <f aca="false">MIN(MAX($B$22,$E57),$F57)</f>
        <v>80.2476666666667</v>
      </c>
      <c r="S57" s="6" t="n">
        <f aca="false">AVERAGE(G57:R57)</f>
        <v>80.1033055555556</v>
      </c>
      <c r="T57" s="6" t="n">
        <f aca="false">1.134*STDEV(G57:R57)</f>
        <v>0.11048474010016</v>
      </c>
      <c r="U57" s="6" t="n">
        <f aca="false">ABS(S57-B57)</f>
        <v>0</v>
      </c>
      <c r="V57" s="6" t="n">
        <f aca="false">ABS(T57-C57)</f>
        <v>0</v>
      </c>
      <c r="W57" s="6" t="n">
        <f aca="false">IF(OR(NOT(ISNUMBER(B57)),B57=0),B57,ROUND(B57,MAX(3-1-INT(LOG10(ABS(B57))),0)))</f>
        <v>80.1</v>
      </c>
      <c r="X57" s="6" t="n">
        <f aca="false">IF(OR(NOT(ISNUMBER(C57)),C57=0),C57,ROUND(C57,MAX(3-1-INT(LOG10(ABS(C57))),0)))</f>
        <v>0.11</v>
      </c>
      <c r="Y57" s="6" t="n">
        <f aca="false">IF(OR(NOT(ISNUMBER(S57)),S57=0),S57,ROUND(S57,MAX(3-1-INT(LOG10(ABS(S57))),0)))</f>
        <v>80.1</v>
      </c>
      <c r="Z57" s="6" t="n">
        <f aca="false">IF(OR(NOT(ISNUMBER(T57)),T57=0),T57,ROUND(T57,MAX(3-1-INT(LOG10(ABS(T57))),0)))</f>
        <v>0.11</v>
      </c>
      <c r="AA57" s="7" t="n">
        <f aca="false">IF(AND(Y57=W57,Z57=X57),1,0)</f>
        <v>1</v>
      </c>
      <c r="AB57" s="7" t="n">
        <f aca="false">IF(AND(U57&lt;$B$4,V57&lt;$B$4),1,0)</f>
        <v>1</v>
      </c>
      <c r="AC57" s="7" t="n">
        <f aca="false">IF(OR(AA57=1,AB57=1),1,0)</f>
        <v>1</v>
      </c>
    </row>
    <row r="58" customFormat="false" ht="15" hidden="false" customHeight="false" outlineLevel="0" collapsed="false">
      <c r="A58" s="0" t="n">
        <v>32</v>
      </c>
      <c r="B58" s="6" t="n">
        <f aca="false">S57</f>
        <v>80.1033055555556</v>
      </c>
      <c r="C58" s="6" t="n">
        <f aca="false">T57</f>
        <v>0.11048474010016</v>
      </c>
      <c r="D58" s="6" t="n">
        <f aca="false">1.5*C58</f>
        <v>0.16572711015024</v>
      </c>
      <c r="E58" s="6" t="n">
        <f aca="false">B58-D58</f>
        <v>79.9375784454053</v>
      </c>
      <c r="F58" s="6" t="n">
        <f aca="false">B58+D58</f>
        <v>80.2690326657058</v>
      </c>
      <c r="G58" s="6" t="n">
        <f aca="false">MIN(MAX($B$11,$E58),$F58)</f>
        <v>80.2293333333333</v>
      </c>
      <c r="H58" s="6" t="n">
        <f aca="false">MIN(MAX($B$12,$E58),$F58)</f>
        <v>80.086</v>
      </c>
      <c r="I58" s="6" t="n">
        <f aca="false">MIN(MAX($B$13,$E58),$F58)</f>
        <v>80.056</v>
      </c>
      <c r="J58" s="6" t="n">
        <f aca="false">MIN(MAX($B$14,$E58),$F58)</f>
        <v>80.031</v>
      </c>
      <c r="K58" s="6" t="n">
        <f aca="false">MIN(MAX($B$15,$E58),$F58)</f>
        <v>80.0573333333333</v>
      </c>
      <c r="L58" s="6" t="n">
        <f aca="false">MIN(MAX($B$16,$E58),$F58)</f>
        <v>79.9836666666667</v>
      </c>
      <c r="M58" s="6" t="n">
        <f aca="false">MIN(MAX($B$17,$E58),$F58)</f>
        <v>80.091</v>
      </c>
      <c r="N58" s="6" t="n">
        <f aca="false">MIN(MAX($B$18,$E58),$F58)</f>
        <v>80.158</v>
      </c>
      <c r="O58" s="6" t="n">
        <f aca="false">MIN(MAX($B$19,$E58),$F58)</f>
        <v>80.2606666666667</v>
      </c>
      <c r="P58" s="6" t="n">
        <f aca="false">MIN(MAX($B$20,$E58),$F58)</f>
        <v>79.9916666666667</v>
      </c>
      <c r="Q58" s="6" t="n">
        <f aca="false">MIN(MAX($B$21,$E58),$F58)</f>
        <v>80.0473333333333</v>
      </c>
      <c r="R58" s="6" t="n">
        <f aca="false">MIN(MAX($B$22,$E58),$F58)</f>
        <v>80.2476666666667</v>
      </c>
      <c r="S58" s="6" t="n">
        <f aca="false">AVERAGE(G58:R58)</f>
        <v>80.1033055555556</v>
      </c>
      <c r="T58" s="6" t="n">
        <f aca="false">1.134*STDEV(G58:R58)</f>
        <v>0.11048474010016</v>
      </c>
      <c r="U58" s="6" t="n">
        <f aca="false">ABS(S58-B58)</f>
        <v>0</v>
      </c>
      <c r="V58" s="6" t="n">
        <f aca="false">ABS(T58-C58)</f>
        <v>0</v>
      </c>
      <c r="W58" s="6" t="n">
        <f aca="false">IF(OR(NOT(ISNUMBER(B58)),B58=0),B58,ROUND(B58,MAX(3-1-INT(LOG10(ABS(B58))),0)))</f>
        <v>80.1</v>
      </c>
      <c r="X58" s="6" t="n">
        <f aca="false">IF(OR(NOT(ISNUMBER(C58)),C58=0),C58,ROUND(C58,MAX(3-1-INT(LOG10(ABS(C58))),0)))</f>
        <v>0.11</v>
      </c>
      <c r="Y58" s="6" t="n">
        <f aca="false">IF(OR(NOT(ISNUMBER(S58)),S58=0),S58,ROUND(S58,MAX(3-1-INT(LOG10(ABS(S58))),0)))</f>
        <v>80.1</v>
      </c>
      <c r="Z58" s="6" t="n">
        <f aca="false">IF(OR(NOT(ISNUMBER(T58)),T58=0),T58,ROUND(T58,MAX(3-1-INT(LOG10(ABS(T58))),0)))</f>
        <v>0.11</v>
      </c>
      <c r="AA58" s="7" t="n">
        <f aca="false">IF(AND(Y58=W58,Z58=X58),1,0)</f>
        <v>1</v>
      </c>
      <c r="AB58" s="7" t="n">
        <f aca="false">IF(AND(U58&lt;$B$4,V58&lt;$B$4),1,0)</f>
        <v>1</v>
      </c>
      <c r="AC58" s="7" t="n">
        <f aca="false">IF(OR(AA58=1,AB58=1),1,0)</f>
        <v>1</v>
      </c>
    </row>
    <row r="59" customFormat="false" ht="15" hidden="false" customHeight="false" outlineLevel="0" collapsed="false">
      <c r="A59" s="0" t="n">
        <v>33</v>
      </c>
      <c r="B59" s="6" t="n">
        <f aca="false">S58</f>
        <v>80.1033055555556</v>
      </c>
      <c r="C59" s="6" t="n">
        <f aca="false">T58</f>
        <v>0.11048474010016</v>
      </c>
      <c r="D59" s="6" t="n">
        <f aca="false">1.5*C59</f>
        <v>0.16572711015024</v>
      </c>
      <c r="E59" s="6" t="n">
        <f aca="false">B59-D59</f>
        <v>79.9375784454053</v>
      </c>
      <c r="F59" s="6" t="n">
        <f aca="false">B59+D59</f>
        <v>80.2690326657058</v>
      </c>
      <c r="G59" s="6" t="n">
        <f aca="false">MIN(MAX($B$11,$E59),$F59)</f>
        <v>80.2293333333333</v>
      </c>
      <c r="H59" s="6" t="n">
        <f aca="false">MIN(MAX($B$12,$E59),$F59)</f>
        <v>80.086</v>
      </c>
      <c r="I59" s="6" t="n">
        <f aca="false">MIN(MAX($B$13,$E59),$F59)</f>
        <v>80.056</v>
      </c>
      <c r="J59" s="6" t="n">
        <f aca="false">MIN(MAX($B$14,$E59),$F59)</f>
        <v>80.031</v>
      </c>
      <c r="K59" s="6" t="n">
        <f aca="false">MIN(MAX($B$15,$E59),$F59)</f>
        <v>80.0573333333333</v>
      </c>
      <c r="L59" s="6" t="n">
        <f aca="false">MIN(MAX($B$16,$E59),$F59)</f>
        <v>79.9836666666667</v>
      </c>
      <c r="M59" s="6" t="n">
        <f aca="false">MIN(MAX($B$17,$E59),$F59)</f>
        <v>80.091</v>
      </c>
      <c r="N59" s="6" t="n">
        <f aca="false">MIN(MAX($B$18,$E59),$F59)</f>
        <v>80.158</v>
      </c>
      <c r="O59" s="6" t="n">
        <f aca="false">MIN(MAX($B$19,$E59),$F59)</f>
        <v>80.2606666666667</v>
      </c>
      <c r="P59" s="6" t="n">
        <f aca="false">MIN(MAX($B$20,$E59),$F59)</f>
        <v>79.9916666666667</v>
      </c>
      <c r="Q59" s="6" t="n">
        <f aca="false">MIN(MAX($B$21,$E59),$F59)</f>
        <v>80.0473333333333</v>
      </c>
      <c r="R59" s="6" t="n">
        <f aca="false">MIN(MAX($B$22,$E59),$F59)</f>
        <v>80.2476666666667</v>
      </c>
      <c r="S59" s="6" t="n">
        <f aca="false">AVERAGE(G59:R59)</f>
        <v>80.1033055555556</v>
      </c>
      <c r="T59" s="6" t="n">
        <f aca="false">1.134*STDEV(G59:R59)</f>
        <v>0.11048474010016</v>
      </c>
      <c r="U59" s="6" t="n">
        <f aca="false">ABS(S59-B59)</f>
        <v>0</v>
      </c>
      <c r="V59" s="6" t="n">
        <f aca="false">ABS(T59-C59)</f>
        <v>0</v>
      </c>
      <c r="W59" s="6" t="n">
        <f aca="false">IF(OR(NOT(ISNUMBER(B59)),B59=0),B59,ROUND(B59,MAX(3-1-INT(LOG10(ABS(B59))),0)))</f>
        <v>80.1</v>
      </c>
      <c r="X59" s="6" t="n">
        <f aca="false">IF(OR(NOT(ISNUMBER(C59)),C59=0),C59,ROUND(C59,MAX(3-1-INT(LOG10(ABS(C59))),0)))</f>
        <v>0.11</v>
      </c>
      <c r="Y59" s="6" t="n">
        <f aca="false">IF(OR(NOT(ISNUMBER(S59)),S59=0),S59,ROUND(S59,MAX(3-1-INT(LOG10(ABS(S59))),0)))</f>
        <v>80.1</v>
      </c>
      <c r="Z59" s="6" t="n">
        <f aca="false">IF(OR(NOT(ISNUMBER(T59)),T59=0),T59,ROUND(T59,MAX(3-1-INT(LOG10(ABS(T59))),0)))</f>
        <v>0.11</v>
      </c>
      <c r="AA59" s="7" t="n">
        <f aca="false">IF(AND(Y59=W59,Z59=X59),1,0)</f>
        <v>1</v>
      </c>
      <c r="AB59" s="7" t="n">
        <f aca="false">IF(AND(U59&lt;$B$4,V59&lt;$B$4),1,0)</f>
        <v>1</v>
      </c>
      <c r="AC59" s="7" t="n">
        <f aca="false">IF(OR(AA59=1,AB59=1),1,0)</f>
        <v>1</v>
      </c>
    </row>
    <row r="60" customFormat="false" ht="15" hidden="false" customHeight="false" outlineLevel="0" collapsed="false">
      <c r="A60" s="0" t="n">
        <v>34</v>
      </c>
      <c r="B60" s="6" t="n">
        <f aca="false">S59</f>
        <v>80.1033055555556</v>
      </c>
      <c r="C60" s="6" t="n">
        <f aca="false">T59</f>
        <v>0.11048474010016</v>
      </c>
      <c r="D60" s="6" t="n">
        <f aca="false">1.5*C60</f>
        <v>0.16572711015024</v>
      </c>
      <c r="E60" s="6" t="n">
        <f aca="false">B60-D60</f>
        <v>79.9375784454053</v>
      </c>
      <c r="F60" s="6" t="n">
        <f aca="false">B60+D60</f>
        <v>80.2690326657058</v>
      </c>
      <c r="G60" s="6" t="n">
        <f aca="false">MIN(MAX($B$11,$E60),$F60)</f>
        <v>80.2293333333333</v>
      </c>
      <c r="H60" s="6" t="n">
        <f aca="false">MIN(MAX($B$12,$E60),$F60)</f>
        <v>80.086</v>
      </c>
      <c r="I60" s="6" t="n">
        <f aca="false">MIN(MAX($B$13,$E60),$F60)</f>
        <v>80.056</v>
      </c>
      <c r="J60" s="6" t="n">
        <f aca="false">MIN(MAX($B$14,$E60),$F60)</f>
        <v>80.031</v>
      </c>
      <c r="K60" s="6" t="n">
        <f aca="false">MIN(MAX($B$15,$E60),$F60)</f>
        <v>80.0573333333333</v>
      </c>
      <c r="L60" s="6" t="n">
        <f aca="false">MIN(MAX($B$16,$E60),$F60)</f>
        <v>79.9836666666667</v>
      </c>
      <c r="M60" s="6" t="n">
        <f aca="false">MIN(MAX($B$17,$E60),$F60)</f>
        <v>80.091</v>
      </c>
      <c r="N60" s="6" t="n">
        <f aca="false">MIN(MAX($B$18,$E60),$F60)</f>
        <v>80.158</v>
      </c>
      <c r="O60" s="6" t="n">
        <f aca="false">MIN(MAX($B$19,$E60),$F60)</f>
        <v>80.2606666666667</v>
      </c>
      <c r="P60" s="6" t="n">
        <f aca="false">MIN(MAX($B$20,$E60),$F60)</f>
        <v>79.9916666666667</v>
      </c>
      <c r="Q60" s="6" t="n">
        <f aca="false">MIN(MAX($B$21,$E60),$F60)</f>
        <v>80.0473333333333</v>
      </c>
      <c r="R60" s="6" t="n">
        <f aca="false">MIN(MAX($B$22,$E60),$F60)</f>
        <v>80.2476666666667</v>
      </c>
      <c r="S60" s="6" t="n">
        <f aca="false">AVERAGE(G60:R60)</f>
        <v>80.1033055555556</v>
      </c>
      <c r="T60" s="6" t="n">
        <f aca="false">1.134*STDEV(G60:R60)</f>
        <v>0.11048474010016</v>
      </c>
      <c r="U60" s="6" t="n">
        <f aca="false">ABS(S60-B60)</f>
        <v>0</v>
      </c>
      <c r="V60" s="6" t="n">
        <f aca="false">ABS(T60-C60)</f>
        <v>0</v>
      </c>
      <c r="W60" s="6" t="n">
        <f aca="false">IF(OR(NOT(ISNUMBER(B60)),B60=0),B60,ROUND(B60,MAX(3-1-INT(LOG10(ABS(B60))),0)))</f>
        <v>80.1</v>
      </c>
      <c r="X60" s="6" t="n">
        <f aca="false">IF(OR(NOT(ISNUMBER(C60)),C60=0),C60,ROUND(C60,MAX(3-1-INT(LOG10(ABS(C60))),0)))</f>
        <v>0.11</v>
      </c>
      <c r="Y60" s="6" t="n">
        <f aca="false">IF(OR(NOT(ISNUMBER(S60)),S60=0),S60,ROUND(S60,MAX(3-1-INT(LOG10(ABS(S60))),0)))</f>
        <v>80.1</v>
      </c>
      <c r="Z60" s="6" t="n">
        <f aca="false">IF(OR(NOT(ISNUMBER(T60)),T60=0),T60,ROUND(T60,MAX(3-1-INT(LOG10(ABS(T60))),0)))</f>
        <v>0.11</v>
      </c>
      <c r="AA60" s="7" t="n">
        <f aca="false">IF(AND(Y60=W60,Z60=X60),1,0)</f>
        <v>1</v>
      </c>
      <c r="AB60" s="7" t="n">
        <f aca="false">IF(AND(U60&lt;$B$4,V60&lt;$B$4),1,0)</f>
        <v>1</v>
      </c>
      <c r="AC60" s="7" t="n">
        <f aca="false">IF(OR(AA60=1,AB60=1),1,0)</f>
        <v>1</v>
      </c>
    </row>
    <row r="61" customFormat="false" ht="15" hidden="false" customHeight="false" outlineLevel="0" collapsed="false">
      <c r="A61" s="0" t="n">
        <v>35</v>
      </c>
      <c r="B61" s="6" t="n">
        <f aca="false">S60</f>
        <v>80.1033055555556</v>
      </c>
      <c r="C61" s="6" t="n">
        <f aca="false">T60</f>
        <v>0.11048474010016</v>
      </c>
      <c r="D61" s="6" t="n">
        <f aca="false">1.5*C61</f>
        <v>0.16572711015024</v>
      </c>
      <c r="E61" s="6" t="n">
        <f aca="false">B61-D61</f>
        <v>79.9375784454053</v>
      </c>
      <c r="F61" s="6" t="n">
        <f aca="false">B61+D61</f>
        <v>80.2690326657058</v>
      </c>
      <c r="G61" s="6" t="n">
        <f aca="false">MIN(MAX($B$11,$E61),$F61)</f>
        <v>80.2293333333333</v>
      </c>
      <c r="H61" s="6" t="n">
        <f aca="false">MIN(MAX($B$12,$E61),$F61)</f>
        <v>80.086</v>
      </c>
      <c r="I61" s="6" t="n">
        <f aca="false">MIN(MAX($B$13,$E61),$F61)</f>
        <v>80.056</v>
      </c>
      <c r="J61" s="6" t="n">
        <f aca="false">MIN(MAX($B$14,$E61),$F61)</f>
        <v>80.031</v>
      </c>
      <c r="K61" s="6" t="n">
        <f aca="false">MIN(MAX($B$15,$E61),$F61)</f>
        <v>80.0573333333333</v>
      </c>
      <c r="L61" s="6" t="n">
        <f aca="false">MIN(MAX($B$16,$E61),$F61)</f>
        <v>79.9836666666667</v>
      </c>
      <c r="M61" s="6" t="n">
        <f aca="false">MIN(MAX($B$17,$E61),$F61)</f>
        <v>80.091</v>
      </c>
      <c r="N61" s="6" t="n">
        <f aca="false">MIN(MAX($B$18,$E61),$F61)</f>
        <v>80.158</v>
      </c>
      <c r="O61" s="6" t="n">
        <f aca="false">MIN(MAX($B$19,$E61),$F61)</f>
        <v>80.2606666666667</v>
      </c>
      <c r="P61" s="6" t="n">
        <f aca="false">MIN(MAX($B$20,$E61),$F61)</f>
        <v>79.9916666666667</v>
      </c>
      <c r="Q61" s="6" t="n">
        <f aca="false">MIN(MAX($B$21,$E61),$F61)</f>
        <v>80.0473333333333</v>
      </c>
      <c r="R61" s="6" t="n">
        <f aca="false">MIN(MAX($B$22,$E61),$F61)</f>
        <v>80.2476666666667</v>
      </c>
      <c r="S61" s="6" t="n">
        <f aca="false">AVERAGE(G61:R61)</f>
        <v>80.1033055555556</v>
      </c>
      <c r="T61" s="6" t="n">
        <f aca="false">1.134*STDEV(G61:R61)</f>
        <v>0.11048474010016</v>
      </c>
      <c r="U61" s="6" t="n">
        <f aca="false">ABS(S61-B61)</f>
        <v>0</v>
      </c>
      <c r="V61" s="6" t="n">
        <f aca="false">ABS(T61-C61)</f>
        <v>0</v>
      </c>
      <c r="W61" s="6" t="n">
        <f aca="false">IF(OR(NOT(ISNUMBER(B61)),B61=0),B61,ROUND(B61,MAX(3-1-INT(LOG10(ABS(B61))),0)))</f>
        <v>80.1</v>
      </c>
      <c r="X61" s="6" t="n">
        <f aca="false">IF(OR(NOT(ISNUMBER(C61)),C61=0),C61,ROUND(C61,MAX(3-1-INT(LOG10(ABS(C61))),0)))</f>
        <v>0.11</v>
      </c>
      <c r="Y61" s="6" t="n">
        <f aca="false">IF(OR(NOT(ISNUMBER(S61)),S61=0),S61,ROUND(S61,MAX(3-1-INT(LOG10(ABS(S61))),0)))</f>
        <v>80.1</v>
      </c>
      <c r="Z61" s="6" t="n">
        <f aca="false">IF(OR(NOT(ISNUMBER(T61)),T61=0),T61,ROUND(T61,MAX(3-1-INT(LOG10(ABS(T61))),0)))</f>
        <v>0.11</v>
      </c>
      <c r="AA61" s="7" t="n">
        <f aca="false">IF(AND(Y61=W61,Z61=X61),1,0)</f>
        <v>1</v>
      </c>
      <c r="AB61" s="7" t="n">
        <f aca="false">IF(AND(U61&lt;$B$4,V61&lt;$B$4),1,0)</f>
        <v>1</v>
      </c>
      <c r="AC61" s="7" t="n">
        <f aca="false">IF(OR(AA61=1,AB61=1),1,0)</f>
        <v>1</v>
      </c>
    </row>
    <row r="62" customFormat="false" ht="15" hidden="false" customHeight="false" outlineLevel="0" collapsed="false">
      <c r="A62" s="0" t="n">
        <v>36</v>
      </c>
      <c r="B62" s="6" t="n">
        <f aca="false">S61</f>
        <v>80.1033055555556</v>
      </c>
      <c r="C62" s="6" t="n">
        <f aca="false">T61</f>
        <v>0.11048474010016</v>
      </c>
      <c r="D62" s="6" t="n">
        <f aca="false">1.5*C62</f>
        <v>0.16572711015024</v>
      </c>
      <c r="E62" s="6" t="n">
        <f aca="false">B62-D62</f>
        <v>79.9375784454053</v>
      </c>
      <c r="F62" s="6" t="n">
        <f aca="false">B62+D62</f>
        <v>80.2690326657058</v>
      </c>
      <c r="G62" s="6" t="n">
        <f aca="false">MIN(MAX($B$11,$E62),$F62)</f>
        <v>80.2293333333333</v>
      </c>
      <c r="H62" s="6" t="n">
        <f aca="false">MIN(MAX($B$12,$E62),$F62)</f>
        <v>80.086</v>
      </c>
      <c r="I62" s="6" t="n">
        <f aca="false">MIN(MAX($B$13,$E62),$F62)</f>
        <v>80.056</v>
      </c>
      <c r="J62" s="6" t="n">
        <f aca="false">MIN(MAX($B$14,$E62),$F62)</f>
        <v>80.031</v>
      </c>
      <c r="K62" s="6" t="n">
        <f aca="false">MIN(MAX($B$15,$E62),$F62)</f>
        <v>80.0573333333333</v>
      </c>
      <c r="L62" s="6" t="n">
        <f aca="false">MIN(MAX($B$16,$E62),$F62)</f>
        <v>79.9836666666667</v>
      </c>
      <c r="M62" s="6" t="n">
        <f aca="false">MIN(MAX($B$17,$E62),$F62)</f>
        <v>80.091</v>
      </c>
      <c r="N62" s="6" t="n">
        <f aca="false">MIN(MAX($B$18,$E62),$F62)</f>
        <v>80.158</v>
      </c>
      <c r="O62" s="6" t="n">
        <f aca="false">MIN(MAX($B$19,$E62),$F62)</f>
        <v>80.2606666666667</v>
      </c>
      <c r="P62" s="6" t="n">
        <f aca="false">MIN(MAX($B$20,$E62),$F62)</f>
        <v>79.9916666666667</v>
      </c>
      <c r="Q62" s="6" t="n">
        <f aca="false">MIN(MAX($B$21,$E62),$F62)</f>
        <v>80.0473333333333</v>
      </c>
      <c r="R62" s="6" t="n">
        <f aca="false">MIN(MAX($B$22,$E62),$F62)</f>
        <v>80.2476666666667</v>
      </c>
      <c r="S62" s="6" t="n">
        <f aca="false">AVERAGE(G62:R62)</f>
        <v>80.1033055555556</v>
      </c>
      <c r="T62" s="6" t="n">
        <f aca="false">1.134*STDEV(G62:R62)</f>
        <v>0.11048474010016</v>
      </c>
      <c r="U62" s="6" t="n">
        <f aca="false">ABS(S62-B62)</f>
        <v>0</v>
      </c>
      <c r="V62" s="6" t="n">
        <f aca="false">ABS(T62-C62)</f>
        <v>0</v>
      </c>
      <c r="W62" s="6" t="n">
        <f aca="false">IF(OR(NOT(ISNUMBER(B62)),B62=0),B62,ROUND(B62,MAX(3-1-INT(LOG10(ABS(B62))),0)))</f>
        <v>80.1</v>
      </c>
      <c r="X62" s="6" t="n">
        <f aca="false">IF(OR(NOT(ISNUMBER(C62)),C62=0),C62,ROUND(C62,MAX(3-1-INT(LOG10(ABS(C62))),0)))</f>
        <v>0.11</v>
      </c>
      <c r="Y62" s="6" t="n">
        <f aca="false">IF(OR(NOT(ISNUMBER(S62)),S62=0),S62,ROUND(S62,MAX(3-1-INT(LOG10(ABS(S62))),0)))</f>
        <v>80.1</v>
      </c>
      <c r="Z62" s="6" t="n">
        <f aca="false">IF(OR(NOT(ISNUMBER(T62)),T62=0),T62,ROUND(T62,MAX(3-1-INT(LOG10(ABS(T62))),0)))</f>
        <v>0.11</v>
      </c>
      <c r="AA62" s="7" t="n">
        <f aca="false">IF(AND(Y62=W62,Z62=X62),1,0)</f>
        <v>1</v>
      </c>
      <c r="AB62" s="7" t="n">
        <f aca="false">IF(AND(U62&lt;$B$4,V62&lt;$B$4),1,0)</f>
        <v>1</v>
      </c>
      <c r="AC62" s="7" t="n">
        <f aca="false">IF(OR(AA62=1,AB62=1),1,0)</f>
        <v>1</v>
      </c>
    </row>
    <row r="63" customFormat="false" ht="15" hidden="false" customHeight="false" outlineLevel="0" collapsed="false">
      <c r="A63" s="0" t="n">
        <v>37</v>
      </c>
      <c r="B63" s="6" t="n">
        <f aca="false">S62</f>
        <v>80.1033055555556</v>
      </c>
      <c r="C63" s="6" t="n">
        <f aca="false">T62</f>
        <v>0.11048474010016</v>
      </c>
      <c r="D63" s="6" t="n">
        <f aca="false">1.5*C63</f>
        <v>0.16572711015024</v>
      </c>
      <c r="E63" s="6" t="n">
        <f aca="false">B63-D63</f>
        <v>79.9375784454053</v>
      </c>
      <c r="F63" s="6" t="n">
        <f aca="false">B63+D63</f>
        <v>80.2690326657058</v>
      </c>
      <c r="G63" s="6" t="n">
        <f aca="false">MIN(MAX($B$11,$E63),$F63)</f>
        <v>80.2293333333333</v>
      </c>
      <c r="H63" s="6" t="n">
        <f aca="false">MIN(MAX($B$12,$E63),$F63)</f>
        <v>80.086</v>
      </c>
      <c r="I63" s="6" t="n">
        <f aca="false">MIN(MAX($B$13,$E63),$F63)</f>
        <v>80.056</v>
      </c>
      <c r="J63" s="6" t="n">
        <f aca="false">MIN(MAX($B$14,$E63),$F63)</f>
        <v>80.031</v>
      </c>
      <c r="K63" s="6" t="n">
        <f aca="false">MIN(MAX($B$15,$E63),$F63)</f>
        <v>80.0573333333333</v>
      </c>
      <c r="L63" s="6" t="n">
        <f aca="false">MIN(MAX($B$16,$E63),$F63)</f>
        <v>79.9836666666667</v>
      </c>
      <c r="M63" s="6" t="n">
        <f aca="false">MIN(MAX($B$17,$E63),$F63)</f>
        <v>80.091</v>
      </c>
      <c r="N63" s="6" t="n">
        <f aca="false">MIN(MAX($B$18,$E63),$F63)</f>
        <v>80.158</v>
      </c>
      <c r="O63" s="6" t="n">
        <f aca="false">MIN(MAX($B$19,$E63),$F63)</f>
        <v>80.2606666666667</v>
      </c>
      <c r="P63" s="6" t="n">
        <f aca="false">MIN(MAX($B$20,$E63),$F63)</f>
        <v>79.9916666666667</v>
      </c>
      <c r="Q63" s="6" t="n">
        <f aca="false">MIN(MAX($B$21,$E63),$F63)</f>
        <v>80.0473333333333</v>
      </c>
      <c r="R63" s="6" t="n">
        <f aca="false">MIN(MAX($B$22,$E63),$F63)</f>
        <v>80.2476666666667</v>
      </c>
      <c r="S63" s="6" t="n">
        <f aca="false">AVERAGE(G63:R63)</f>
        <v>80.1033055555556</v>
      </c>
      <c r="T63" s="6" t="n">
        <f aca="false">1.134*STDEV(G63:R63)</f>
        <v>0.11048474010016</v>
      </c>
      <c r="U63" s="6" t="n">
        <f aca="false">ABS(S63-B63)</f>
        <v>0</v>
      </c>
      <c r="V63" s="6" t="n">
        <f aca="false">ABS(T63-C63)</f>
        <v>0</v>
      </c>
      <c r="W63" s="6" t="n">
        <f aca="false">IF(OR(NOT(ISNUMBER(B63)),B63=0),B63,ROUND(B63,MAX(3-1-INT(LOG10(ABS(B63))),0)))</f>
        <v>80.1</v>
      </c>
      <c r="X63" s="6" t="n">
        <f aca="false">IF(OR(NOT(ISNUMBER(C63)),C63=0),C63,ROUND(C63,MAX(3-1-INT(LOG10(ABS(C63))),0)))</f>
        <v>0.11</v>
      </c>
      <c r="Y63" s="6" t="n">
        <f aca="false">IF(OR(NOT(ISNUMBER(S63)),S63=0),S63,ROUND(S63,MAX(3-1-INT(LOG10(ABS(S63))),0)))</f>
        <v>80.1</v>
      </c>
      <c r="Z63" s="6" t="n">
        <f aca="false">IF(OR(NOT(ISNUMBER(T63)),T63=0),T63,ROUND(T63,MAX(3-1-INT(LOG10(ABS(T63))),0)))</f>
        <v>0.11</v>
      </c>
      <c r="AA63" s="7" t="n">
        <f aca="false">IF(AND(Y63=W63,Z63=X63),1,0)</f>
        <v>1</v>
      </c>
      <c r="AB63" s="7" t="n">
        <f aca="false">IF(AND(U63&lt;$B$4,V63&lt;$B$4),1,0)</f>
        <v>1</v>
      </c>
      <c r="AC63" s="7" t="n">
        <f aca="false">IF(OR(AA63=1,AB63=1),1,0)</f>
        <v>1</v>
      </c>
    </row>
    <row r="64" customFormat="false" ht="15" hidden="false" customHeight="false" outlineLevel="0" collapsed="false">
      <c r="A64" s="0" t="n">
        <v>38</v>
      </c>
      <c r="B64" s="6" t="n">
        <f aca="false">S63</f>
        <v>80.1033055555556</v>
      </c>
      <c r="C64" s="6" t="n">
        <f aca="false">T63</f>
        <v>0.11048474010016</v>
      </c>
      <c r="D64" s="6" t="n">
        <f aca="false">1.5*C64</f>
        <v>0.16572711015024</v>
      </c>
      <c r="E64" s="6" t="n">
        <f aca="false">B64-D64</f>
        <v>79.9375784454053</v>
      </c>
      <c r="F64" s="6" t="n">
        <f aca="false">B64+D64</f>
        <v>80.2690326657058</v>
      </c>
      <c r="G64" s="6" t="n">
        <f aca="false">MIN(MAX($B$11,$E64),$F64)</f>
        <v>80.2293333333333</v>
      </c>
      <c r="H64" s="6" t="n">
        <f aca="false">MIN(MAX($B$12,$E64),$F64)</f>
        <v>80.086</v>
      </c>
      <c r="I64" s="6" t="n">
        <f aca="false">MIN(MAX($B$13,$E64),$F64)</f>
        <v>80.056</v>
      </c>
      <c r="J64" s="6" t="n">
        <f aca="false">MIN(MAX($B$14,$E64),$F64)</f>
        <v>80.031</v>
      </c>
      <c r="K64" s="6" t="n">
        <f aca="false">MIN(MAX($B$15,$E64),$F64)</f>
        <v>80.0573333333333</v>
      </c>
      <c r="L64" s="6" t="n">
        <f aca="false">MIN(MAX($B$16,$E64),$F64)</f>
        <v>79.9836666666667</v>
      </c>
      <c r="M64" s="6" t="n">
        <f aca="false">MIN(MAX($B$17,$E64),$F64)</f>
        <v>80.091</v>
      </c>
      <c r="N64" s="6" t="n">
        <f aca="false">MIN(MAX($B$18,$E64),$F64)</f>
        <v>80.158</v>
      </c>
      <c r="O64" s="6" t="n">
        <f aca="false">MIN(MAX($B$19,$E64),$F64)</f>
        <v>80.2606666666667</v>
      </c>
      <c r="P64" s="6" t="n">
        <f aca="false">MIN(MAX($B$20,$E64),$F64)</f>
        <v>79.9916666666667</v>
      </c>
      <c r="Q64" s="6" t="n">
        <f aca="false">MIN(MAX($B$21,$E64),$F64)</f>
        <v>80.0473333333333</v>
      </c>
      <c r="R64" s="6" t="n">
        <f aca="false">MIN(MAX($B$22,$E64),$F64)</f>
        <v>80.2476666666667</v>
      </c>
      <c r="S64" s="6" t="n">
        <f aca="false">AVERAGE(G64:R64)</f>
        <v>80.1033055555556</v>
      </c>
      <c r="T64" s="6" t="n">
        <f aca="false">1.134*STDEV(G64:R64)</f>
        <v>0.11048474010016</v>
      </c>
      <c r="U64" s="6" t="n">
        <f aca="false">ABS(S64-B64)</f>
        <v>0</v>
      </c>
      <c r="V64" s="6" t="n">
        <f aca="false">ABS(T64-C64)</f>
        <v>0</v>
      </c>
      <c r="W64" s="6" t="n">
        <f aca="false">IF(OR(NOT(ISNUMBER(B64)),B64=0),B64,ROUND(B64,MAX(3-1-INT(LOG10(ABS(B64))),0)))</f>
        <v>80.1</v>
      </c>
      <c r="X64" s="6" t="n">
        <f aca="false">IF(OR(NOT(ISNUMBER(C64)),C64=0),C64,ROUND(C64,MAX(3-1-INT(LOG10(ABS(C64))),0)))</f>
        <v>0.11</v>
      </c>
      <c r="Y64" s="6" t="n">
        <f aca="false">IF(OR(NOT(ISNUMBER(S64)),S64=0),S64,ROUND(S64,MAX(3-1-INT(LOG10(ABS(S64))),0)))</f>
        <v>80.1</v>
      </c>
      <c r="Z64" s="6" t="n">
        <f aca="false">IF(OR(NOT(ISNUMBER(T64)),T64=0),T64,ROUND(T64,MAX(3-1-INT(LOG10(ABS(T64))),0)))</f>
        <v>0.11</v>
      </c>
      <c r="AA64" s="7" t="n">
        <f aca="false">IF(AND(Y64=W64,Z64=X64),1,0)</f>
        <v>1</v>
      </c>
      <c r="AB64" s="7" t="n">
        <f aca="false">IF(AND(U64&lt;$B$4,V64&lt;$B$4),1,0)</f>
        <v>1</v>
      </c>
      <c r="AC64" s="7" t="n">
        <f aca="false">IF(OR(AA64=1,AB64=1),1,0)</f>
        <v>1</v>
      </c>
    </row>
    <row r="65" customFormat="false" ht="15" hidden="false" customHeight="false" outlineLevel="0" collapsed="false">
      <c r="A65" s="0" t="n">
        <v>39</v>
      </c>
      <c r="B65" s="6" t="n">
        <f aca="false">S64</f>
        <v>80.1033055555556</v>
      </c>
      <c r="C65" s="6" t="n">
        <f aca="false">T64</f>
        <v>0.11048474010016</v>
      </c>
      <c r="D65" s="6" t="n">
        <f aca="false">1.5*C65</f>
        <v>0.16572711015024</v>
      </c>
      <c r="E65" s="6" t="n">
        <f aca="false">B65-D65</f>
        <v>79.9375784454053</v>
      </c>
      <c r="F65" s="6" t="n">
        <f aca="false">B65+D65</f>
        <v>80.2690326657058</v>
      </c>
      <c r="G65" s="6" t="n">
        <f aca="false">MIN(MAX($B$11,$E65),$F65)</f>
        <v>80.2293333333333</v>
      </c>
      <c r="H65" s="6" t="n">
        <f aca="false">MIN(MAX($B$12,$E65),$F65)</f>
        <v>80.086</v>
      </c>
      <c r="I65" s="6" t="n">
        <f aca="false">MIN(MAX($B$13,$E65),$F65)</f>
        <v>80.056</v>
      </c>
      <c r="J65" s="6" t="n">
        <f aca="false">MIN(MAX($B$14,$E65),$F65)</f>
        <v>80.031</v>
      </c>
      <c r="K65" s="6" t="n">
        <f aca="false">MIN(MAX($B$15,$E65),$F65)</f>
        <v>80.0573333333333</v>
      </c>
      <c r="L65" s="6" t="n">
        <f aca="false">MIN(MAX($B$16,$E65),$F65)</f>
        <v>79.9836666666667</v>
      </c>
      <c r="M65" s="6" t="n">
        <f aca="false">MIN(MAX($B$17,$E65),$F65)</f>
        <v>80.091</v>
      </c>
      <c r="N65" s="6" t="n">
        <f aca="false">MIN(MAX($B$18,$E65),$F65)</f>
        <v>80.158</v>
      </c>
      <c r="O65" s="6" t="n">
        <f aca="false">MIN(MAX($B$19,$E65),$F65)</f>
        <v>80.2606666666667</v>
      </c>
      <c r="P65" s="6" t="n">
        <f aca="false">MIN(MAX($B$20,$E65),$F65)</f>
        <v>79.9916666666667</v>
      </c>
      <c r="Q65" s="6" t="n">
        <f aca="false">MIN(MAX($B$21,$E65),$F65)</f>
        <v>80.0473333333333</v>
      </c>
      <c r="R65" s="6" t="n">
        <f aca="false">MIN(MAX($B$22,$E65),$F65)</f>
        <v>80.2476666666667</v>
      </c>
      <c r="S65" s="6" t="n">
        <f aca="false">AVERAGE(G65:R65)</f>
        <v>80.1033055555556</v>
      </c>
      <c r="T65" s="6" t="n">
        <f aca="false">1.134*STDEV(G65:R65)</f>
        <v>0.11048474010016</v>
      </c>
      <c r="U65" s="6" t="n">
        <f aca="false">ABS(S65-B65)</f>
        <v>0</v>
      </c>
      <c r="V65" s="6" t="n">
        <f aca="false">ABS(T65-C65)</f>
        <v>0</v>
      </c>
      <c r="W65" s="6" t="n">
        <f aca="false">IF(OR(NOT(ISNUMBER(B65)),B65=0),B65,ROUND(B65,MAX(3-1-INT(LOG10(ABS(B65))),0)))</f>
        <v>80.1</v>
      </c>
      <c r="X65" s="6" t="n">
        <f aca="false">IF(OR(NOT(ISNUMBER(C65)),C65=0),C65,ROUND(C65,MAX(3-1-INT(LOG10(ABS(C65))),0)))</f>
        <v>0.11</v>
      </c>
      <c r="Y65" s="6" t="n">
        <f aca="false">IF(OR(NOT(ISNUMBER(S65)),S65=0),S65,ROUND(S65,MAX(3-1-INT(LOG10(ABS(S65))),0)))</f>
        <v>80.1</v>
      </c>
      <c r="Z65" s="6" t="n">
        <f aca="false">IF(OR(NOT(ISNUMBER(T65)),T65=0),T65,ROUND(T65,MAX(3-1-INT(LOG10(ABS(T65))),0)))</f>
        <v>0.11</v>
      </c>
      <c r="AA65" s="7" t="n">
        <f aca="false">IF(AND(Y65=W65,Z65=X65),1,0)</f>
        <v>1</v>
      </c>
      <c r="AB65" s="7" t="n">
        <f aca="false">IF(AND(U65&lt;$B$4,V65&lt;$B$4),1,0)</f>
        <v>1</v>
      </c>
      <c r="AC65" s="7" t="n">
        <f aca="false">IF(OR(AA65=1,AB65=1),1,0)</f>
        <v>1</v>
      </c>
    </row>
    <row r="66" customFormat="false" ht="15" hidden="false" customHeight="false" outlineLevel="0" collapsed="false">
      <c r="A66" s="0" t="n">
        <v>40</v>
      </c>
      <c r="B66" s="6" t="n">
        <f aca="false">S65</f>
        <v>80.1033055555556</v>
      </c>
      <c r="C66" s="6" t="n">
        <f aca="false">T65</f>
        <v>0.11048474010016</v>
      </c>
      <c r="D66" s="6" t="n">
        <f aca="false">1.5*C66</f>
        <v>0.16572711015024</v>
      </c>
      <c r="E66" s="6" t="n">
        <f aca="false">B66-D66</f>
        <v>79.9375784454053</v>
      </c>
      <c r="F66" s="6" t="n">
        <f aca="false">B66+D66</f>
        <v>80.2690326657058</v>
      </c>
      <c r="G66" s="6" t="n">
        <f aca="false">MIN(MAX($B$11,$E66),$F66)</f>
        <v>80.2293333333333</v>
      </c>
      <c r="H66" s="6" t="n">
        <f aca="false">MIN(MAX($B$12,$E66),$F66)</f>
        <v>80.086</v>
      </c>
      <c r="I66" s="6" t="n">
        <f aca="false">MIN(MAX($B$13,$E66),$F66)</f>
        <v>80.056</v>
      </c>
      <c r="J66" s="6" t="n">
        <f aca="false">MIN(MAX($B$14,$E66),$F66)</f>
        <v>80.031</v>
      </c>
      <c r="K66" s="6" t="n">
        <f aca="false">MIN(MAX($B$15,$E66),$F66)</f>
        <v>80.0573333333333</v>
      </c>
      <c r="L66" s="6" t="n">
        <f aca="false">MIN(MAX($B$16,$E66),$F66)</f>
        <v>79.9836666666667</v>
      </c>
      <c r="M66" s="6" t="n">
        <f aca="false">MIN(MAX($B$17,$E66),$F66)</f>
        <v>80.091</v>
      </c>
      <c r="N66" s="6" t="n">
        <f aca="false">MIN(MAX($B$18,$E66),$F66)</f>
        <v>80.158</v>
      </c>
      <c r="O66" s="6" t="n">
        <f aca="false">MIN(MAX($B$19,$E66),$F66)</f>
        <v>80.2606666666667</v>
      </c>
      <c r="P66" s="6" t="n">
        <f aca="false">MIN(MAX($B$20,$E66),$F66)</f>
        <v>79.9916666666667</v>
      </c>
      <c r="Q66" s="6" t="n">
        <f aca="false">MIN(MAX($B$21,$E66),$F66)</f>
        <v>80.0473333333333</v>
      </c>
      <c r="R66" s="6" t="n">
        <f aca="false">MIN(MAX($B$22,$E66),$F66)</f>
        <v>80.2476666666667</v>
      </c>
      <c r="S66" s="6" t="n">
        <f aca="false">AVERAGE(G66:R66)</f>
        <v>80.1033055555556</v>
      </c>
      <c r="T66" s="6" t="n">
        <f aca="false">1.134*STDEV(G66:R66)</f>
        <v>0.11048474010016</v>
      </c>
      <c r="U66" s="6" t="n">
        <f aca="false">ABS(S66-B66)</f>
        <v>0</v>
      </c>
      <c r="V66" s="6" t="n">
        <f aca="false">ABS(T66-C66)</f>
        <v>0</v>
      </c>
      <c r="W66" s="6" t="n">
        <f aca="false">IF(OR(NOT(ISNUMBER(B66)),B66=0),B66,ROUND(B66,MAX(3-1-INT(LOG10(ABS(B66))),0)))</f>
        <v>80.1</v>
      </c>
      <c r="X66" s="6" t="n">
        <f aca="false">IF(OR(NOT(ISNUMBER(C66)),C66=0),C66,ROUND(C66,MAX(3-1-INT(LOG10(ABS(C66))),0)))</f>
        <v>0.11</v>
      </c>
      <c r="Y66" s="6" t="n">
        <f aca="false">IF(OR(NOT(ISNUMBER(S66)),S66=0),S66,ROUND(S66,MAX(3-1-INT(LOG10(ABS(S66))),0)))</f>
        <v>80.1</v>
      </c>
      <c r="Z66" s="6" t="n">
        <f aca="false">IF(OR(NOT(ISNUMBER(T66)),T66=0),T66,ROUND(T66,MAX(3-1-INT(LOG10(ABS(T66))),0)))</f>
        <v>0.11</v>
      </c>
      <c r="AA66" s="7" t="n">
        <f aca="false">IF(AND(Y66=W66,Z66=X66),1,0)</f>
        <v>1</v>
      </c>
      <c r="AB66" s="7" t="n">
        <f aca="false">IF(AND(U66&lt;$B$4,V66&lt;$B$4),1,0)</f>
        <v>1</v>
      </c>
      <c r="AC66" s="7" t="n">
        <f aca="false">IF(OR(AA66=1,AB66=1),1,0)</f>
        <v>1</v>
      </c>
    </row>
    <row r="67" customFormat="false" ht="15" hidden="false" customHeight="false" outlineLevel="0" collapsed="false">
      <c r="A67" s="0" t="n">
        <v>41</v>
      </c>
      <c r="B67" s="6" t="n">
        <f aca="false">S66</f>
        <v>80.1033055555556</v>
      </c>
      <c r="C67" s="6" t="n">
        <f aca="false">T66</f>
        <v>0.11048474010016</v>
      </c>
      <c r="D67" s="6" t="n">
        <f aca="false">1.5*C67</f>
        <v>0.16572711015024</v>
      </c>
      <c r="E67" s="6" t="n">
        <f aca="false">B67-D67</f>
        <v>79.9375784454053</v>
      </c>
      <c r="F67" s="6" t="n">
        <f aca="false">B67+D67</f>
        <v>80.2690326657058</v>
      </c>
      <c r="G67" s="6" t="n">
        <f aca="false">MIN(MAX($B$11,$E67),$F67)</f>
        <v>80.2293333333333</v>
      </c>
      <c r="H67" s="6" t="n">
        <f aca="false">MIN(MAX($B$12,$E67),$F67)</f>
        <v>80.086</v>
      </c>
      <c r="I67" s="6" t="n">
        <f aca="false">MIN(MAX($B$13,$E67),$F67)</f>
        <v>80.056</v>
      </c>
      <c r="J67" s="6" t="n">
        <f aca="false">MIN(MAX($B$14,$E67),$F67)</f>
        <v>80.031</v>
      </c>
      <c r="K67" s="6" t="n">
        <f aca="false">MIN(MAX($B$15,$E67),$F67)</f>
        <v>80.0573333333333</v>
      </c>
      <c r="L67" s="6" t="n">
        <f aca="false">MIN(MAX($B$16,$E67),$F67)</f>
        <v>79.9836666666667</v>
      </c>
      <c r="M67" s="6" t="n">
        <f aca="false">MIN(MAX($B$17,$E67),$F67)</f>
        <v>80.091</v>
      </c>
      <c r="N67" s="6" t="n">
        <f aca="false">MIN(MAX($B$18,$E67),$F67)</f>
        <v>80.158</v>
      </c>
      <c r="O67" s="6" t="n">
        <f aca="false">MIN(MAX($B$19,$E67),$F67)</f>
        <v>80.2606666666667</v>
      </c>
      <c r="P67" s="6" t="n">
        <f aca="false">MIN(MAX($B$20,$E67),$F67)</f>
        <v>79.9916666666667</v>
      </c>
      <c r="Q67" s="6" t="n">
        <f aca="false">MIN(MAX($B$21,$E67),$F67)</f>
        <v>80.0473333333333</v>
      </c>
      <c r="R67" s="6" t="n">
        <f aca="false">MIN(MAX($B$22,$E67),$F67)</f>
        <v>80.2476666666667</v>
      </c>
      <c r="S67" s="6" t="n">
        <f aca="false">AVERAGE(G67:R67)</f>
        <v>80.1033055555556</v>
      </c>
      <c r="T67" s="6" t="n">
        <f aca="false">1.134*STDEV(G67:R67)</f>
        <v>0.11048474010016</v>
      </c>
      <c r="U67" s="6" t="n">
        <f aca="false">ABS(S67-B67)</f>
        <v>0</v>
      </c>
      <c r="V67" s="6" t="n">
        <f aca="false">ABS(T67-C67)</f>
        <v>0</v>
      </c>
      <c r="W67" s="6" t="n">
        <f aca="false">IF(OR(NOT(ISNUMBER(B67)),B67=0),B67,ROUND(B67,MAX(3-1-INT(LOG10(ABS(B67))),0)))</f>
        <v>80.1</v>
      </c>
      <c r="X67" s="6" t="n">
        <f aca="false">IF(OR(NOT(ISNUMBER(C67)),C67=0),C67,ROUND(C67,MAX(3-1-INT(LOG10(ABS(C67))),0)))</f>
        <v>0.11</v>
      </c>
      <c r="Y67" s="6" t="n">
        <f aca="false">IF(OR(NOT(ISNUMBER(S67)),S67=0),S67,ROUND(S67,MAX(3-1-INT(LOG10(ABS(S67))),0)))</f>
        <v>80.1</v>
      </c>
      <c r="Z67" s="6" t="n">
        <f aca="false">IF(OR(NOT(ISNUMBER(T67)),T67=0),T67,ROUND(T67,MAX(3-1-INT(LOG10(ABS(T67))),0)))</f>
        <v>0.11</v>
      </c>
      <c r="AA67" s="7" t="n">
        <f aca="false">IF(AND(Y67=W67,Z67=X67),1,0)</f>
        <v>1</v>
      </c>
      <c r="AB67" s="7" t="n">
        <f aca="false">IF(AND(U67&lt;$B$4,V67&lt;$B$4),1,0)</f>
        <v>1</v>
      </c>
      <c r="AC67" s="7" t="n">
        <f aca="false">IF(OR(AA67=1,AB67=1),1,0)</f>
        <v>1</v>
      </c>
    </row>
    <row r="68" customFormat="false" ht="15" hidden="false" customHeight="false" outlineLevel="0" collapsed="false">
      <c r="A68" s="0" t="n">
        <v>42</v>
      </c>
      <c r="B68" s="6" t="n">
        <f aca="false">S67</f>
        <v>80.1033055555556</v>
      </c>
      <c r="C68" s="6" t="n">
        <f aca="false">T67</f>
        <v>0.11048474010016</v>
      </c>
      <c r="D68" s="6" t="n">
        <f aca="false">1.5*C68</f>
        <v>0.16572711015024</v>
      </c>
      <c r="E68" s="6" t="n">
        <f aca="false">B68-D68</f>
        <v>79.9375784454053</v>
      </c>
      <c r="F68" s="6" t="n">
        <f aca="false">B68+D68</f>
        <v>80.2690326657058</v>
      </c>
      <c r="G68" s="6" t="n">
        <f aca="false">MIN(MAX($B$11,$E68),$F68)</f>
        <v>80.2293333333333</v>
      </c>
      <c r="H68" s="6" t="n">
        <f aca="false">MIN(MAX($B$12,$E68),$F68)</f>
        <v>80.086</v>
      </c>
      <c r="I68" s="6" t="n">
        <f aca="false">MIN(MAX($B$13,$E68),$F68)</f>
        <v>80.056</v>
      </c>
      <c r="J68" s="6" t="n">
        <f aca="false">MIN(MAX($B$14,$E68),$F68)</f>
        <v>80.031</v>
      </c>
      <c r="K68" s="6" t="n">
        <f aca="false">MIN(MAX($B$15,$E68),$F68)</f>
        <v>80.0573333333333</v>
      </c>
      <c r="L68" s="6" t="n">
        <f aca="false">MIN(MAX($B$16,$E68),$F68)</f>
        <v>79.9836666666667</v>
      </c>
      <c r="M68" s="6" t="n">
        <f aca="false">MIN(MAX($B$17,$E68),$F68)</f>
        <v>80.091</v>
      </c>
      <c r="N68" s="6" t="n">
        <f aca="false">MIN(MAX($B$18,$E68),$F68)</f>
        <v>80.158</v>
      </c>
      <c r="O68" s="6" t="n">
        <f aca="false">MIN(MAX($B$19,$E68),$F68)</f>
        <v>80.2606666666667</v>
      </c>
      <c r="P68" s="6" t="n">
        <f aca="false">MIN(MAX($B$20,$E68),$F68)</f>
        <v>79.9916666666667</v>
      </c>
      <c r="Q68" s="6" t="n">
        <f aca="false">MIN(MAX($B$21,$E68),$F68)</f>
        <v>80.0473333333333</v>
      </c>
      <c r="R68" s="6" t="n">
        <f aca="false">MIN(MAX($B$22,$E68),$F68)</f>
        <v>80.2476666666667</v>
      </c>
      <c r="S68" s="6" t="n">
        <f aca="false">AVERAGE(G68:R68)</f>
        <v>80.1033055555556</v>
      </c>
      <c r="T68" s="6" t="n">
        <f aca="false">1.134*STDEV(G68:R68)</f>
        <v>0.11048474010016</v>
      </c>
      <c r="U68" s="6" t="n">
        <f aca="false">ABS(S68-B68)</f>
        <v>0</v>
      </c>
      <c r="V68" s="6" t="n">
        <f aca="false">ABS(T68-C68)</f>
        <v>0</v>
      </c>
      <c r="W68" s="6" t="n">
        <f aca="false">IF(OR(NOT(ISNUMBER(B68)),B68=0),B68,ROUND(B68,MAX(3-1-INT(LOG10(ABS(B68))),0)))</f>
        <v>80.1</v>
      </c>
      <c r="X68" s="6" t="n">
        <f aca="false">IF(OR(NOT(ISNUMBER(C68)),C68=0),C68,ROUND(C68,MAX(3-1-INT(LOG10(ABS(C68))),0)))</f>
        <v>0.11</v>
      </c>
      <c r="Y68" s="6" t="n">
        <f aca="false">IF(OR(NOT(ISNUMBER(S68)),S68=0),S68,ROUND(S68,MAX(3-1-INT(LOG10(ABS(S68))),0)))</f>
        <v>80.1</v>
      </c>
      <c r="Z68" s="6" t="n">
        <f aca="false">IF(OR(NOT(ISNUMBER(T68)),T68=0),T68,ROUND(T68,MAX(3-1-INT(LOG10(ABS(T68))),0)))</f>
        <v>0.11</v>
      </c>
      <c r="AA68" s="7" t="n">
        <f aca="false">IF(AND(Y68=W68,Z68=X68),1,0)</f>
        <v>1</v>
      </c>
      <c r="AB68" s="7" t="n">
        <f aca="false">IF(AND(U68&lt;$B$4,V68&lt;$B$4),1,0)</f>
        <v>1</v>
      </c>
      <c r="AC68" s="7" t="n">
        <f aca="false">IF(OR(AA68=1,AB68=1),1,0)</f>
        <v>1</v>
      </c>
    </row>
    <row r="69" customFormat="false" ht="15" hidden="false" customHeight="false" outlineLevel="0" collapsed="false">
      <c r="A69" s="0" t="n">
        <v>43</v>
      </c>
      <c r="B69" s="6" t="n">
        <f aca="false">S68</f>
        <v>80.1033055555556</v>
      </c>
      <c r="C69" s="6" t="n">
        <f aca="false">T68</f>
        <v>0.11048474010016</v>
      </c>
      <c r="D69" s="6" t="n">
        <f aca="false">1.5*C69</f>
        <v>0.16572711015024</v>
      </c>
      <c r="E69" s="6" t="n">
        <f aca="false">B69-D69</f>
        <v>79.9375784454053</v>
      </c>
      <c r="F69" s="6" t="n">
        <f aca="false">B69+D69</f>
        <v>80.2690326657058</v>
      </c>
      <c r="G69" s="6" t="n">
        <f aca="false">MIN(MAX($B$11,$E69),$F69)</f>
        <v>80.2293333333333</v>
      </c>
      <c r="H69" s="6" t="n">
        <f aca="false">MIN(MAX($B$12,$E69),$F69)</f>
        <v>80.086</v>
      </c>
      <c r="I69" s="6" t="n">
        <f aca="false">MIN(MAX($B$13,$E69),$F69)</f>
        <v>80.056</v>
      </c>
      <c r="J69" s="6" t="n">
        <f aca="false">MIN(MAX($B$14,$E69),$F69)</f>
        <v>80.031</v>
      </c>
      <c r="K69" s="6" t="n">
        <f aca="false">MIN(MAX($B$15,$E69),$F69)</f>
        <v>80.0573333333333</v>
      </c>
      <c r="L69" s="6" t="n">
        <f aca="false">MIN(MAX($B$16,$E69),$F69)</f>
        <v>79.9836666666667</v>
      </c>
      <c r="M69" s="6" t="n">
        <f aca="false">MIN(MAX($B$17,$E69),$F69)</f>
        <v>80.091</v>
      </c>
      <c r="N69" s="6" t="n">
        <f aca="false">MIN(MAX($B$18,$E69),$F69)</f>
        <v>80.158</v>
      </c>
      <c r="O69" s="6" t="n">
        <f aca="false">MIN(MAX($B$19,$E69),$F69)</f>
        <v>80.2606666666667</v>
      </c>
      <c r="P69" s="6" t="n">
        <f aca="false">MIN(MAX($B$20,$E69),$F69)</f>
        <v>79.9916666666667</v>
      </c>
      <c r="Q69" s="6" t="n">
        <f aca="false">MIN(MAX($B$21,$E69),$F69)</f>
        <v>80.0473333333333</v>
      </c>
      <c r="R69" s="6" t="n">
        <f aca="false">MIN(MAX($B$22,$E69),$F69)</f>
        <v>80.2476666666667</v>
      </c>
      <c r="S69" s="6" t="n">
        <f aca="false">AVERAGE(G69:R69)</f>
        <v>80.1033055555556</v>
      </c>
      <c r="T69" s="6" t="n">
        <f aca="false">1.134*STDEV(G69:R69)</f>
        <v>0.11048474010016</v>
      </c>
      <c r="U69" s="6" t="n">
        <f aca="false">ABS(S69-B69)</f>
        <v>0</v>
      </c>
      <c r="V69" s="6" t="n">
        <f aca="false">ABS(T69-C69)</f>
        <v>0</v>
      </c>
      <c r="W69" s="6" t="n">
        <f aca="false">IF(OR(NOT(ISNUMBER(B69)),B69=0),B69,ROUND(B69,MAX(3-1-INT(LOG10(ABS(B69))),0)))</f>
        <v>80.1</v>
      </c>
      <c r="X69" s="6" t="n">
        <f aca="false">IF(OR(NOT(ISNUMBER(C69)),C69=0),C69,ROUND(C69,MAX(3-1-INT(LOG10(ABS(C69))),0)))</f>
        <v>0.11</v>
      </c>
      <c r="Y69" s="6" t="n">
        <f aca="false">IF(OR(NOT(ISNUMBER(S69)),S69=0),S69,ROUND(S69,MAX(3-1-INT(LOG10(ABS(S69))),0)))</f>
        <v>80.1</v>
      </c>
      <c r="Z69" s="6" t="n">
        <f aca="false">IF(OR(NOT(ISNUMBER(T69)),T69=0),T69,ROUND(T69,MAX(3-1-INT(LOG10(ABS(T69))),0)))</f>
        <v>0.11</v>
      </c>
      <c r="AA69" s="7" t="n">
        <f aca="false">IF(AND(Y69=W69,Z69=X69),1,0)</f>
        <v>1</v>
      </c>
      <c r="AB69" s="7" t="n">
        <f aca="false">IF(AND(U69&lt;$B$4,V69&lt;$B$4),1,0)</f>
        <v>1</v>
      </c>
      <c r="AC69" s="7" t="n">
        <f aca="false">IF(OR(AA69=1,AB69=1),1,0)</f>
        <v>1</v>
      </c>
    </row>
    <row r="70" customFormat="false" ht="15" hidden="false" customHeight="false" outlineLevel="0" collapsed="false">
      <c r="A70" s="0" t="n">
        <v>44</v>
      </c>
      <c r="B70" s="6" t="n">
        <f aca="false">S69</f>
        <v>80.1033055555556</v>
      </c>
      <c r="C70" s="6" t="n">
        <f aca="false">T69</f>
        <v>0.11048474010016</v>
      </c>
      <c r="D70" s="6" t="n">
        <f aca="false">1.5*C70</f>
        <v>0.16572711015024</v>
      </c>
      <c r="E70" s="6" t="n">
        <f aca="false">B70-D70</f>
        <v>79.9375784454053</v>
      </c>
      <c r="F70" s="6" t="n">
        <f aca="false">B70+D70</f>
        <v>80.2690326657058</v>
      </c>
      <c r="G70" s="6" t="n">
        <f aca="false">MIN(MAX($B$11,$E70),$F70)</f>
        <v>80.2293333333333</v>
      </c>
      <c r="H70" s="6" t="n">
        <f aca="false">MIN(MAX($B$12,$E70),$F70)</f>
        <v>80.086</v>
      </c>
      <c r="I70" s="6" t="n">
        <f aca="false">MIN(MAX($B$13,$E70),$F70)</f>
        <v>80.056</v>
      </c>
      <c r="J70" s="6" t="n">
        <f aca="false">MIN(MAX($B$14,$E70),$F70)</f>
        <v>80.031</v>
      </c>
      <c r="K70" s="6" t="n">
        <f aca="false">MIN(MAX($B$15,$E70),$F70)</f>
        <v>80.0573333333333</v>
      </c>
      <c r="L70" s="6" t="n">
        <f aca="false">MIN(MAX($B$16,$E70),$F70)</f>
        <v>79.9836666666667</v>
      </c>
      <c r="M70" s="6" t="n">
        <f aca="false">MIN(MAX($B$17,$E70),$F70)</f>
        <v>80.091</v>
      </c>
      <c r="N70" s="6" t="n">
        <f aca="false">MIN(MAX($B$18,$E70),$F70)</f>
        <v>80.158</v>
      </c>
      <c r="O70" s="6" t="n">
        <f aca="false">MIN(MAX($B$19,$E70),$F70)</f>
        <v>80.2606666666667</v>
      </c>
      <c r="P70" s="6" t="n">
        <f aca="false">MIN(MAX($B$20,$E70),$F70)</f>
        <v>79.9916666666667</v>
      </c>
      <c r="Q70" s="6" t="n">
        <f aca="false">MIN(MAX($B$21,$E70),$F70)</f>
        <v>80.0473333333333</v>
      </c>
      <c r="R70" s="6" t="n">
        <f aca="false">MIN(MAX($B$22,$E70),$F70)</f>
        <v>80.2476666666667</v>
      </c>
      <c r="S70" s="6" t="n">
        <f aca="false">AVERAGE(G70:R70)</f>
        <v>80.1033055555556</v>
      </c>
      <c r="T70" s="6" t="n">
        <f aca="false">1.134*STDEV(G70:R70)</f>
        <v>0.11048474010016</v>
      </c>
      <c r="U70" s="6" t="n">
        <f aca="false">ABS(S70-B70)</f>
        <v>0</v>
      </c>
      <c r="V70" s="6" t="n">
        <f aca="false">ABS(T70-C70)</f>
        <v>0</v>
      </c>
      <c r="W70" s="6" t="n">
        <f aca="false">IF(OR(NOT(ISNUMBER(B70)),B70=0),B70,ROUND(B70,MAX(3-1-INT(LOG10(ABS(B70))),0)))</f>
        <v>80.1</v>
      </c>
      <c r="X70" s="6" t="n">
        <f aca="false">IF(OR(NOT(ISNUMBER(C70)),C70=0),C70,ROUND(C70,MAX(3-1-INT(LOG10(ABS(C70))),0)))</f>
        <v>0.11</v>
      </c>
      <c r="Y70" s="6" t="n">
        <f aca="false">IF(OR(NOT(ISNUMBER(S70)),S70=0),S70,ROUND(S70,MAX(3-1-INT(LOG10(ABS(S70))),0)))</f>
        <v>80.1</v>
      </c>
      <c r="Z70" s="6" t="n">
        <f aca="false">IF(OR(NOT(ISNUMBER(T70)),T70=0),T70,ROUND(T70,MAX(3-1-INT(LOG10(ABS(T70))),0)))</f>
        <v>0.11</v>
      </c>
      <c r="AA70" s="7" t="n">
        <f aca="false">IF(AND(Y70=W70,Z70=X70),1,0)</f>
        <v>1</v>
      </c>
      <c r="AB70" s="7" t="n">
        <f aca="false">IF(AND(U70&lt;$B$4,V70&lt;$B$4),1,0)</f>
        <v>1</v>
      </c>
      <c r="AC70" s="7" t="n">
        <f aca="false">IF(OR(AA70=1,AB70=1),1,0)</f>
        <v>1</v>
      </c>
    </row>
    <row r="71" customFormat="false" ht="15" hidden="false" customHeight="false" outlineLevel="0" collapsed="false">
      <c r="A71" s="0" t="n">
        <v>45</v>
      </c>
      <c r="B71" s="6" t="n">
        <f aca="false">S70</f>
        <v>80.1033055555556</v>
      </c>
      <c r="C71" s="6" t="n">
        <f aca="false">T70</f>
        <v>0.11048474010016</v>
      </c>
      <c r="D71" s="6" t="n">
        <f aca="false">1.5*C71</f>
        <v>0.16572711015024</v>
      </c>
      <c r="E71" s="6" t="n">
        <f aca="false">B71-D71</f>
        <v>79.9375784454053</v>
      </c>
      <c r="F71" s="6" t="n">
        <f aca="false">B71+D71</f>
        <v>80.2690326657058</v>
      </c>
      <c r="G71" s="6" t="n">
        <f aca="false">MIN(MAX($B$11,$E71),$F71)</f>
        <v>80.2293333333333</v>
      </c>
      <c r="H71" s="6" t="n">
        <f aca="false">MIN(MAX($B$12,$E71),$F71)</f>
        <v>80.086</v>
      </c>
      <c r="I71" s="6" t="n">
        <f aca="false">MIN(MAX($B$13,$E71),$F71)</f>
        <v>80.056</v>
      </c>
      <c r="J71" s="6" t="n">
        <f aca="false">MIN(MAX($B$14,$E71),$F71)</f>
        <v>80.031</v>
      </c>
      <c r="K71" s="6" t="n">
        <f aca="false">MIN(MAX($B$15,$E71),$F71)</f>
        <v>80.0573333333333</v>
      </c>
      <c r="L71" s="6" t="n">
        <f aca="false">MIN(MAX($B$16,$E71),$F71)</f>
        <v>79.9836666666667</v>
      </c>
      <c r="M71" s="6" t="n">
        <f aca="false">MIN(MAX($B$17,$E71),$F71)</f>
        <v>80.091</v>
      </c>
      <c r="N71" s="6" t="n">
        <f aca="false">MIN(MAX($B$18,$E71),$F71)</f>
        <v>80.158</v>
      </c>
      <c r="O71" s="6" t="n">
        <f aca="false">MIN(MAX($B$19,$E71),$F71)</f>
        <v>80.2606666666667</v>
      </c>
      <c r="P71" s="6" t="n">
        <f aca="false">MIN(MAX($B$20,$E71),$F71)</f>
        <v>79.9916666666667</v>
      </c>
      <c r="Q71" s="6" t="n">
        <f aca="false">MIN(MAX($B$21,$E71),$F71)</f>
        <v>80.0473333333333</v>
      </c>
      <c r="R71" s="6" t="n">
        <f aca="false">MIN(MAX($B$22,$E71),$F71)</f>
        <v>80.2476666666667</v>
      </c>
      <c r="S71" s="6" t="n">
        <f aca="false">AVERAGE(G71:R71)</f>
        <v>80.1033055555556</v>
      </c>
      <c r="T71" s="6" t="n">
        <f aca="false">1.134*STDEV(G71:R71)</f>
        <v>0.11048474010016</v>
      </c>
      <c r="U71" s="6" t="n">
        <f aca="false">ABS(S71-B71)</f>
        <v>0</v>
      </c>
      <c r="V71" s="6" t="n">
        <f aca="false">ABS(T71-C71)</f>
        <v>0</v>
      </c>
      <c r="W71" s="6" t="n">
        <f aca="false">IF(OR(NOT(ISNUMBER(B71)),B71=0),B71,ROUND(B71,MAX(3-1-INT(LOG10(ABS(B71))),0)))</f>
        <v>80.1</v>
      </c>
      <c r="X71" s="6" t="n">
        <f aca="false">IF(OR(NOT(ISNUMBER(C71)),C71=0),C71,ROUND(C71,MAX(3-1-INT(LOG10(ABS(C71))),0)))</f>
        <v>0.11</v>
      </c>
      <c r="Y71" s="6" t="n">
        <f aca="false">IF(OR(NOT(ISNUMBER(S71)),S71=0),S71,ROUND(S71,MAX(3-1-INT(LOG10(ABS(S71))),0)))</f>
        <v>80.1</v>
      </c>
      <c r="Z71" s="6" t="n">
        <f aca="false">IF(OR(NOT(ISNUMBER(T71)),T71=0),T71,ROUND(T71,MAX(3-1-INT(LOG10(ABS(T71))),0)))</f>
        <v>0.11</v>
      </c>
      <c r="AA71" s="7" t="n">
        <f aca="false">IF(AND(Y71=W71,Z71=X71),1,0)</f>
        <v>1</v>
      </c>
      <c r="AB71" s="7" t="n">
        <f aca="false">IF(AND(U71&lt;$B$4,V71&lt;$B$4),1,0)</f>
        <v>1</v>
      </c>
      <c r="AC71" s="7" t="n">
        <f aca="false">IF(OR(AA71=1,AB71=1),1,0)</f>
        <v>1</v>
      </c>
    </row>
    <row r="72" customFormat="false" ht="15" hidden="false" customHeight="false" outlineLevel="0" collapsed="false">
      <c r="A72" s="0" t="n">
        <v>46</v>
      </c>
      <c r="B72" s="6" t="n">
        <f aca="false">S71</f>
        <v>80.1033055555556</v>
      </c>
      <c r="C72" s="6" t="n">
        <f aca="false">T71</f>
        <v>0.11048474010016</v>
      </c>
      <c r="D72" s="6" t="n">
        <f aca="false">1.5*C72</f>
        <v>0.16572711015024</v>
      </c>
      <c r="E72" s="6" t="n">
        <f aca="false">B72-D72</f>
        <v>79.9375784454053</v>
      </c>
      <c r="F72" s="6" t="n">
        <f aca="false">B72+D72</f>
        <v>80.2690326657058</v>
      </c>
      <c r="G72" s="6" t="n">
        <f aca="false">MIN(MAX($B$11,$E72),$F72)</f>
        <v>80.2293333333333</v>
      </c>
      <c r="H72" s="6" t="n">
        <f aca="false">MIN(MAX($B$12,$E72),$F72)</f>
        <v>80.086</v>
      </c>
      <c r="I72" s="6" t="n">
        <f aca="false">MIN(MAX($B$13,$E72),$F72)</f>
        <v>80.056</v>
      </c>
      <c r="J72" s="6" t="n">
        <f aca="false">MIN(MAX($B$14,$E72),$F72)</f>
        <v>80.031</v>
      </c>
      <c r="K72" s="6" t="n">
        <f aca="false">MIN(MAX($B$15,$E72),$F72)</f>
        <v>80.0573333333333</v>
      </c>
      <c r="L72" s="6" t="n">
        <f aca="false">MIN(MAX($B$16,$E72),$F72)</f>
        <v>79.9836666666667</v>
      </c>
      <c r="M72" s="6" t="n">
        <f aca="false">MIN(MAX($B$17,$E72),$F72)</f>
        <v>80.091</v>
      </c>
      <c r="N72" s="6" t="n">
        <f aca="false">MIN(MAX($B$18,$E72),$F72)</f>
        <v>80.158</v>
      </c>
      <c r="O72" s="6" t="n">
        <f aca="false">MIN(MAX($B$19,$E72),$F72)</f>
        <v>80.2606666666667</v>
      </c>
      <c r="P72" s="6" t="n">
        <f aca="false">MIN(MAX($B$20,$E72),$F72)</f>
        <v>79.9916666666667</v>
      </c>
      <c r="Q72" s="6" t="n">
        <f aca="false">MIN(MAX($B$21,$E72),$F72)</f>
        <v>80.0473333333333</v>
      </c>
      <c r="R72" s="6" t="n">
        <f aca="false">MIN(MAX($B$22,$E72),$F72)</f>
        <v>80.2476666666667</v>
      </c>
      <c r="S72" s="6" t="n">
        <f aca="false">AVERAGE(G72:R72)</f>
        <v>80.1033055555556</v>
      </c>
      <c r="T72" s="6" t="n">
        <f aca="false">1.134*STDEV(G72:R72)</f>
        <v>0.11048474010016</v>
      </c>
      <c r="U72" s="6" t="n">
        <f aca="false">ABS(S72-B72)</f>
        <v>0</v>
      </c>
      <c r="V72" s="6" t="n">
        <f aca="false">ABS(T72-C72)</f>
        <v>0</v>
      </c>
      <c r="W72" s="6" t="n">
        <f aca="false">IF(OR(NOT(ISNUMBER(B72)),B72=0),B72,ROUND(B72,MAX(3-1-INT(LOG10(ABS(B72))),0)))</f>
        <v>80.1</v>
      </c>
      <c r="X72" s="6" t="n">
        <f aca="false">IF(OR(NOT(ISNUMBER(C72)),C72=0),C72,ROUND(C72,MAX(3-1-INT(LOG10(ABS(C72))),0)))</f>
        <v>0.11</v>
      </c>
      <c r="Y72" s="6" t="n">
        <f aca="false">IF(OR(NOT(ISNUMBER(S72)),S72=0),S72,ROUND(S72,MAX(3-1-INT(LOG10(ABS(S72))),0)))</f>
        <v>80.1</v>
      </c>
      <c r="Z72" s="6" t="n">
        <f aca="false">IF(OR(NOT(ISNUMBER(T72)),T72=0),T72,ROUND(T72,MAX(3-1-INT(LOG10(ABS(T72))),0)))</f>
        <v>0.11</v>
      </c>
      <c r="AA72" s="7" t="n">
        <f aca="false">IF(AND(Y72=W72,Z72=X72),1,0)</f>
        <v>1</v>
      </c>
      <c r="AB72" s="7" t="n">
        <f aca="false">IF(AND(U72&lt;$B$4,V72&lt;$B$4),1,0)</f>
        <v>1</v>
      </c>
      <c r="AC72" s="7" t="n">
        <f aca="false">IF(OR(AA72=1,AB72=1),1,0)</f>
        <v>1</v>
      </c>
    </row>
    <row r="73" customFormat="false" ht="15" hidden="false" customHeight="false" outlineLevel="0" collapsed="false">
      <c r="A73" s="0" t="n">
        <v>47</v>
      </c>
      <c r="B73" s="6" t="n">
        <f aca="false">S72</f>
        <v>80.1033055555556</v>
      </c>
      <c r="C73" s="6" t="n">
        <f aca="false">T72</f>
        <v>0.11048474010016</v>
      </c>
      <c r="D73" s="6" t="n">
        <f aca="false">1.5*C73</f>
        <v>0.16572711015024</v>
      </c>
      <c r="E73" s="6" t="n">
        <f aca="false">B73-D73</f>
        <v>79.9375784454053</v>
      </c>
      <c r="F73" s="6" t="n">
        <f aca="false">B73+D73</f>
        <v>80.2690326657058</v>
      </c>
      <c r="G73" s="6" t="n">
        <f aca="false">MIN(MAX($B$11,$E73),$F73)</f>
        <v>80.2293333333333</v>
      </c>
      <c r="H73" s="6" t="n">
        <f aca="false">MIN(MAX($B$12,$E73),$F73)</f>
        <v>80.086</v>
      </c>
      <c r="I73" s="6" t="n">
        <f aca="false">MIN(MAX($B$13,$E73),$F73)</f>
        <v>80.056</v>
      </c>
      <c r="J73" s="6" t="n">
        <f aca="false">MIN(MAX($B$14,$E73),$F73)</f>
        <v>80.031</v>
      </c>
      <c r="K73" s="6" t="n">
        <f aca="false">MIN(MAX($B$15,$E73),$F73)</f>
        <v>80.0573333333333</v>
      </c>
      <c r="L73" s="6" t="n">
        <f aca="false">MIN(MAX($B$16,$E73),$F73)</f>
        <v>79.9836666666667</v>
      </c>
      <c r="M73" s="6" t="n">
        <f aca="false">MIN(MAX($B$17,$E73),$F73)</f>
        <v>80.091</v>
      </c>
      <c r="N73" s="6" t="n">
        <f aca="false">MIN(MAX($B$18,$E73),$F73)</f>
        <v>80.158</v>
      </c>
      <c r="O73" s="6" t="n">
        <f aca="false">MIN(MAX($B$19,$E73),$F73)</f>
        <v>80.2606666666667</v>
      </c>
      <c r="P73" s="6" t="n">
        <f aca="false">MIN(MAX($B$20,$E73),$F73)</f>
        <v>79.9916666666667</v>
      </c>
      <c r="Q73" s="6" t="n">
        <f aca="false">MIN(MAX($B$21,$E73),$F73)</f>
        <v>80.0473333333333</v>
      </c>
      <c r="R73" s="6" t="n">
        <f aca="false">MIN(MAX($B$22,$E73),$F73)</f>
        <v>80.2476666666667</v>
      </c>
      <c r="S73" s="6" t="n">
        <f aca="false">AVERAGE(G73:R73)</f>
        <v>80.1033055555556</v>
      </c>
      <c r="T73" s="6" t="n">
        <f aca="false">1.134*STDEV(G73:R73)</f>
        <v>0.11048474010016</v>
      </c>
      <c r="U73" s="6" t="n">
        <f aca="false">ABS(S73-B73)</f>
        <v>0</v>
      </c>
      <c r="V73" s="6" t="n">
        <f aca="false">ABS(T73-C73)</f>
        <v>0</v>
      </c>
      <c r="W73" s="6" t="n">
        <f aca="false">IF(OR(NOT(ISNUMBER(B73)),B73=0),B73,ROUND(B73,MAX(3-1-INT(LOG10(ABS(B73))),0)))</f>
        <v>80.1</v>
      </c>
      <c r="X73" s="6" t="n">
        <f aca="false">IF(OR(NOT(ISNUMBER(C73)),C73=0),C73,ROUND(C73,MAX(3-1-INT(LOG10(ABS(C73))),0)))</f>
        <v>0.11</v>
      </c>
      <c r="Y73" s="6" t="n">
        <f aca="false">IF(OR(NOT(ISNUMBER(S73)),S73=0),S73,ROUND(S73,MAX(3-1-INT(LOG10(ABS(S73))),0)))</f>
        <v>80.1</v>
      </c>
      <c r="Z73" s="6" t="n">
        <f aca="false">IF(OR(NOT(ISNUMBER(T73)),T73=0),T73,ROUND(T73,MAX(3-1-INT(LOG10(ABS(T73))),0)))</f>
        <v>0.11</v>
      </c>
      <c r="AA73" s="7" t="n">
        <f aca="false">IF(AND(Y73=W73,Z73=X73),1,0)</f>
        <v>1</v>
      </c>
      <c r="AB73" s="7" t="n">
        <f aca="false">IF(AND(U73&lt;$B$4,V73&lt;$B$4),1,0)</f>
        <v>1</v>
      </c>
      <c r="AC73" s="7" t="n">
        <f aca="false">IF(OR(AA73=1,AB73=1),1,0)</f>
        <v>1</v>
      </c>
    </row>
    <row r="74" customFormat="false" ht="15" hidden="false" customHeight="false" outlineLevel="0" collapsed="false">
      <c r="A74" s="0" t="n">
        <v>48</v>
      </c>
      <c r="B74" s="6" t="n">
        <f aca="false">S73</f>
        <v>80.1033055555556</v>
      </c>
      <c r="C74" s="6" t="n">
        <f aca="false">T73</f>
        <v>0.11048474010016</v>
      </c>
      <c r="D74" s="6" t="n">
        <f aca="false">1.5*C74</f>
        <v>0.16572711015024</v>
      </c>
      <c r="E74" s="6" t="n">
        <f aca="false">B74-D74</f>
        <v>79.9375784454053</v>
      </c>
      <c r="F74" s="6" t="n">
        <f aca="false">B74+D74</f>
        <v>80.2690326657058</v>
      </c>
      <c r="G74" s="6" t="n">
        <f aca="false">MIN(MAX($B$11,$E74),$F74)</f>
        <v>80.2293333333333</v>
      </c>
      <c r="H74" s="6" t="n">
        <f aca="false">MIN(MAX($B$12,$E74),$F74)</f>
        <v>80.086</v>
      </c>
      <c r="I74" s="6" t="n">
        <f aca="false">MIN(MAX($B$13,$E74),$F74)</f>
        <v>80.056</v>
      </c>
      <c r="J74" s="6" t="n">
        <f aca="false">MIN(MAX($B$14,$E74),$F74)</f>
        <v>80.031</v>
      </c>
      <c r="K74" s="6" t="n">
        <f aca="false">MIN(MAX($B$15,$E74),$F74)</f>
        <v>80.0573333333333</v>
      </c>
      <c r="L74" s="6" t="n">
        <f aca="false">MIN(MAX($B$16,$E74),$F74)</f>
        <v>79.9836666666667</v>
      </c>
      <c r="M74" s="6" t="n">
        <f aca="false">MIN(MAX($B$17,$E74),$F74)</f>
        <v>80.091</v>
      </c>
      <c r="N74" s="6" t="n">
        <f aca="false">MIN(MAX($B$18,$E74),$F74)</f>
        <v>80.158</v>
      </c>
      <c r="O74" s="6" t="n">
        <f aca="false">MIN(MAX($B$19,$E74),$F74)</f>
        <v>80.2606666666667</v>
      </c>
      <c r="P74" s="6" t="n">
        <f aca="false">MIN(MAX($B$20,$E74),$F74)</f>
        <v>79.9916666666667</v>
      </c>
      <c r="Q74" s="6" t="n">
        <f aca="false">MIN(MAX($B$21,$E74),$F74)</f>
        <v>80.0473333333333</v>
      </c>
      <c r="R74" s="6" t="n">
        <f aca="false">MIN(MAX($B$22,$E74),$F74)</f>
        <v>80.2476666666667</v>
      </c>
      <c r="S74" s="6" t="n">
        <f aca="false">AVERAGE(G74:R74)</f>
        <v>80.1033055555556</v>
      </c>
      <c r="T74" s="6" t="n">
        <f aca="false">1.134*STDEV(G74:R74)</f>
        <v>0.11048474010016</v>
      </c>
      <c r="U74" s="6" t="n">
        <f aca="false">ABS(S74-B74)</f>
        <v>0</v>
      </c>
      <c r="V74" s="6" t="n">
        <f aca="false">ABS(T74-C74)</f>
        <v>0</v>
      </c>
      <c r="W74" s="6" t="n">
        <f aca="false">IF(OR(NOT(ISNUMBER(B74)),B74=0),B74,ROUND(B74,MAX(3-1-INT(LOG10(ABS(B74))),0)))</f>
        <v>80.1</v>
      </c>
      <c r="X74" s="6" t="n">
        <f aca="false">IF(OR(NOT(ISNUMBER(C74)),C74=0),C74,ROUND(C74,MAX(3-1-INT(LOG10(ABS(C74))),0)))</f>
        <v>0.11</v>
      </c>
      <c r="Y74" s="6" t="n">
        <f aca="false">IF(OR(NOT(ISNUMBER(S74)),S74=0),S74,ROUND(S74,MAX(3-1-INT(LOG10(ABS(S74))),0)))</f>
        <v>80.1</v>
      </c>
      <c r="Z74" s="6" t="n">
        <f aca="false">IF(OR(NOT(ISNUMBER(T74)),T74=0),T74,ROUND(T74,MAX(3-1-INT(LOG10(ABS(T74))),0)))</f>
        <v>0.11</v>
      </c>
      <c r="AA74" s="7" t="n">
        <f aca="false">IF(AND(Y74=W74,Z74=X74),1,0)</f>
        <v>1</v>
      </c>
      <c r="AB74" s="7" t="n">
        <f aca="false">IF(AND(U74&lt;$B$4,V74&lt;$B$4),1,0)</f>
        <v>1</v>
      </c>
      <c r="AC74" s="7" t="n">
        <f aca="false">IF(OR(AA74=1,AB74=1),1,0)</f>
        <v>1</v>
      </c>
    </row>
    <row r="75" customFormat="false" ht="15" hidden="false" customHeight="false" outlineLevel="0" collapsed="false">
      <c r="A75" s="0" t="n">
        <v>49</v>
      </c>
      <c r="B75" s="6" t="n">
        <f aca="false">S74</f>
        <v>80.1033055555556</v>
      </c>
      <c r="C75" s="6" t="n">
        <f aca="false">T74</f>
        <v>0.11048474010016</v>
      </c>
      <c r="D75" s="6" t="n">
        <f aca="false">1.5*C75</f>
        <v>0.16572711015024</v>
      </c>
      <c r="E75" s="6" t="n">
        <f aca="false">B75-D75</f>
        <v>79.9375784454053</v>
      </c>
      <c r="F75" s="6" t="n">
        <f aca="false">B75+D75</f>
        <v>80.2690326657058</v>
      </c>
      <c r="G75" s="6" t="n">
        <f aca="false">MIN(MAX($B$11,$E75),$F75)</f>
        <v>80.2293333333333</v>
      </c>
      <c r="H75" s="6" t="n">
        <f aca="false">MIN(MAX($B$12,$E75),$F75)</f>
        <v>80.086</v>
      </c>
      <c r="I75" s="6" t="n">
        <f aca="false">MIN(MAX($B$13,$E75),$F75)</f>
        <v>80.056</v>
      </c>
      <c r="J75" s="6" t="n">
        <f aca="false">MIN(MAX($B$14,$E75),$F75)</f>
        <v>80.031</v>
      </c>
      <c r="K75" s="6" t="n">
        <f aca="false">MIN(MAX($B$15,$E75),$F75)</f>
        <v>80.0573333333333</v>
      </c>
      <c r="L75" s="6" t="n">
        <f aca="false">MIN(MAX($B$16,$E75),$F75)</f>
        <v>79.9836666666667</v>
      </c>
      <c r="M75" s="6" t="n">
        <f aca="false">MIN(MAX($B$17,$E75),$F75)</f>
        <v>80.091</v>
      </c>
      <c r="N75" s="6" t="n">
        <f aca="false">MIN(MAX($B$18,$E75),$F75)</f>
        <v>80.158</v>
      </c>
      <c r="O75" s="6" t="n">
        <f aca="false">MIN(MAX($B$19,$E75),$F75)</f>
        <v>80.2606666666667</v>
      </c>
      <c r="P75" s="6" t="n">
        <f aca="false">MIN(MAX($B$20,$E75),$F75)</f>
        <v>79.9916666666667</v>
      </c>
      <c r="Q75" s="6" t="n">
        <f aca="false">MIN(MAX($B$21,$E75),$F75)</f>
        <v>80.0473333333333</v>
      </c>
      <c r="R75" s="6" t="n">
        <f aca="false">MIN(MAX($B$22,$E75),$F75)</f>
        <v>80.2476666666667</v>
      </c>
      <c r="S75" s="6" t="n">
        <f aca="false">AVERAGE(G75:R75)</f>
        <v>80.1033055555556</v>
      </c>
      <c r="T75" s="6" t="n">
        <f aca="false">1.134*STDEV(G75:R75)</f>
        <v>0.11048474010016</v>
      </c>
      <c r="U75" s="6" t="n">
        <f aca="false">ABS(S75-B75)</f>
        <v>0</v>
      </c>
      <c r="V75" s="6" t="n">
        <f aca="false">ABS(T75-C75)</f>
        <v>0</v>
      </c>
      <c r="W75" s="6" t="n">
        <f aca="false">IF(OR(NOT(ISNUMBER(B75)),B75=0),B75,ROUND(B75,MAX(3-1-INT(LOG10(ABS(B75))),0)))</f>
        <v>80.1</v>
      </c>
      <c r="X75" s="6" t="n">
        <f aca="false">IF(OR(NOT(ISNUMBER(C75)),C75=0),C75,ROUND(C75,MAX(3-1-INT(LOG10(ABS(C75))),0)))</f>
        <v>0.11</v>
      </c>
      <c r="Y75" s="6" t="n">
        <f aca="false">IF(OR(NOT(ISNUMBER(S75)),S75=0),S75,ROUND(S75,MAX(3-1-INT(LOG10(ABS(S75))),0)))</f>
        <v>80.1</v>
      </c>
      <c r="Z75" s="6" t="n">
        <f aca="false">IF(OR(NOT(ISNUMBER(T75)),T75=0),T75,ROUND(T75,MAX(3-1-INT(LOG10(ABS(T75))),0)))</f>
        <v>0.11</v>
      </c>
      <c r="AA75" s="7" t="n">
        <f aca="false">IF(AND(Y75=W75,Z75=X75),1,0)</f>
        <v>1</v>
      </c>
      <c r="AB75" s="7" t="n">
        <f aca="false">IF(AND(U75&lt;$B$4,V75&lt;$B$4),1,0)</f>
        <v>1</v>
      </c>
      <c r="AC75" s="7" t="n">
        <f aca="false">IF(OR(AA75=1,AB75=1),1,0)</f>
        <v>1</v>
      </c>
    </row>
    <row r="76" customFormat="false" ht="15" hidden="false" customHeight="false" outlineLevel="0" collapsed="false">
      <c r="A76" s="0" t="n">
        <v>50</v>
      </c>
      <c r="B76" s="6" t="n">
        <f aca="false">S75</f>
        <v>80.1033055555556</v>
      </c>
      <c r="C76" s="6" t="n">
        <f aca="false">T75</f>
        <v>0.11048474010016</v>
      </c>
      <c r="D76" s="6" t="n">
        <f aca="false">1.5*C76</f>
        <v>0.16572711015024</v>
      </c>
      <c r="E76" s="6" t="n">
        <f aca="false">B76-D76</f>
        <v>79.9375784454053</v>
      </c>
      <c r="F76" s="6" t="n">
        <f aca="false">B76+D76</f>
        <v>80.2690326657058</v>
      </c>
      <c r="G76" s="6" t="n">
        <f aca="false">MIN(MAX($B$11,$E76),$F76)</f>
        <v>80.2293333333333</v>
      </c>
      <c r="H76" s="6" t="n">
        <f aca="false">MIN(MAX($B$12,$E76),$F76)</f>
        <v>80.086</v>
      </c>
      <c r="I76" s="6" t="n">
        <f aca="false">MIN(MAX($B$13,$E76),$F76)</f>
        <v>80.056</v>
      </c>
      <c r="J76" s="6" t="n">
        <f aca="false">MIN(MAX($B$14,$E76),$F76)</f>
        <v>80.031</v>
      </c>
      <c r="K76" s="6" t="n">
        <f aca="false">MIN(MAX($B$15,$E76),$F76)</f>
        <v>80.0573333333333</v>
      </c>
      <c r="L76" s="6" t="n">
        <f aca="false">MIN(MAX($B$16,$E76),$F76)</f>
        <v>79.9836666666667</v>
      </c>
      <c r="M76" s="6" t="n">
        <f aca="false">MIN(MAX($B$17,$E76),$F76)</f>
        <v>80.091</v>
      </c>
      <c r="N76" s="6" t="n">
        <f aca="false">MIN(MAX($B$18,$E76),$F76)</f>
        <v>80.158</v>
      </c>
      <c r="O76" s="6" t="n">
        <f aca="false">MIN(MAX($B$19,$E76),$F76)</f>
        <v>80.2606666666667</v>
      </c>
      <c r="P76" s="6" t="n">
        <f aca="false">MIN(MAX($B$20,$E76),$F76)</f>
        <v>79.9916666666667</v>
      </c>
      <c r="Q76" s="6" t="n">
        <f aca="false">MIN(MAX($B$21,$E76),$F76)</f>
        <v>80.0473333333333</v>
      </c>
      <c r="R76" s="6" t="n">
        <f aca="false">MIN(MAX($B$22,$E76),$F76)</f>
        <v>80.2476666666667</v>
      </c>
      <c r="S76" s="6" t="n">
        <f aca="false">AVERAGE(G76:R76)</f>
        <v>80.1033055555556</v>
      </c>
      <c r="T76" s="6" t="n">
        <f aca="false">1.134*STDEV(G76:R76)</f>
        <v>0.11048474010016</v>
      </c>
      <c r="U76" s="6" t="n">
        <f aca="false">ABS(S76-B76)</f>
        <v>0</v>
      </c>
      <c r="V76" s="6" t="n">
        <f aca="false">ABS(T76-C76)</f>
        <v>0</v>
      </c>
      <c r="W76" s="6" t="n">
        <f aca="false">IF(OR(NOT(ISNUMBER(B76)),B76=0),B76,ROUND(B76,MAX(3-1-INT(LOG10(ABS(B76))),0)))</f>
        <v>80.1</v>
      </c>
      <c r="X76" s="6" t="n">
        <f aca="false">IF(OR(NOT(ISNUMBER(C76)),C76=0),C76,ROUND(C76,MAX(3-1-INT(LOG10(ABS(C76))),0)))</f>
        <v>0.11</v>
      </c>
      <c r="Y76" s="6" t="n">
        <f aca="false">IF(OR(NOT(ISNUMBER(S76)),S76=0),S76,ROUND(S76,MAX(3-1-INT(LOG10(ABS(S76))),0)))</f>
        <v>80.1</v>
      </c>
      <c r="Z76" s="6" t="n">
        <f aca="false">IF(OR(NOT(ISNUMBER(T76)),T76=0),T76,ROUND(T76,MAX(3-1-INT(LOG10(ABS(T76))),0)))</f>
        <v>0.11</v>
      </c>
      <c r="AA76" s="7" t="n">
        <f aca="false">IF(AND(Y76=W76,Z76=X76),1,0)</f>
        <v>1</v>
      </c>
      <c r="AB76" s="7" t="n">
        <f aca="false">IF(AND(U76&lt;$B$4,V76&lt;$B$4),1,0)</f>
        <v>1</v>
      </c>
      <c r="AC76" s="7" t="n">
        <f aca="false">IF(OR(AA76=1,AB76=1),1,0)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8.71"/>
    <col collapsed="false" customWidth="true" hidden="false" outlineLevel="0" max="3" min="3" style="0" width="4.71"/>
    <col collapsed="false" customWidth="true" hidden="false" outlineLevel="0" max="4" min="4" style="0" width="8.71"/>
    <col collapsed="false" customWidth="true" hidden="false" outlineLevel="0" max="6" min="5" style="0" width="5.71"/>
    <col collapsed="false" customWidth="true" hidden="false" outlineLevel="0" max="7" min="7" style="0" width="6.71"/>
    <col collapsed="false" customWidth="true" hidden="false" outlineLevel="0" max="8" min="8" style="0" width="9.71"/>
    <col collapsed="false" customWidth="true" hidden="false" outlineLevel="0" max="9" min="9" style="0" width="5.71"/>
    <col collapsed="false" customWidth="true" hidden="false" outlineLevel="0" max="10" min="10" style="0" width="14.71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2" t="s">
        <v>180</v>
      </c>
      <c r="B1" s="2" t="s">
        <v>181</v>
      </c>
      <c r="C1" s="2" t="s">
        <v>34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69</v>
      </c>
    </row>
    <row r="2" customFormat="false" ht="15" hidden="false" customHeight="false" outlineLevel="0" collapsed="false">
      <c r="A2" s="3" t="s">
        <v>140</v>
      </c>
      <c r="B2" s="3" t="s">
        <v>189</v>
      </c>
      <c r="C2" s="4" t="n">
        <f aca="false">datos_referencia!$D$2</f>
        <v>79.8963333333333</v>
      </c>
      <c r="D2" s="4" t="n">
        <f aca="false">0.02*datos_referencia!$D$2+1</f>
        <v>2.59792666666667</v>
      </c>
      <c r="E2" s="4" t="n">
        <f aca="false">datos_referencia!$E$2</f>
        <v>0.570333333333333</v>
      </c>
      <c r="F2" s="4" t="n">
        <f aca="false">calc_homogeneidad!$B$9</f>
        <v>0.199307899715207</v>
      </c>
      <c r="G2" s="4" t="n">
        <f aca="false">calc_estabilidad!$B$10/SQRT(3)</f>
        <v>0.124794260685337</v>
      </c>
      <c r="H2" s="4" t="n">
        <f aca="false">SQRT(E2^2+F2^2+G2^2)</f>
        <v>0.616909521323831</v>
      </c>
      <c r="I2" s="4" t="n">
        <f aca="false">2*H2</f>
        <v>1.23381904264766</v>
      </c>
      <c r="J2" s="4" t="n">
        <f aca="false">COUNT(datos_participantes!$D:$D)</f>
        <v>12</v>
      </c>
      <c r="K2" s="5" t="str">
        <f aca="false">IF(SUM(ABS(C2-validacion_snapshot!$K$30),ABS(D2-validacion_snapshot!$L$30),ABS(E2-validacion_snapshot!$M$30),ABS(F2-validacion_snapshot!$N$30),ABS(G2-validacion_snapshot!$O$30),ABS(H2-validacion_snapshot!$P$30),ABS(I2-validacion_snapshot!$Q$30),ABS(J2-validacion_snapshot!$R$30))&lt;=0.00000001,"OK","FALLA")</f>
        <v>OK</v>
      </c>
    </row>
    <row r="3" customFormat="false" ht="26.85" hidden="false" customHeight="false" outlineLevel="0" collapsed="false">
      <c r="A3" s="3" t="s">
        <v>190</v>
      </c>
      <c r="B3" s="3" t="s">
        <v>191</v>
      </c>
      <c r="C3" s="4" t="n">
        <f aca="false">MEDIAN(datos_participantes!$D$2:$D$13)</f>
        <v>80.0716666666667</v>
      </c>
      <c r="D3" s="4" t="n">
        <f aca="false">algoritmo_A_iteraciones!$B$3</f>
        <v>0.0894743333332899</v>
      </c>
      <c r="E3" s="4" t="n">
        <f aca="false">1.25*D3/SQRT(COUNT(datos_participantes!$D:$D))</f>
        <v>0.0322862690222108</v>
      </c>
      <c r="F3" s="4" t="n">
        <f aca="false">calc_homogeneidad!$B$9</f>
        <v>0.199307899715207</v>
      </c>
      <c r="G3" s="4" t="n">
        <f aca="false">calc_estabilidad!$B$10/SQRT(3)</f>
        <v>0.124794260685337</v>
      </c>
      <c r="H3" s="4" t="n">
        <f aca="false">SQRT(E3^2+F3^2+G3^2)</f>
        <v>0.237359747127143</v>
      </c>
      <c r="I3" s="4" t="n">
        <f aca="false">2*H3</f>
        <v>0.474719494254287</v>
      </c>
      <c r="J3" s="4" t="n">
        <f aca="false">COUNT(datos_participantes!$D:$D)</f>
        <v>12</v>
      </c>
      <c r="K3" s="5" t="str">
        <f aca="false">IF(SUM(ABS(C3-validacion_snapshot!$K$31),ABS(D3-validacion_snapshot!$L$31),ABS(E3-validacion_snapshot!$M$31),ABS(F3-validacion_snapshot!$N$31),ABS(G3-validacion_snapshot!$O$31),ABS(H3-validacion_snapshot!$P$31),ABS(I3-validacion_snapshot!$Q$31),ABS(J3-validacion_snapshot!$R$31))&lt;=0.00000001,"OK","FALLA")</f>
        <v>OK</v>
      </c>
    </row>
    <row r="4" customFormat="false" ht="15" hidden="false" customHeight="false" outlineLevel="0" collapsed="false">
      <c r="A4" s="3" t="s">
        <v>192</v>
      </c>
      <c r="B4" s="3" t="s">
        <v>193</v>
      </c>
      <c r="C4" s="4" t="n">
        <f aca="false">MEDIAN(datos_participantes!$D$2:$D$13)</f>
        <v>80.0716666666667</v>
      </c>
      <c r="D4" s="4" t="n">
        <f aca="false">0.7413*(QUARTILE(datos_participantes!$D$2:$D$13,3)-QUARTILE(datos_participantes!$D$2:$D$13,1))</f>
        <v>0.0982840250000181</v>
      </c>
      <c r="E4" s="4" t="n">
        <f aca="false">1.25*D4/SQRT(COUNT(datos_participantes!$D:$D))</f>
        <v>0.0354651926817502</v>
      </c>
      <c r="F4" s="4" t="n">
        <f aca="false">calc_homogeneidad!$B$9</f>
        <v>0.199307899715207</v>
      </c>
      <c r="G4" s="4" t="n">
        <f aca="false">calc_estabilidad!$B$10/SQRT(3)</f>
        <v>0.124794260685337</v>
      </c>
      <c r="H4" s="4" t="n">
        <f aca="false">SQRT(E4^2+F4^2+G4^2)</f>
        <v>0.237813006963119</v>
      </c>
      <c r="I4" s="4" t="n">
        <f aca="false">2*H4</f>
        <v>0.475626013926238</v>
      </c>
      <c r="J4" s="4" t="n">
        <f aca="false">COUNT(datos_participantes!$D:$D)</f>
        <v>12</v>
      </c>
      <c r="K4" s="5" t="str">
        <f aca="false">IF(SUM(ABS(C4-validacion_snapshot!$K$32),ABS(D4-validacion_snapshot!$L$32),ABS(E4-validacion_snapshot!$M$32),ABS(F4-validacion_snapshot!$N$32),ABS(G4-validacion_snapshot!$O$32),ABS(H4-validacion_snapshot!$P$32),ABS(I4-validacion_snapshot!$Q$32),ABS(J4-validacion_snapshot!$R$32))&lt;=0.00000001,"OK","FALLA")</f>
        <v>OK</v>
      </c>
    </row>
    <row r="5" customFormat="false" ht="15" hidden="false" customHeight="false" outlineLevel="0" collapsed="false">
      <c r="A5" s="3" t="s">
        <v>194</v>
      </c>
      <c r="B5" s="3" t="s">
        <v>195</v>
      </c>
      <c r="C5" s="4" t="n">
        <f aca="false">algoritmo_A_iteraciones!$B$7</f>
        <v>80.1033055555556</v>
      </c>
      <c r="D5" s="4" t="n">
        <f aca="false">algoritmo_A_iteraciones!$B$8</f>
        <v>0.11048474010016</v>
      </c>
      <c r="E5" s="4" t="n">
        <f aca="false">1.25*D5/SQRT(COUNT(datos_participantes!$D:$D))</f>
        <v>0.0398677465238583</v>
      </c>
      <c r="F5" s="4" t="n">
        <f aca="false">calc_homogeneidad!$B$9</f>
        <v>0.199307899715207</v>
      </c>
      <c r="G5" s="4" t="n">
        <f aca="false">calc_estabilidad!$B$10/SQRT(3)</f>
        <v>0.124794260685337</v>
      </c>
      <c r="H5" s="4" t="n">
        <f aca="false">SQRT(E5^2+F5^2+G5^2)</f>
        <v>0.238509294581527</v>
      </c>
      <c r="I5" s="4" t="n">
        <f aca="false">2*H5</f>
        <v>0.477018589163054</v>
      </c>
      <c r="J5" s="4" t="n">
        <f aca="false">COUNT(datos_participantes!$D:$D)</f>
        <v>12</v>
      </c>
      <c r="K5" s="5" t="str">
        <f aca="false">IF(SUM(ABS(C5-validacion_snapshot!$K$33),ABS(D5-validacion_snapshot!$L$33),ABS(E5-validacion_snapshot!$M$33),ABS(F5-validacion_snapshot!$N$33),ABS(G5-validacion_snapshot!$O$33),ABS(H5-validacion_snapshot!$P$33),ABS(I5-validacion_snapshot!$Q$33),ABS(J5-validacion_snapshot!$R$33))&lt;=0.00000001,"OK","FALLA")</f>
        <v>OK</v>
      </c>
    </row>
    <row r="6" customFormat="false" ht="15" hidden="false" customHeight="false" outlineLevel="0" collapsed="false">
      <c r="A6" s="3" t="s">
        <v>196</v>
      </c>
      <c r="B6" s="3" t="s">
        <v>197</v>
      </c>
      <c r="C6" s="4" t="n">
        <f aca="false">datos_referencia!$D$2</f>
        <v>79.8963333333333</v>
      </c>
      <c r="D6" s="4" t="n">
        <f aca="false">0.02*datos_referencia!$D$2+1</f>
        <v>2.59792666666667</v>
      </c>
      <c r="E6" s="4" t="n">
        <f aca="false">datos_referencia!$E$2</f>
        <v>0.570333333333333</v>
      </c>
      <c r="F6" s="4" t="n">
        <f aca="false">calc_homogeneidad!$B$9</f>
        <v>0.199307899715207</v>
      </c>
      <c r="G6" s="4" t="n">
        <f aca="false">calc_estabilidad!$B$10/SQRT(3)</f>
        <v>0.124794260685337</v>
      </c>
      <c r="H6" s="4" t="n">
        <f aca="false">SQRT(E6^2+F6^2+G6^2)</f>
        <v>0.616909521323831</v>
      </c>
      <c r="I6" s="4" t="n">
        <f aca="false">2*H6</f>
        <v>1.23381904264766</v>
      </c>
      <c r="J6" s="4" t="n">
        <f aca="false">COUNT(datos_participantes!$D:$D)</f>
        <v>12</v>
      </c>
      <c r="K6" s="5" t="str">
        <f aca="false">IF(SUM(ABS(C6-validacion_snapshot!$K$34),ABS(D6-validacion_snapshot!$L$34),ABS(E6-validacion_snapshot!$M$34),ABS(F6-validacion_snapshot!$N$34),ABS(G6-validacion_snapshot!$O$34),ABS(H6-validacion_snapshot!$P$34),ABS(I6-validacion_snapshot!$Q$34),ABS(J6-validacion_snapshot!$R$34))&lt;=0.00000001,"OK","FALLA")</f>
        <v>OK</v>
      </c>
    </row>
  </sheetData>
  <conditionalFormatting sqref="K2:K6">
    <cfRule type="expression" priority="2" aboveAverage="0" equalAverage="0" bottom="0" percent="0" rank="0" text="" dxfId="0">
      <formula>K2="FALLA"</formula>
    </cfRule>
    <cfRule type="expression" priority="3" aboveAverage="0" equalAverage="0" bottom="0" percent="0" rank="0" text="" dxfId="1">
      <formula>K2="OK"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8.71"/>
    <col collapsed="false" customWidth="true" hidden="false" outlineLevel="0" max="3" min="3" style="0" width="23.71"/>
    <col collapsed="false" customWidth="true" hidden="false" outlineLevel="0" max="4" min="4" style="0" width="9.71"/>
    <col collapsed="false" customWidth="true" hidden="false" outlineLevel="0" max="5" min="5" style="0" width="6.71"/>
  </cols>
  <sheetData>
    <row r="1" customFormat="false" ht="15" hidden="false" customHeight="false" outlineLevel="0" collapsed="false">
      <c r="A1" s="2" t="s">
        <v>1</v>
      </c>
      <c r="B1" s="2" t="s">
        <v>25</v>
      </c>
      <c r="C1" s="2" t="s">
        <v>65</v>
      </c>
      <c r="D1" s="2" t="s">
        <v>66</v>
      </c>
      <c r="E1" s="2" t="s">
        <v>69</v>
      </c>
    </row>
    <row r="2" customFormat="false" ht="15" hidden="false" customHeight="false" outlineLevel="0" collapsed="false">
      <c r="A2" s="3" t="s">
        <v>198</v>
      </c>
      <c r="B2" s="3" t="s">
        <v>7</v>
      </c>
      <c r="C2" s="3" t="s">
        <v>199</v>
      </c>
      <c r="D2" s="4" t="str">
        <f aca="false">"O3"</f>
        <v>O3</v>
      </c>
      <c r="E2" s="5" t="str">
        <f aca="false">IF(IFERROR(ABS(D2-validacion_snapshot!$H$35)&lt;=0.0005,D2=validacion_snapshot!$H$35),"OK","FALLA")</f>
        <v>OK</v>
      </c>
    </row>
    <row r="3" customFormat="false" ht="15" hidden="false" customHeight="false" outlineLevel="0" collapsed="false">
      <c r="A3" s="3" t="s">
        <v>198</v>
      </c>
      <c r="B3" s="3" t="s">
        <v>200</v>
      </c>
      <c r="C3" s="3" t="s">
        <v>201</v>
      </c>
      <c r="D3" s="4" t="n">
        <f aca="false">13</f>
        <v>13</v>
      </c>
      <c r="E3" s="5" t="str">
        <f aca="false">IF(IFERROR(ABS(D3-validacion_snapshot!$H$36)&lt;=0.0005,D3=validacion_snapshot!$H$36),"OK","FALLA")</f>
        <v>OK</v>
      </c>
    </row>
    <row r="4" customFormat="false" ht="26.85" hidden="false" customHeight="false" outlineLevel="0" collapsed="false">
      <c r="A4" s="3" t="s">
        <v>198</v>
      </c>
      <c r="B4" s="3" t="s">
        <v>5</v>
      </c>
      <c r="C4" s="3" t="s">
        <v>6</v>
      </c>
      <c r="D4" s="4" t="str">
        <f aca="false">"80-nmol/mol"</f>
        <v>80-nmol/mol</v>
      </c>
      <c r="E4" s="5" t="str">
        <f aca="false">IF(IFERROR(ABS(D4-validacion_snapshot!$H$37)&lt;=0.0005,D4=validacion_snapshot!$H$37),"OK","FALLA")</f>
        <v>OK</v>
      </c>
    </row>
    <row r="5" customFormat="false" ht="15" hidden="false" customHeight="false" outlineLevel="0" collapsed="false">
      <c r="A5" s="3" t="s">
        <v>198</v>
      </c>
      <c r="B5" s="3" t="s">
        <v>202</v>
      </c>
      <c r="C5" s="3" t="s">
        <v>203</v>
      </c>
      <c r="D5" s="4" t="n">
        <f aca="false">algoritmo_A_iteraciones!$B$5</f>
        <v>12</v>
      </c>
      <c r="E5" s="5" t="str">
        <f aca="false">IF(IFERROR(ABS(D5-validacion_snapshot!$H$38)&lt;=0.0005,D5=validacion_snapshot!$H$38),"OK","FALLA")</f>
        <v>OK</v>
      </c>
    </row>
    <row r="6" customFormat="false" ht="15" hidden="false" customHeight="false" outlineLevel="0" collapsed="false">
      <c r="A6" s="3" t="s">
        <v>198</v>
      </c>
      <c r="B6" s="3" t="s">
        <v>204</v>
      </c>
      <c r="C6" s="3" t="s">
        <v>205</v>
      </c>
      <c r="D6" s="4" t="n">
        <f aca="false">ROUND(algoritmo_A_iteraciones!$B$2,4)</f>
        <v>80.0717</v>
      </c>
      <c r="E6" s="5" t="str">
        <f aca="false">IF(IFERROR(ABS(D6-validacion_snapshot!$H$39)&lt;=0.0005,D6=validacion_snapshot!$H$39),"OK","FALLA")</f>
        <v>OK</v>
      </c>
    </row>
    <row r="7" customFormat="false" ht="15" hidden="false" customHeight="false" outlineLevel="0" collapsed="false">
      <c r="A7" s="3" t="s">
        <v>198</v>
      </c>
      <c r="B7" s="3" t="s">
        <v>206</v>
      </c>
      <c r="C7" s="3" t="s">
        <v>207</v>
      </c>
      <c r="D7" s="4" t="n">
        <f aca="false">ROUND(algoritmo_A_iteraciones!$B$3,4)</f>
        <v>0.0895</v>
      </c>
      <c r="E7" s="5" t="str">
        <f aca="false">IF(IFERROR(ABS(D7-validacion_snapshot!$H$40)&lt;=0.0005,D7=validacion_snapshot!$H$40),"OK","FALLA")</f>
        <v>OK</v>
      </c>
    </row>
    <row r="8" customFormat="false" ht="15" hidden="false" customHeight="false" outlineLevel="0" collapsed="false">
      <c r="A8" s="3" t="s">
        <v>198</v>
      </c>
      <c r="B8" s="3" t="s">
        <v>208</v>
      </c>
      <c r="C8" s="3" t="s">
        <v>209</v>
      </c>
      <c r="D8" s="4" t="n">
        <f aca="false">ROUND(algoritmo_A_iteraciones!$B$7,4)</f>
        <v>80.1033</v>
      </c>
      <c r="E8" s="5" t="str">
        <f aca="false">IF(IFERROR(ABS(D8-validacion_snapshot!$H$41)&lt;=0.0005,D8=validacion_snapshot!$H$41),"OK","FALLA")</f>
        <v>OK</v>
      </c>
    </row>
    <row r="9" customFormat="false" ht="15" hidden="false" customHeight="false" outlineLevel="0" collapsed="false">
      <c r="A9" s="3" t="s">
        <v>198</v>
      </c>
      <c r="B9" s="3" t="s">
        <v>210</v>
      </c>
      <c r="C9" s="3" t="s">
        <v>211</v>
      </c>
      <c r="D9" s="4" t="n">
        <f aca="false">ROUND(algoritmo_A_iteraciones!$B$8,4)</f>
        <v>0.1105</v>
      </c>
      <c r="E9" s="5" t="str">
        <f aca="false">IF(IFERROR(ABS(D9-validacion_snapshot!$H$42)&lt;=0.0005,D9=validacion_snapshot!$H$42),"OK","FALLA")</f>
        <v>OK</v>
      </c>
    </row>
    <row r="10" customFormat="false" ht="15" hidden="false" customHeight="false" outlineLevel="0" collapsed="false">
      <c r="A10" s="3" t="s">
        <v>198</v>
      </c>
      <c r="B10" s="3" t="s">
        <v>212</v>
      </c>
      <c r="C10" s="3" t="s">
        <v>213</v>
      </c>
      <c r="D10" s="4" t="n">
        <f aca="false">algoritmo_A_iteraciones!$B$9</f>
        <v>0</v>
      </c>
      <c r="E10" s="5" t="str">
        <f aca="false">IF(IFERROR(ABS(D10-validacion_snapshot!$H$43)&lt;=0.0005,D10=validacion_snapshot!$H$43),"OK","FALLA")</f>
        <v>OK</v>
      </c>
    </row>
    <row r="11" customFormat="false" ht="15" hidden="false" customHeight="false" outlineLevel="0" collapsed="false">
      <c r="A11" s="3" t="s">
        <v>198</v>
      </c>
      <c r="B11" s="3" t="s">
        <v>214</v>
      </c>
      <c r="C11" s="3" t="s">
        <v>203</v>
      </c>
      <c r="D11" s="4" t="n">
        <f aca="false">algoritmo_A_iteraciones!$B$5</f>
        <v>12</v>
      </c>
      <c r="E11" s="5" t="str">
        <f aca="false">IF(IFERROR(ABS(D11-validacion_snapshot!$H$44)&lt;=0.0005,D11=validacion_snapshot!$H$44),"OK","FALLA")</f>
        <v>OK</v>
      </c>
    </row>
    <row r="12" customFormat="false" ht="15" hidden="false" customHeight="false" outlineLevel="0" collapsed="false">
      <c r="A12" s="3" t="s">
        <v>198</v>
      </c>
      <c r="B12" s="3" t="s">
        <v>215</v>
      </c>
      <c r="C12" s="3" t="s">
        <v>216</v>
      </c>
      <c r="D12" s="4" t="n">
        <f aca="false">algoritmo_A_iteraciones!$B$6</f>
        <v>4</v>
      </c>
      <c r="E12" s="5" t="str">
        <f aca="false">IF(IFERROR(ABS(D12-validacion_snapshot!$H$45)&lt;=0.0005,D12=validacion_snapshot!$H$45),"OK","FALLA")</f>
        <v>OK</v>
      </c>
    </row>
    <row r="13" customFormat="false" ht="39.55" hidden="false" customHeight="false" outlineLevel="0" collapsed="false">
      <c r="A13" s="3" t="s">
        <v>198</v>
      </c>
      <c r="B13" s="3" t="s">
        <v>217</v>
      </c>
      <c r="C13" s="3" t="s">
        <v>218</v>
      </c>
      <c r="D13" s="4" t="str">
        <f aca="false">"3 cifras significativas"</f>
        <v>3 cifras significativas</v>
      </c>
      <c r="E13" s="5" t="str">
        <f aca="false">IF(IFERROR(ABS(D13-validacion_snapshot!$H$46)&lt;=0.0005,D13=validacion_snapshot!$H$46),"OK","FALLA")</f>
        <v>OK</v>
      </c>
    </row>
    <row r="14" customFormat="false" ht="26.85" hidden="false" customHeight="false" outlineLevel="0" collapsed="false">
      <c r="A14" s="3" t="s">
        <v>198</v>
      </c>
      <c r="B14" s="3" t="s">
        <v>219</v>
      </c>
      <c r="C14" s="3" t="s">
        <v>220</v>
      </c>
      <c r="D14" s="4" t="str">
        <f aca="false">TEXT(algoritmo_A_iteraciones!$B$4,"0.0000000000")</f>
        <v>0.0000000001</v>
      </c>
      <c r="E14" s="5" t="str">
        <f aca="false">IF(IFERROR(ABS(D14-validacion_snapshot!$H$47)&lt;=0.0005,D14=validacion_snapshot!$H$47),"OK","FALLA")</f>
        <v>OK</v>
      </c>
    </row>
    <row r="15" customFormat="false" ht="15" hidden="false" customHeight="false" outlineLevel="0" collapsed="false">
      <c r="A15" s="3" t="s">
        <v>198</v>
      </c>
      <c r="B15" s="3" t="s">
        <v>221</v>
      </c>
      <c r="C15" s="3" t="s">
        <v>216</v>
      </c>
      <c r="D15" s="4" t="n">
        <f aca="false">algoritmo_A_iteraciones!$B$6</f>
        <v>4</v>
      </c>
      <c r="E15" s="5" t="str">
        <f aca="false">IF(IFERROR(ABS(D15-validacion_snapshot!$H$48)&lt;=0.0005,D15=validacion_snapshot!$H$48),"OK","FALLA")</f>
        <v>OK</v>
      </c>
    </row>
  </sheetData>
  <conditionalFormatting sqref="E2:E15">
    <cfRule type="expression" priority="2" aboveAverage="0" equalAverage="0" bottom="0" percent="0" rank="0" text="" dxfId="0">
      <formula>E2="FALLA"</formula>
    </cfRule>
    <cfRule type="expression" priority="3" aboveAverage="0" equalAverage="0" bottom="0" percent="0" rank="0" text="" dxfId="1">
      <formula>E2="OK"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8.71"/>
    <col collapsed="false" customWidth="true" hidden="false" outlineLevel="0" max="3" min="3" style="0" width="14.71"/>
    <col collapsed="false" customWidth="true" hidden="false" outlineLevel="0" max="4" min="4" style="0" width="6.71"/>
    <col collapsed="false" customWidth="true" hidden="false" outlineLevel="0" max="5" min="5" style="0" width="4.71"/>
    <col collapsed="false" customWidth="true" hidden="false" outlineLevel="0" max="6" min="6" style="0" width="7.71"/>
    <col collapsed="false" customWidth="true" hidden="false" outlineLevel="0" max="7" min="7" style="0" width="12.71"/>
    <col collapsed="false" customWidth="true" hidden="false" outlineLevel="0" max="8" min="8" style="0" width="13.71"/>
    <col collapsed="false" customWidth="true" hidden="false" outlineLevel="0" max="9" min="9" style="0" width="18.71"/>
    <col collapsed="false" customWidth="true" hidden="false" outlineLevel="0" max="10" min="10" style="0" width="10.71"/>
    <col collapsed="false" customWidth="true" hidden="false" outlineLevel="0" max="11" min="11" style="0" width="15.71"/>
    <col collapsed="false" customWidth="true" hidden="false" outlineLevel="0" max="12" min="12" style="0" width="8.71"/>
    <col collapsed="false" customWidth="true" hidden="false" outlineLevel="0" max="13" min="13" style="0" width="13.71"/>
    <col collapsed="false" customWidth="true" hidden="false" outlineLevel="0" max="14" min="14" style="0" width="6.71"/>
  </cols>
  <sheetData>
    <row r="1" customFormat="false" ht="15" hidden="false" customHeight="false" outlineLevel="0" collapsed="false">
      <c r="A1" s="2" t="s">
        <v>180</v>
      </c>
      <c r="B1" s="2" t="s">
        <v>181</v>
      </c>
      <c r="C1" s="2" t="s">
        <v>119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  <c r="I1" s="2" t="s">
        <v>227</v>
      </c>
      <c r="J1" s="2" t="s">
        <v>228</v>
      </c>
      <c r="K1" s="2" t="s">
        <v>229</v>
      </c>
      <c r="L1" s="2" t="s">
        <v>230</v>
      </c>
      <c r="M1" s="2" t="s">
        <v>231</v>
      </c>
      <c r="N1" s="2" t="s">
        <v>69</v>
      </c>
    </row>
    <row r="2" customFormat="false" ht="15" hidden="false" customHeight="false" outlineLevel="0" collapsed="false">
      <c r="A2" s="3"/>
      <c r="B2" s="3" t="s">
        <v>189</v>
      </c>
      <c r="C2" s="3" t="s">
        <v>126</v>
      </c>
      <c r="D2" s="4" t="n">
        <f aca="false">INDEX(datos_participantes!$D:$D,MATCH(C2,datos_participantes!$A:$A,0))</f>
        <v>80.2293333333333</v>
      </c>
      <c r="E2" s="4" t="n">
        <f aca="false">INDEX(datos_participantes!$F:$F,MATCH(C2,datos_participantes!$A:$A,0))</f>
        <v>0.0306434083253844</v>
      </c>
      <c r="F2" s="4" t="n">
        <f aca="false">IF(OR(NOT(ISNUMBER(D2)),NOT(ISNUMBER(INDEX(valor_asignado!$C:$C,MATCH(B2,valor_asignado!$B:$B,0)))),NOT(ISNUMBER(INDEX(valor_asignado!$D:$D,MATCH(B2,valor_asignado!$B:$B,0)))),INDEX(valor_asignado!$D:$D,MATCH(B2,valor_asignado!$B:$B,0))=0),"",(D2-INDEX(valor_asignado!$C:$C,MATCH(B2,valor_asignado!$B:$B,0)))/INDEX(valor_asignado!$D:$D,MATCH(B2,valor_asignado!$B:$B,0)))</f>
        <v>0.128179137722645</v>
      </c>
      <c r="G2" s="5" t="str">
        <f aca="false">IF(F2="","N/A",IF(ABS(F2)&lt;=2,"Satisfactorio",IF(ABS(F2)&lt;3,"Cuestionable","No satisfactorio")))</f>
        <v>Satisfactorio</v>
      </c>
      <c r="H2" s="4" t="n">
        <f aca="false">IF(OR(NOT(ISNUMBER(D2)),NOT(ISNUMBER(INDEX(valor_asignado!$C:$C,MATCH(B2,valor_asignado!$B:$B,0)))),NOT(ISNUMBER(SQRT(INDEX(valor_asignado!$D:$D,MATCH(B2,valor_asignado!$B:$B,0))^2+INDEX(valor_asignado!$H:$H,MATCH(B2,valor_asignado!$B:$B,0))^2))),SQRT(INDEX(valor_asignado!$D:$D,MATCH(B2,valor_asignado!$B:$B,0))^2+INDEX(valor_asignado!$H:$H,MATCH(B2,valor_asignado!$B:$B,0))^2)=0),"",(D2-INDEX(valor_asignado!$C:$C,MATCH(B2,valor_asignado!$B:$B,0)))/SQRT(INDEX(valor_asignado!$D:$D,MATCH(B2,valor_asignado!$B:$B,0))^2+INDEX(valor_asignado!$H:$H,MATCH(B2,valor_asignado!$B:$B,0))^2))</f>
        <v>0.124711226358526</v>
      </c>
      <c r="I2" s="5" t="str">
        <f aca="false">IF(H2="","N/A",IF(ABS(H2)&lt;=2,"Satisfactorio",IF(ABS(H2)&lt;3,"Cuestionable","No satisfactorio")))</f>
        <v>Satisfactorio</v>
      </c>
      <c r="J2" s="4" t="n">
        <f aca="false">IF(OR(NOT(ISNUMBER(D2)),NOT(ISNUMBER(INDEX(valor_asignado!$C:$C,MATCH(B2,valor_asignado!$B:$B,0)))),NOT(ISNUMBER(SQRT(E2^2+INDEX(valor_asignado!$H:$H,MATCH(B2,valor_asignado!$B:$B,0))^2))),SQRT(E2^2+INDEX(valor_asignado!$H:$H,MATCH(B2,valor_asignado!$B:$B,0))^2)=0),"",(D2-INDEX(valor_asignado!$C:$C,MATCH(B2,valor_asignado!$B:$B,0)))/SQRT(E2^2+INDEX(valor_asignado!$H:$H,MATCH(B2,valor_asignado!$B:$B,0))^2))</f>
        <v>0.539122728665109</v>
      </c>
      <c r="K2" s="5" t="str">
        <f aca="false">IF(J2="","N/A",IF(ABS(J2)&lt;=2,"Satisfactorio",IF(ABS(J2)&lt;3,"Cuestionable","No satisfactorio")))</f>
        <v>Satisfactorio</v>
      </c>
      <c r="L2" s="4" t="n">
        <f aca="false">IF(OR(NOT(ISNUMBER(D2)),NOT(ISNUMBER(INDEX(valor_asignado!$C:$C,MATCH(B2,valor_asignado!$B:$B,0)))),NOT(ISNUMBER(SQRT((2*E2)^2+(2*INDEX(valor_asignado!$H:$H,MATCH(B2,valor_asignado!$B:$B,0)))^2))),SQRT((2*E2)^2+(2*INDEX(valor_asignado!$H:$H,MATCH(B2,valor_asignado!$B:$B,0)))^2)=0),"",(D2-INDEX(valor_asignado!$C:$C,MATCH(B2,valor_asignado!$B:$B,0)))/SQRT((2*E2)^2+(2*INDEX(valor_asignado!$H:$H,MATCH(B2,valor_asignado!$B:$B,0)))^2))</f>
        <v>0.269561364332555</v>
      </c>
      <c r="M2" s="5" t="str">
        <f aca="false">IF(L2="","N/A",IF(ABS(L2)&lt;=1,"Satisfactorio","No satisfactorio"))</f>
        <v>Satisfactorio</v>
      </c>
      <c r="N2" s="5" t="str">
        <f aca="false">IF(AND(SUM(IF(AND(D2="",validacion_snapshot!$U$49=""),0,IFERROR(ABS(D2-validacion_snapshot!$U$49),1E+099)),IF(AND(E2="",validacion_snapshot!$V$49=""),0,IFERROR(ABS(E2-validacion_snapshot!$V$49),1E+099)),IF(AND(F2="",validacion_snapshot!$W$49=""),0,IFERROR(ABS(F2-validacion_snapshot!$W$49),1E+099)),IF(AND(H2="",validacion_snapshot!$Y$49=""),0,IFERROR(ABS(H2-validacion_snapshot!$Y$49),1E+099)),IF(AND(J2="",validacion_snapshot!$AA$49=""),0,IFERROR(ABS(J2-validacion_snapshot!$AA$49),1E+099)),IF(AND(L2="",validacion_snapshot!$AC$49=""),0,IFERROR(ABS(L2-validacion_snapshot!$AC$49),1E+099)))&lt;=0.00000001,G2=validacion_snapshot!$X$49,I2=validacion_snapshot!$Z$49,K2=validacion_snapshot!$AB$49,M2=validacion_snapshot!$AD$49),"OK","FALLA")</f>
        <v>OK</v>
      </c>
    </row>
    <row r="3" customFormat="false" ht="15" hidden="false" customHeight="false" outlineLevel="0" collapsed="false">
      <c r="A3" s="3"/>
      <c r="B3" s="3" t="s">
        <v>189</v>
      </c>
      <c r="C3" s="3" t="s">
        <v>127</v>
      </c>
      <c r="D3" s="4" t="n">
        <f aca="false">INDEX(datos_participantes!$D:$D,MATCH(C3,datos_participantes!$A:$A,0))</f>
        <v>80.086</v>
      </c>
      <c r="E3" s="4" t="n">
        <f aca="false">INDEX(datos_participantes!$F:$F,MATCH(C3,datos_participantes!$A:$A,0))</f>
        <v>0.0117087117022311</v>
      </c>
      <c r="F3" s="4" t="n">
        <f aca="false">IF(OR(NOT(ISNUMBER(D3)),NOT(ISNUMBER(INDEX(valor_asignado!$C:$C,MATCH(B3,valor_asignado!$B:$B,0)))),NOT(ISNUMBER(INDEX(valor_asignado!$D:$D,MATCH(B3,valor_asignado!$B:$B,0)))),INDEX(valor_asignado!$D:$D,MATCH(B3,valor_asignado!$B:$B,0))=0),"",(D3-INDEX(valor_asignado!$C:$C,MATCH(B3,valor_asignado!$B:$B,0)))/INDEX(valor_asignado!$D:$D,MATCH(B3,valor_asignado!$B:$B,0)))</f>
        <v>0.0730069363004971</v>
      </c>
      <c r="G3" s="5" t="str">
        <f aca="false">IF(F3="","N/A",IF(ABS(F3)&lt;=2,"Satisfactorio",IF(ABS(F3)&lt;3,"Cuestionable","No satisfactorio")))</f>
        <v>Satisfactorio</v>
      </c>
      <c r="H3" s="4" t="n">
        <f aca="false">IF(OR(NOT(ISNUMBER(D3)),NOT(ISNUMBER(INDEX(valor_asignado!$C:$C,MATCH(B3,valor_asignado!$B:$B,0)))),NOT(ISNUMBER(SQRT(INDEX(valor_asignado!$D:$D,MATCH(B3,valor_asignado!$B:$B,0))^2+INDEX(valor_asignado!$H:$H,MATCH(B3,valor_asignado!$B:$B,0))^2))),SQRT(INDEX(valor_asignado!$D:$D,MATCH(B3,valor_asignado!$B:$B,0))^2+INDEX(valor_asignado!$H:$H,MATCH(B3,valor_asignado!$B:$B,0))^2)=0),"",(D3-INDEX(valor_asignado!$C:$C,MATCH(B3,valor_asignado!$B:$B,0)))/SQRT(INDEX(valor_asignado!$D:$D,MATCH(B3,valor_asignado!$B:$B,0))^2+INDEX(valor_asignado!$H:$H,MATCH(B3,valor_asignado!$B:$B,0))^2))</f>
        <v>0.07103171951753</v>
      </c>
      <c r="I3" s="5" t="str">
        <f aca="false">IF(H3="","N/A",IF(ABS(H3)&lt;=2,"Satisfactorio",IF(ABS(H3)&lt;3,"Cuestionable","No satisfactorio")))</f>
        <v>Satisfactorio</v>
      </c>
      <c r="J3" s="4" t="n">
        <f aca="false">IF(OR(NOT(ISNUMBER(D3)),NOT(ISNUMBER(INDEX(valor_asignado!$C:$C,MATCH(B3,valor_asignado!$B:$B,0)))),NOT(ISNUMBER(SQRT(E3^2+INDEX(valor_asignado!$H:$H,MATCH(B3,valor_asignado!$B:$B,0))^2))),SQRT(E3^2+INDEX(valor_asignado!$H:$H,MATCH(B3,valor_asignado!$B:$B,0))^2)=0),"",(D3-INDEX(valor_asignado!$C:$C,MATCH(B3,valor_asignado!$B:$B,0)))/SQRT(E3^2+INDEX(valor_asignado!$H:$H,MATCH(B3,valor_asignado!$B:$B,0))^2))</f>
        <v>0.307391129312557</v>
      </c>
      <c r="K3" s="5" t="str">
        <f aca="false">IF(J3="","N/A",IF(ABS(J3)&lt;=2,"Satisfactorio",IF(ABS(J3)&lt;3,"Cuestionable","No satisfactorio")))</f>
        <v>Satisfactorio</v>
      </c>
      <c r="L3" s="4" t="n">
        <f aca="false">IF(OR(NOT(ISNUMBER(D3)),NOT(ISNUMBER(INDEX(valor_asignado!$C:$C,MATCH(B3,valor_asignado!$B:$B,0)))),NOT(ISNUMBER(SQRT((2*E3)^2+(2*INDEX(valor_asignado!$H:$H,MATCH(B3,valor_asignado!$B:$B,0)))^2))),SQRT((2*E3)^2+(2*INDEX(valor_asignado!$H:$H,MATCH(B3,valor_asignado!$B:$B,0)))^2)=0),"",(D3-INDEX(valor_asignado!$C:$C,MATCH(B3,valor_asignado!$B:$B,0)))/SQRT((2*E3)^2+(2*INDEX(valor_asignado!$H:$H,MATCH(B3,valor_asignado!$B:$B,0)))^2))</f>
        <v>0.153695564656279</v>
      </c>
      <c r="M3" s="5" t="str">
        <f aca="false">IF(L3="","N/A",IF(ABS(L3)&lt;=1,"Satisfactorio","No satisfactorio"))</f>
        <v>Satisfactorio</v>
      </c>
      <c r="N3" s="5" t="str">
        <f aca="false">IF(AND(SUM(IF(AND(D3="",validacion_snapshot!$U$50=""),0,IFERROR(ABS(D3-validacion_snapshot!$U$50),1E+099)),IF(AND(E3="",validacion_snapshot!$V$50=""),0,IFERROR(ABS(E3-validacion_snapshot!$V$50),1E+099)),IF(AND(F3="",validacion_snapshot!$W$50=""),0,IFERROR(ABS(F3-validacion_snapshot!$W$50),1E+099)),IF(AND(H3="",validacion_snapshot!$Y$50=""),0,IFERROR(ABS(H3-validacion_snapshot!$Y$50),1E+099)),IF(AND(J3="",validacion_snapshot!$AA$50=""),0,IFERROR(ABS(J3-validacion_snapshot!$AA$50),1E+099)),IF(AND(L3="",validacion_snapshot!$AC$50=""),0,IFERROR(ABS(L3-validacion_snapshot!$AC$50),1E+099)))&lt;=0.00000001,G3=validacion_snapshot!$X$50,I3=validacion_snapshot!$Z$50,K3=validacion_snapshot!$AB$50,M3=validacion_snapshot!$AD$50),"OK","FALLA")</f>
        <v>OK</v>
      </c>
    </row>
    <row r="4" customFormat="false" ht="15" hidden="false" customHeight="false" outlineLevel="0" collapsed="false">
      <c r="A4" s="3"/>
      <c r="B4" s="3" t="s">
        <v>189</v>
      </c>
      <c r="C4" s="3" t="s">
        <v>128</v>
      </c>
      <c r="D4" s="4" t="n">
        <f aca="false">INDEX(datos_participantes!$D:$D,MATCH(C4,datos_participantes!$A:$A,0))</f>
        <v>80.056</v>
      </c>
      <c r="E4" s="4" t="n">
        <f aca="false">INDEX(datos_participantes!$F:$F,MATCH(C4,datos_participantes!$A:$A,0))</f>
        <v>0.0942858874123054</v>
      </c>
      <c r="F4" s="4" t="n">
        <f aca="false">IF(OR(NOT(ISNUMBER(D4)),NOT(ISNUMBER(INDEX(valor_asignado!$C:$C,MATCH(B4,valor_asignado!$B:$B,0)))),NOT(ISNUMBER(INDEX(valor_asignado!$D:$D,MATCH(B4,valor_asignado!$B:$B,0)))),INDEX(valor_asignado!$D:$D,MATCH(B4,valor_asignado!$B:$B,0))=0),"",(D4-INDEX(valor_asignado!$C:$C,MATCH(B4,valor_asignado!$B:$B,0)))/INDEX(valor_asignado!$D:$D,MATCH(B4,valor_asignado!$B:$B,0)))</f>
        <v>0.0614592662353934</v>
      </c>
      <c r="G4" s="5" t="str">
        <f aca="false">IF(F4="","N/A",IF(ABS(F4)&lt;=2,"Satisfactorio",IF(ABS(F4)&lt;3,"Cuestionable","No satisfactorio")))</f>
        <v>Satisfactorio</v>
      </c>
      <c r="H4" s="4" t="n">
        <f aca="false">IF(OR(NOT(ISNUMBER(D4)),NOT(ISNUMBER(INDEX(valor_asignado!$C:$C,MATCH(B4,valor_asignado!$B:$B,0)))),NOT(ISNUMBER(SQRT(INDEX(valor_asignado!$D:$D,MATCH(B4,valor_asignado!$B:$B,0))^2+INDEX(valor_asignado!$H:$H,MATCH(B4,valor_asignado!$B:$B,0))^2))),SQRT(INDEX(valor_asignado!$D:$D,MATCH(B4,valor_asignado!$B:$B,0))^2+INDEX(valor_asignado!$H:$H,MATCH(B4,valor_asignado!$B:$B,0))^2)=0),"",(D4-INDEX(valor_asignado!$C:$C,MATCH(B4,valor_asignado!$B:$B,0)))/SQRT(INDEX(valor_asignado!$D:$D,MATCH(B4,valor_asignado!$B:$B,0))^2+INDEX(valor_asignado!$H:$H,MATCH(B4,valor_asignado!$B:$B,0))^2))</f>
        <v>0.0597964738996443</v>
      </c>
      <c r="I4" s="5" t="str">
        <f aca="false">IF(H4="","N/A",IF(ABS(H4)&lt;=2,"Satisfactorio",IF(ABS(H4)&lt;3,"Cuestionable","No satisfactorio")))</f>
        <v>Satisfactorio</v>
      </c>
      <c r="J4" s="4" t="n">
        <f aca="false">IF(OR(NOT(ISNUMBER(D4)),NOT(ISNUMBER(INDEX(valor_asignado!$C:$C,MATCH(B4,valor_asignado!$B:$B,0)))),NOT(ISNUMBER(SQRT(E4^2+INDEX(valor_asignado!$H:$H,MATCH(B4,valor_asignado!$B:$B,0))^2))),SQRT(E4^2+INDEX(valor_asignado!$H:$H,MATCH(B4,valor_asignado!$B:$B,0))^2)=0),"",(D4-INDEX(valor_asignado!$C:$C,MATCH(B4,valor_asignado!$B:$B,0)))/SQRT(E4^2+INDEX(valor_asignado!$H:$H,MATCH(B4,valor_asignado!$B:$B,0))^2))</f>
        <v>0.255846112453598</v>
      </c>
      <c r="K4" s="5" t="str">
        <f aca="false">IF(J4="","N/A",IF(ABS(J4)&lt;=2,"Satisfactorio",IF(ABS(J4)&lt;3,"Cuestionable","No satisfactorio")))</f>
        <v>Satisfactorio</v>
      </c>
      <c r="L4" s="4" t="n">
        <f aca="false">IF(OR(NOT(ISNUMBER(D4)),NOT(ISNUMBER(INDEX(valor_asignado!$C:$C,MATCH(B4,valor_asignado!$B:$B,0)))),NOT(ISNUMBER(SQRT((2*E4)^2+(2*INDEX(valor_asignado!$H:$H,MATCH(B4,valor_asignado!$B:$B,0)))^2))),SQRT((2*E4)^2+(2*INDEX(valor_asignado!$H:$H,MATCH(B4,valor_asignado!$B:$B,0)))^2)=0),"",(D4-INDEX(valor_asignado!$C:$C,MATCH(B4,valor_asignado!$B:$B,0)))/SQRT((2*E4)^2+(2*INDEX(valor_asignado!$H:$H,MATCH(B4,valor_asignado!$B:$B,0)))^2))</f>
        <v>0.127923056226799</v>
      </c>
      <c r="M4" s="5" t="str">
        <f aca="false">IF(L4="","N/A",IF(ABS(L4)&lt;=1,"Satisfactorio","No satisfactorio"))</f>
        <v>Satisfactorio</v>
      </c>
      <c r="N4" s="5" t="str">
        <f aca="false">IF(AND(SUM(IF(AND(D4="",validacion_snapshot!$U$51=""),0,IFERROR(ABS(D4-validacion_snapshot!$U$51),1E+099)),IF(AND(E4="",validacion_snapshot!$V$51=""),0,IFERROR(ABS(E4-validacion_snapshot!$V$51),1E+099)),IF(AND(F4="",validacion_snapshot!$W$51=""),0,IFERROR(ABS(F4-validacion_snapshot!$W$51),1E+099)),IF(AND(H4="",validacion_snapshot!$Y$51=""),0,IFERROR(ABS(H4-validacion_snapshot!$Y$51),1E+099)),IF(AND(J4="",validacion_snapshot!$AA$51=""),0,IFERROR(ABS(J4-validacion_snapshot!$AA$51),1E+099)),IF(AND(L4="",validacion_snapshot!$AC$51=""),0,IFERROR(ABS(L4-validacion_snapshot!$AC$51),1E+099)))&lt;=0.00000001,G4=validacion_snapshot!$X$51,I4=validacion_snapshot!$Z$51,K4=validacion_snapshot!$AB$51,M4=validacion_snapshot!$AD$51),"OK","FALLA")</f>
        <v>OK</v>
      </c>
    </row>
    <row r="5" customFormat="false" ht="15" hidden="false" customHeight="false" outlineLevel="0" collapsed="false">
      <c r="A5" s="3"/>
      <c r="B5" s="3" t="s">
        <v>189</v>
      </c>
      <c r="C5" s="3" t="s">
        <v>129</v>
      </c>
      <c r="D5" s="4" t="n">
        <f aca="false">INDEX(datos_participantes!$D:$D,MATCH(C5,datos_participantes!$A:$A,0))</f>
        <v>80.031</v>
      </c>
      <c r="E5" s="4" t="n">
        <f aca="false">INDEX(datos_participantes!$F:$F,MATCH(C5,datos_participantes!$A:$A,0))</f>
        <v>0.0924819264641932</v>
      </c>
      <c r="F5" s="4" t="n">
        <f aca="false">IF(OR(NOT(ISNUMBER(D5)),NOT(ISNUMBER(INDEX(valor_asignado!$C:$C,MATCH(B5,valor_asignado!$B:$B,0)))),NOT(ISNUMBER(INDEX(valor_asignado!$D:$D,MATCH(B5,valor_asignado!$B:$B,0)))),INDEX(valor_asignado!$D:$D,MATCH(B5,valor_asignado!$B:$B,0))=0),"",(D5-INDEX(valor_asignado!$C:$C,MATCH(B5,valor_asignado!$B:$B,0)))/INDEX(valor_asignado!$D:$D,MATCH(B5,valor_asignado!$B:$B,0)))</f>
        <v>0.0518362078478107</v>
      </c>
      <c r="G5" s="5" t="str">
        <f aca="false">IF(F5="","N/A",IF(ABS(F5)&lt;=2,"Satisfactorio",IF(ABS(F5)&lt;3,"Cuestionable","No satisfactorio")))</f>
        <v>Satisfactorio</v>
      </c>
      <c r="H5" s="4" t="n">
        <f aca="false">IF(OR(NOT(ISNUMBER(D5)),NOT(ISNUMBER(INDEX(valor_asignado!$C:$C,MATCH(B5,valor_asignado!$B:$B,0)))),NOT(ISNUMBER(SQRT(INDEX(valor_asignado!$D:$D,MATCH(B5,valor_asignado!$B:$B,0))^2+INDEX(valor_asignado!$H:$H,MATCH(B5,valor_asignado!$B:$B,0))^2))),SQRT(INDEX(valor_asignado!$D:$D,MATCH(B5,valor_asignado!$B:$B,0))^2+INDEX(valor_asignado!$H:$H,MATCH(B5,valor_asignado!$B:$B,0))^2)=0),"",(D5-INDEX(valor_asignado!$C:$C,MATCH(B5,valor_asignado!$B:$B,0)))/SQRT(INDEX(valor_asignado!$D:$D,MATCH(B5,valor_asignado!$B:$B,0))^2+INDEX(valor_asignado!$H:$H,MATCH(B5,valor_asignado!$B:$B,0))^2))</f>
        <v>0.0504337692180765</v>
      </c>
      <c r="I5" s="5" t="str">
        <f aca="false">IF(H5="","N/A",IF(ABS(H5)&lt;=2,"Satisfactorio",IF(ABS(H5)&lt;3,"Cuestionable","No satisfactorio")))</f>
        <v>Satisfactorio</v>
      </c>
      <c r="J5" s="4" t="n">
        <f aca="false">IF(OR(NOT(ISNUMBER(D5)),NOT(ISNUMBER(INDEX(valor_asignado!$C:$C,MATCH(B5,valor_asignado!$B:$B,0)))),NOT(ISNUMBER(SQRT(E5^2+INDEX(valor_asignado!$H:$H,MATCH(B5,valor_asignado!$B:$B,0))^2))),SQRT(E5^2+INDEX(valor_asignado!$H:$H,MATCH(B5,valor_asignado!$B:$B,0))^2)=0),"",(D5-INDEX(valor_asignado!$C:$C,MATCH(B5,valor_asignado!$B:$B,0)))/SQRT(E5^2+INDEX(valor_asignado!$H:$H,MATCH(B5,valor_asignado!$B:$B,0))^2))</f>
        <v>0.215880097689937</v>
      </c>
      <c r="K5" s="5" t="str">
        <f aca="false">IF(J5="","N/A",IF(ABS(J5)&lt;=2,"Satisfactorio",IF(ABS(J5)&lt;3,"Cuestionable","No satisfactorio")))</f>
        <v>Satisfactorio</v>
      </c>
      <c r="L5" s="4" t="n">
        <f aca="false">IF(OR(NOT(ISNUMBER(D5)),NOT(ISNUMBER(INDEX(valor_asignado!$C:$C,MATCH(B5,valor_asignado!$B:$B,0)))),NOT(ISNUMBER(SQRT((2*E5)^2+(2*INDEX(valor_asignado!$H:$H,MATCH(B5,valor_asignado!$B:$B,0)))^2))),SQRT((2*E5)^2+(2*INDEX(valor_asignado!$H:$H,MATCH(B5,valor_asignado!$B:$B,0)))^2)=0),"",(D5-INDEX(valor_asignado!$C:$C,MATCH(B5,valor_asignado!$B:$B,0)))/SQRT((2*E5)^2+(2*INDEX(valor_asignado!$H:$H,MATCH(B5,valor_asignado!$B:$B,0)))^2))</f>
        <v>0.107940048844969</v>
      </c>
      <c r="M5" s="5" t="str">
        <f aca="false">IF(L5="","N/A",IF(ABS(L5)&lt;=1,"Satisfactorio","No satisfactorio"))</f>
        <v>Satisfactorio</v>
      </c>
      <c r="N5" s="5" t="str">
        <f aca="false">IF(AND(SUM(IF(AND(D5="",validacion_snapshot!$U$52=""),0,IFERROR(ABS(D5-validacion_snapshot!$U$52),1E+099)),IF(AND(E5="",validacion_snapshot!$V$52=""),0,IFERROR(ABS(E5-validacion_snapshot!$V$52),1E+099)),IF(AND(F5="",validacion_snapshot!$W$52=""),0,IFERROR(ABS(F5-validacion_snapshot!$W$52),1E+099)),IF(AND(H5="",validacion_snapshot!$Y$52=""),0,IFERROR(ABS(H5-validacion_snapshot!$Y$52),1E+099)),IF(AND(J5="",validacion_snapshot!$AA$52=""),0,IFERROR(ABS(J5-validacion_snapshot!$AA$52),1E+099)),IF(AND(L5="",validacion_snapshot!$AC$52=""),0,IFERROR(ABS(L5-validacion_snapshot!$AC$52),1E+099)))&lt;=0.00000001,G5=validacion_snapshot!$X$52,I5=validacion_snapshot!$Z$52,K5=validacion_snapshot!$AB$52,M5=validacion_snapshot!$AD$52),"OK","FALLA")</f>
        <v>OK</v>
      </c>
    </row>
    <row r="6" customFormat="false" ht="15" hidden="false" customHeight="false" outlineLevel="0" collapsed="false">
      <c r="A6" s="3"/>
      <c r="B6" s="3" t="s">
        <v>189</v>
      </c>
      <c r="C6" s="3" t="s">
        <v>130</v>
      </c>
      <c r="D6" s="4" t="n">
        <f aca="false">INDEX(datos_participantes!$D:$D,MATCH(C6,datos_participantes!$A:$A,0))</f>
        <v>80.0573333333333</v>
      </c>
      <c r="E6" s="4" t="n">
        <f aca="false">INDEX(datos_participantes!$F:$F,MATCH(C6,datos_participantes!$A:$A,0))</f>
        <v>0.147603994565192</v>
      </c>
      <c r="F6" s="4" t="n">
        <f aca="false">IF(OR(NOT(ISNUMBER(D6)),NOT(ISNUMBER(INDEX(valor_asignado!$C:$C,MATCH(B6,valor_asignado!$B:$B,0)))),NOT(ISNUMBER(INDEX(valor_asignado!$D:$D,MATCH(B6,valor_asignado!$B:$B,0)))),INDEX(valor_asignado!$D:$D,MATCH(B6,valor_asignado!$B:$B,0))=0),"",(D6-INDEX(valor_asignado!$C:$C,MATCH(B6,valor_asignado!$B:$B,0)))/INDEX(valor_asignado!$D:$D,MATCH(B6,valor_asignado!$B:$B,0)))</f>
        <v>0.0619724960160544</v>
      </c>
      <c r="G6" s="5" t="str">
        <f aca="false">IF(F6="","N/A",IF(ABS(F6)&lt;=2,"Satisfactorio",IF(ABS(F6)&lt;3,"Cuestionable","No satisfactorio")))</f>
        <v>Satisfactorio</v>
      </c>
      <c r="H6" s="4" t="n">
        <f aca="false">IF(OR(NOT(ISNUMBER(D6)),NOT(ISNUMBER(INDEX(valor_asignado!$C:$C,MATCH(B6,valor_asignado!$B:$B,0)))),NOT(ISNUMBER(SQRT(INDEX(valor_asignado!$D:$D,MATCH(B6,valor_asignado!$B:$B,0))^2+INDEX(valor_asignado!$H:$H,MATCH(B6,valor_asignado!$B:$B,0))^2))),SQRT(INDEX(valor_asignado!$D:$D,MATCH(B6,valor_asignado!$B:$B,0))^2+INDEX(valor_asignado!$H:$H,MATCH(B6,valor_asignado!$B:$B,0))^2)=0),"",(D6-INDEX(valor_asignado!$C:$C,MATCH(B6,valor_asignado!$B:$B,0)))/SQRT(INDEX(valor_asignado!$D:$D,MATCH(B6,valor_asignado!$B:$B,0))^2+INDEX(valor_asignado!$H:$H,MATCH(B6,valor_asignado!$B:$B,0))^2))</f>
        <v>0.0602958181493181</v>
      </c>
      <c r="I6" s="5" t="str">
        <f aca="false">IF(H6="","N/A",IF(ABS(H6)&lt;=2,"Satisfactorio",IF(ABS(H6)&lt;3,"Cuestionable","No satisfactorio")))</f>
        <v>Satisfactorio</v>
      </c>
      <c r="J6" s="4" t="n">
        <f aca="false">IF(OR(NOT(ISNUMBER(D6)),NOT(ISNUMBER(INDEX(valor_asignado!$C:$C,MATCH(B6,valor_asignado!$B:$B,0)))),NOT(ISNUMBER(SQRT(E6^2+INDEX(valor_asignado!$H:$H,MATCH(B6,valor_asignado!$B:$B,0))^2))),SQRT(E6^2+INDEX(valor_asignado!$H:$H,MATCH(B6,valor_asignado!$B:$B,0))^2)=0),"",(D6-INDEX(valor_asignado!$C:$C,MATCH(B6,valor_asignado!$B:$B,0)))/SQRT(E6^2+INDEX(valor_asignado!$H:$H,MATCH(B6,valor_asignado!$B:$B,0))^2))</f>
        <v>0.25381434129894</v>
      </c>
      <c r="K6" s="5" t="str">
        <f aca="false">IF(J6="","N/A",IF(ABS(J6)&lt;=2,"Satisfactorio",IF(ABS(J6)&lt;3,"Cuestionable","No satisfactorio")))</f>
        <v>Satisfactorio</v>
      </c>
      <c r="L6" s="4" t="n">
        <f aca="false">IF(OR(NOT(ISNUMBER(D6)),NOT(ISNUMBER(INDEX(valor_asignado!$C:$C,MATCH(B6,valor_asignado!$B:$B,0)))),NOT(ISNUMBER(SQRT((2*E6)^2+(2*INDEX(valor_asignado!$H:$H,MATCH(B6,valor_asignado!$B:$B,0)))^2))),SQRT((2*E6)^2+(2*INDEX(valor_asignado!$H:$H,MATCH(B6,valor_asignado!$B:$B,0)))^2)=0),"",(D6-INDEX(valor_asignado!$C:$C,MATCH(B6,valor_asignado!$B:$B,0)))/SQRT((2*E6)^2+(2*INDEX(valor_asignado!$H:$H,MATCH(B6,valor_asignado!$B:$B,0)))^2))</f>
        <v>0.12690717064947</v>
      </c>
      <c r="M6" s="5" t="str">
        <f aca="false">IF(L6="","N/A",IF(ABS(L6)&lt;=1,"Satisfactorio","No satisfactorio"))</f>
        <v>Satisfactorio</v>
      </c>
      <c r="N6" s="5" t="str">
        <f aca="false">IF(AND(SUM(IF(AND(D6="",validacion_snapshot!$U$53=""),0,IFERROR(ABS(D6-validacion_snapshot!$U$53),1E+099)),IF(AND(E6="",validacion_snapshot!$V$53=""),0,IFERROR(ABS(E6-validacion_snapshot!$V$53),1E+099)),IF(AND(F6="",validacion_snapshot!$W$53=""),0,IFERROR(ABS(F6-validacion_snapshot!$W$53),1E+099)),IF(AND(H6="",validacion_snapshot!$Y$53=""),0,IFERROR(ABS(H6-validacion_snapshot!$Y$53),1E+099)),IF(AND(J6="",validacion_snapshot!$AA$53=""),0,IFERROR(ABS(J6-validacion_snapshot!$AA$53),1E+099)),IF(AND(L6="",validacion_snapshot!$AC$53=""),0,IFERROR(ABS(L6-validacion_snapshot!$AC$53),1E+099)))&lt;=0.00000001,G6=validacion_snapshot!$X$53,I6=validacion_snapshot!$Z$53,K6=validacion_snapshot!$AB$53,M6=validacion_snapshot!$AD$53),"OK","FALLA")</f>
        <v>OK</v>
      </c>
    </row>
    <row r="7" customFormat="false" ht="15" hidden="false" customHeight="false" outlineLevel="0" collapsed="false">
      <c r="A7" s="3"/>
      <c r="B7" s="3" t="s">
        <v>189</v>
      </c>
      <c r="C7" s="3" t="s">
        <v>131</v>
      </c>
      <c r="D7" s="4" t="n">
        <f aca="false">INDEX(datos_participantes!$D:$D,MATCH(C7,datos_participantes!$A:$A,0))</f>
        <v>79.9836666666667</v>
      </c>
      <c r="E7" s="4" t="n">
        <f aca="false">INDEX(datos_participantes!$F:$F,MATCH(C7,datos_participantes!$A:$A,0))</f>
        <v>0.0704138562754267</v>
      </c>
      <c r="F7" s="4" t="n">
        <f aca="false">IF(OR(NOT(ISNUMBER(D7)),NOT(ISNUMBER(INDEX(valor_asignado!$C:$C,MATCH(B7,valor_asignado!$B:$B,0)))),NOT(ISNUMBER(INDEX(valor_asignado!$D:$D,MATCH(B7,valor_asignado!$B:$B,0)))),INDEX(valor_asignado!$D:$D,MATCH(B7,valor_asignado!$B:$B,0))=0),"",(D7-INDEX(valor_asignado!$C:$C,MATCH(B7,valor_asignado!$B:$B,0)))/INDEX(valor_asignado!$D:$D,MATCH(B7,valor_asignado!$B:$B,0)))</f>
        <v>0.0336165506339945</v>
      </c>
      <c r="G7" s="5" t="str">
        <f aca="false">IF(F7="","N/A",IF(ABS(F7)&lt;=2,"Satisfactorio",IF(ABS(F7)&lt;3,"Cuestionable","No satisfactorio")))</f>
        <v>Satisfactorio</v>
      </c>
      <c r="H7" s="4" t="n">
        <f aca="false">IF(OR(NOT(ISNUMBER(D7)),NOT(ISNUMBER(INDEX(valor_asignado!$C:$C,MATCH(B7,valor_asignado!$B:$B,0)))),NOT(ISNUMBER(SQRT(INDEX(valor_asignado!$D:$D,MATCH(B7,valor_asignado!$B:$B,0))^2+INDEX(valor_asignado!$H:$H,MATCH(B7,valor_asignado!$B:$B,0))^2))),SQRT(INDEX(valor_asignado!$D:$D,MATCH(B7,valor_asignado!$B:$B,0))^2+INDEX(valor_asignado!$H:$H,MATCH(B7,valor_asignado!$B:$B,0))^2)=0),"",(D7-INDEX(valor_asignado!$C:$C,MATCH(B7,valor_asignado!$B:$B,0)))/SQRT(INDEX(valor_asignado!$D:$D,MATCH(B7,valor_asignado!$B:$B,0))^2+INDEX(valor_asignado!$H:$H,MATCH(B7,valor_asignado!$B:$B,0))^2))</f>
        <v>0.0327070483543149</v>
      </c>
      <c r="I7" s="5" t="str">
        <f aca="false">IF(H7="","N/A",IF(ABS(H7)&lt;=2,"Satisfactorio",IF(ABS(H7)&lt;3,"Cuestionable","No satisfactorio")))</f>
        <v>Satisfactorio</v>
      </c>
      <c r="J7" s="4" t="n">
        <f aca="false">IF(OR(NOT(ISNUMBER(D7)),NOT(ISNUMBER(INDEX(valor_asignado!$C:$C,MATCH(B7,valor_asignado!$B:$B,0)))),NOT(ISNUMBER(SQRT(E7^2+INDEX(valor_asignado!$H:$H,MATCH(B7,valor_asignado!$B:$B,0))^2))),SQRT(E7^2+INDEX(valor_asignado!$H:$H,MATCH(B7,valor_asignado!$B:$B,0))^2)=0),"",(D7-INDEX(valor_asignado!$C:$C,MATCH(B7,valor_asignado!$B:$B,0)))/SQRT(E7^2+INDEX(valor_asignado!$H:$H,MATCH(B7,valor_asignado!$B:$B,0))^2))</f>
        <v>0.140652633248517</v>
      </c>
      <c r="K7" s="5" t="str">
        <f aca="false">IF(J7="","N/A",IF(ABS(J7)&lt;=2,"Satisfactorio",IF(ABS(J7)&lt;3,"Cuestionable","No satisfactorio")))</f>
        <v>Satisfactorio</v>
      </c>
      <c r="L7" s="4" t="n">
        <f aca="false">IF(OR(NOT(ISNUMBER(D7)),NOT(ISNUMBER(INDEX(valor_asignado!$C:$C,MATCH(B7,valor_asignado!$B:$B,0)))),NOT(ISNUMBER(SQRT((2*E7)^2+(2*INDEX(valor_asignado!$H:$H,MATCH(B7,valor_asignado!$B:$B,0)))^2))),SQRT((2*E7)^2+(2*INDEX(valor_asignado!$H:$H,MATCH(B7,valor_asignado!$B:$B,0)))^2)=0),"",(D7-INDEX(valor_asignado!$C:$C,MATCH(B7,valor_asignado!$B:$B,0)))/SQRT((2*E7)^2+(2*INDEX(valor_asignado!$H:$H,MATCH(B7,valor_asignado!$B:$B,0)))^2))</f>
        <v>0.0703263166242583</v>
      </c>
      <c r="M7" s="5" t="str">
        <f aca="false">IF(L7="","N/A",IF(ABS(L7)&lt;=1,"Satisfactorio","No satisfactorio"))</f>
        <v>Satisfactorio</v>
      </c>
      <c r="N7" s="5" t="str">
        <f aca="false">IF(AND(SUM(IF(AND(D7="",validacion_snapshot!$U$54=""),0,IFERROR(ABS(D7-validacion_snapshot!$U$54),1E+099)),IF(AND(E7="",validacion_snapshot!$V$54=""),0,IFERROR(ABS(E7-validacion_snapshot!$V$54),1E+099)),IF(AND(F7="",validacion_snapshot!$W$54=""),0,IFERROR(ABS(F7-validacion_snapshot!$W$54),1E+099)),IF(AND(H7="",validacion_snapshot!$Y$54=""),0,IFERROR(ABS(H7-validacion_snapshot!$Y$54),1E+099)),IF(AND(J7="",validacion_snapshot!$AA$54=""),0,IFERROR(ABS(J7-validacion_snapshot!$AA$54),1E+099)),IF(AND(L7="",validacion_snapshot!$AC$54=""),0,IFERROR(ABS(L7-validacion_snapshot!$AC$54),1E+099)))&lt;=0.00000001,G7=validacion_snapshot!$X$54,I7=validacion_snapshot!$Z$54,K7=validacion_snapshot!$AB$54,M7=validacion_snapshot!$AD$54),"OK","FALLA")</f>
        <v>OK</v>
      </c>
    </row>
    <row r="8" customFormat="false" ht="15" hidden="false" customHeight="false" outlineLevel="0" collapsed="false">
      <c r="A8" s="3"/>
      <c r="B8" s="3" t="s">
        <v>189</v>
      </c>
      <c r="C8" s="3" t="s">
        <v>132</v>
      </c>
      <c r="D8" s="4" t="n">
        <f aca="false">INDEX(datos_participantes!$D:$D,MATCH(C8,datos_participantes!$A:$A,0))</f>
        <v>80.091</v>
      </c>
      <c r="E8" s="4" t="n">
        <f aca="false">INDEX(datos_participantes!$F:$F,MATCH(C8,datos_participantes!$A:$A,0))</f>
        <v>0.131152103622788</v>
      </c>
      <c r="F8" s="4" t="n">
        <f aca="false">IF(OR(NOT(ISNUMBER(D8)),NOT(ISNUMBER(INDEX(valor_asignado!$C:$C,MATCH(B8,valor_asignado!$B:$B,0)))),NOT(ISNUMBER(INDEX(valor_asignado!$D:$D,MATCH(B8,valor_asignado!$B:$B,0)))),INDEX(valor_asignado!$D:$D,MATCH(B8,valor_asignado!$B:$B,0))=0),"",(D8-INDEX(valor_asignado!$C:$C,MATCH(B8,valor_asignado!$B:$B,0)))/INDEX(valor_asignado!$D:$D,MATCH(B8,valor_asignado!$B:$B,0)))</f>
        <v>0.0749315479780125</v>
      </c>
      <c r="G8" s="5" t="str">
        <f aca="false">IF(F8="","N/A",IF(ABS(F8)&lt;=2,"Satisfactorio",IF(ABS(F8)&lt;3,"Cuestionable","No satisfactorio")))</f>
        <v>Satisfactorio</v>
      </c>
      <c r="H8" s="4" t="n">
        <f aca="false">IF(OR(NOT(ISNUMBER(D8)),NOT(ISNUMBER(INDEX(valor_asignado!$C:$C,MATCH(B8,valor_asignado!$B:$B,0)))),NOT(ISNUMBER(SQRT(INDEX(valor_asignado!$D:$D,MATCH(B8,valor_asignado!$B:$B,0))^2+INDEX(valor_asignado!$H:$H,MATCH(B8,valor_asignado!$B:$B,0))^2))),SQRT(INDEX(valor_asignado!$D:$D,MATCH(B8,valor_asignado!$B:$B,0))^2+INDEX(valor_asignado!$H:$H,MATCH(B8,valor_asignado!$B:$B,0))^2)=0),"",(D8-INDEX(valor_asignado!$C:$C,MATCH(B8,valor_asignado!$B:$B,0)))/SQRT(INDEX(valor_asignado!$D:$D,MATCH(B8,valor_asignado!$B:$B,0))^2+INDEX(valor_asignado!$H:$H,MATCH(B8,valor_asignado!$B:$B,0))^2))</f>
        <v>0.0729042604538425</v>
      </c>
      <c r="I8" s="5" t="str">
        <f aca="false">IF(H8="","N/A",IF(ABS(H8)&lt;=2,"Satisfactorio",IF(ABS(H8)&lt;3,"Cuestionable","No satisfactorio")))</f>
        <v>Satisfactorio</v>
      </c>
      <c r="J8" s="4" t="n">
        <f aca="false">IF(OR(NOT(ISNUMBER(D8)),NOT(ISNUMBER(INDEX(valor_asignado!$C:$C,MATCH(B8,valor_asignado!$B:$B,0)))),NOT(ISNUMBER(SQRT(E8^2+INDEX(valor_asignado!$H:$H,MATCH(B8,valor_asignado!$B:$B,0))^2))),SQRT(E8^2+INDEX(valor_asignado!$H:$H,MATCH(B8,valor_asignado!$B:$B,0))^2)=0),"",(D8-INDEX(valor_asignado!$C:$C,MATCH(B8,valor_asignado!$B:$B,0)))/SQRT(E8^2+INDEX(valor_asignado!$H:$H,MATCH(B8,valor_asignado!$B:$B,0))^2))</f>
        <v>0.308653414645754</v>
      </c>
      <c r="K8" s="5" t="str">
        <f aca="false">IF(J8="","N/A",IF(ABS(J8)&lt;=2,"Satisfactorio",IF(ABS(J8)&lt;3,"Cuestionable","No satisfactorio")))</f>
        <v>Satisfactorio</v>
      </c>
      <c r="L8" s="4" t="n">
        <f aca="false">IF(OR(NOT(ISNUMBER(D8)),NOT(ISNUMBER(INDEX(valor_asignado!$C:$C,MATCH(B8,valor_asignado!$B:$B,0)))),NOT(ISNUMBER(SQRT((2*E8)^2+(2*INDEX(valor_asignado!$H:$H,MATCH(B8,valor_asignado!$B:$B,0)))^2))),SQRT((2*E8)^2+(2*INDEX(valor_asignado!$H:$H,MATCH(B8,valor_asignado!$B:$B,0)))^2)=0),"",(D8-INDEX(valor_asignado!$C:$C,MATCH(B8,valor_asignado!$B:$B,0)))/SQRT((2*E8)^2+(2*INDEX(valor_asignado!$H:$H,MATCH(B8,valor_asignado!$B:$B,0)))^2))</f>
        <v>0.154326707322877</v>
      </c>
      <c r="M8" s="5" t="str">
        <f aca="false">IF(L8="","N/A",IF(ABS(L8)&lt;=1,"Satisfactorio","No satisfactorio"))</f>
        <v>Satisfactorio</v>
      </c>
      <c r="N8" s="5" t="str">
        <f aca="false">IF(AND(SUM(IF(AND(D8="",validacion_snapshot!$U$55=""),0,IFERROR(ABS(D8-validacion_snapshot!$U$55),1E+099)),IF(AND(E8="",validacion_snapshot!$V$55=""),0,IFERROR(ABS(E8-validacion_snapshot!$V$55),1E+099)),IF(AND(F8="",validacion_snapshot!$W$55=""),0,IFERROR(ABS(F8-validacion_snapshot!$W$55),1E+099)),IF(AND(H8="",validacion_snapshot!$Y$55=""),0,IFERROR(ABS(H8-validacion_snapshot!$Y$55),1E+099)),IF(AND(J8="",validacion_snapshot!$AA$55=""),0,IFERROR(ABS(J8-validacion_snapshot!$AA$55),1E+099)),IF(AND(L8="",validacion_snapshot!$AC$55=""),0,IFERROR(ABS(L8-validacion_snapshot!$AC$55),1E+099)))&lt;=0.00000001,G8=validacion_snapshot!$X$55,I8=validacion_snapshot!$Z$55,K8=validacion_snapshot!$AB$55,M8=validacion_snapshot!$AD$55),"OK","FALLA")</f>
        <v>OK</v>
      </c>
    </row>
    <row r="9" customFormat="false" ht="15" hidden="false" customHeight="false" outlineLevel="0" collapsed="false">
      <c r="A9" s="3"/>
      <c r="B9" s="3" t="s">
        <v>189</v>
      </c>
      <c r="C9" s="3" t="s">
        <v>133</v>
      </c>
      <c r="D9" s="4" t="n">
        <f aca="false">INDEX(datos_participantes!$D:$D,MATCH(C9,datos_participantes!$A:$A,0))</f>
        <v>80.158</v>
      </c>
      <c r="E9" s="4" t="n">
        <f aca="false">INDEX(datos_participantes!$F:$F,MATCH(C9,datos_participantes!$A:$A,0))</f>
        <v>0.0953945351575979</v>
      </c>
      <c r="F9" s="4" t="n">
        <f aca="false">IF(OR(NOT(ISNUMBER(D9)),NOT(ISNUMBER(INDEX(valor_asignado!$C:$C,MATCH(B9,valor_asignado!$B:$B,0)))),NOT(ISNUMBER(INDEX(valor_asignado!$D:$D,MATCH(B9,valor_asignado!$B:$B,0)))),INDEX(valor_asignado!$D:$D,MATCH(B9,valor_asignado!$B:$B,0))=0),"",(D9-INDEX(valor_asignado!$C:$C,MATCH(B9,valor_asignado!$B:$B,0)))/INDEX(valor_asignado!$D:$D,MATCH(B9,valor_asignado!$B:$B,0)))</f>
        <v>0.100721344456746</v>
      </c>
      <c r="G9" s="5" t="str">
        <f aca="false">IF(F9="","N/A",IF(ABS(F9)&lt;=2,"Satisfactorio",IF(ABS(F9)&lt;3,"Cuestionable","No satisfactorio")))</f>
        <v>Satisfactorio</v>
      </c>
      <c r="H9" s="4" t="n">
        <f aca="false">IF(OR(NOT(ISNUMBER(D9)),NOT(ISNUMBER(INDEX(valor_asignado!$C:$C,MATCH(B9,valor_asignado!$B:$B,0)))),NOT(ISNUMBER(SQRT(INDEX(valor_asignado!$D:$D,MATCH(B9,valor_asignado!$B:$B,0))^2+INDEX(valor_asignado!$H:$H,MATCH(B9,valor_asignado!$B:$B,0))^2))),SQRT(INDEX(valor_asignado!$D:$D,MATCH(B9,valor_asignado!$B:$B,0))^2+INDEX(valor_asignado!$H:$H,MATCH(B9,valor_asignado!$B:$B,0))^2)=0),"",(D9-INDEX(valor_asignado!$C:$C,MATCH(B9,valor_asignado!$B:$B,0)))/SQRT(INDEX(valor_asignado!$D:$D,MATCH(B9,valor_asignado!$B:$B,0))^2+INDEX(valor_asignado!$H:$H,MATCH(B9,valor_asignado!$B:$B,0))^2))</f>
        <v>0.0979963090004557</v>
      </c>
      <c r="I9" s="5" t="str">
        <f aca="false">IF(H9="","N/A",IF(ABS(H9)&lt;=2,"Satisfactorio",IF(ABS(H9)&lt;3,"Cuestionable","No satisfactorio")))</f>
        <v>Satisfactorio</v>
      </c>
      <c r="J9" s="4" t="n">
        <f aca="false">IF(OR(NOT(ISNUMBER(D9)),NOT(ISNUMBER(INDEX(valor_asignado!$C:$C,MATCH(B9,valor_asignado!$B:$B,0)))),NOT(ISNUMBER(SQRT(E9^2+INDEX(valor_asignado!$H:$H,MATCH(B9,valor_asignado!$B:$B,0))^2))),SQRT(E9^2+INDEX(valor_asignado!$H:$H,MATCH(B9,valor_asignado!$B:$B,0))^2)=0),"",(D9-INDEX(valor_asignado!$C:$C,MATCH(B9,valor_asignado!$B:$B,0)))/SQRT(E9^2+INDEX(valor_asignado!$H:$H,MATCH(B9,valor_asignado!$B:$B,0))^2))</f>
        <v>0.419175364719606</v>
      </c>
      <c r="K9" s="5" t="str">
        <f aca="false">IF(J9="","N/A",IF(ABS(J9)&lt;=2,"Satisfactorio",IF(ABS(J9)&lt;3,"Cuestionable","No satisfactorio")))</f>
        <v>Satisfactorio</v>
      </c>
      <c r="L9" s="4" t="n">
        <f aca="false">IF(OR(NOT(ISNUMBER(D9)),NOT(ISNUMBER(INDEX(valor_asignado!$C:$C,MATCH(B9,valor_asignado!$B:$B,0)))),NOT(ISNUMBER(SQRT((2*E9)^2+(2*INDEX(valor_asignado!$H:$H,MATCH(B9,valor_asignado!$B:$B,0)))^2))),SQRT((2*E9)^2+(2*INDEX(valor_asignado!$H:$H,MATCH(B9,valor_asignado!$B:$B,0)))^2)=0),"",(D9-INDEX(valor_asignado!$C:$C,MATCH(B9,valor_asignado!$B:$B,0)))/SQRT((2*E9)^2+(2*INDEX(valor_asignado!$H:$H,MATCH(B9,valor_asignado!$B:$B,0)))^2))</f>
        <v>0.209587682359803</v>
      </c>
      <c r="M9" s="5" t="str">
        <f aca="false">IF(L9="","N/A",IF(ABS(L9)&lt;=1,"Satisfactorio","No satisfactorio"))</f>
        <v>Satisfactorio</v>
      </c>
      <c r="N9" s="5" t="str">
        <f aca="false">IF(AND(SUM(IF(AND(D9="",validacion_snapshot!$U$56=""),0,IFERROR(ABS(D9-validacion_snapshot!$U$56),1E+099)),IF(AND(E9="",validacion_snapshot!$V$56=""),0,IFERROR(ABS(E9-validacion_snapshot!$V$56),1E+099)),IF(AND(F9="",validacion_snapshot!$W$56=""),0,IFERROR(ABS(F9-validacion_snapshot!$W$56),1E+099)),IF(AND(H9="",validacion_snapshot!$Y$56=""),0,IFERROR(ABS(H9-validacion_snapshot!$Y$56),1E+099)),IF(AND(J9="",validacion_snapshot!$AA$56=""),0,IFERROR(ABS(J9-validacion_snapshot!$AA$56),1E+099)),IF(AND(L9="",validacion_snapshot!$AC$56=""),0,IFERROR(ABS(L9-validacion_snapshot!$AC$56),1E+099)))&lt;=0.00000001,G9=validacion_snapshot!$X$56,I9=validacion_snapshot!$Z$56,K9=validacion_snapshot!$AB$56,M9=validacion_snapshot!$AD$56),"OK","FALLA")</f>
        <v>OK</v>
      </c>
    </row>
    <row r="10" customFormat="false" ht="15" hidden="false" customHeight="false" outlineLevel="0" collapsed="false">
      <c r="A10" s="3"/>
      <c r="B10" s="3" t="s">
        <v>189</v>
      </c>
      <c r="C10" s="3" t="s">
        <v>134</v>
      </c>
      <c r="D10" s="4" t="n">
        <f aca="false">INDEX(datos_participantes!$D:$D,MATCH(C10,datos_participantes!$A:$A,0))</f>
        <v>80.2606666666667</v>
      </c>
      <c r="E10" s="4" t="n">
        <f aca="false">INDEX(datos_participantes!$F:$F,MATCH(C10,datos_participantes!$A:$A,0))</f>
        <v>0.0427293036158302</v>
      </c>
      <c r="F10" s="4" t="n">
        <f aca="false">IF(OR(NOT(ISNUMBER(D10)),NOT(ISNUMBER(INDEX(valor_asignado!$C:$C,MATCH(B10,valor_asignado!$B:$B,0)))),NOT(ISNUMBER(INDEX(valor_asignado!$D:$D,MATCH(B10,valor_asignado!$B:$B,0)))),INDEX(valor_asignado!$D:$D,MATCH(B10,valor_asignado!$B:$B,0))=0),"",(D10-INDEX(valor_asignado!$C:$C,MATCH(B10,valor_asignado!$B:$B,0)))/INDEX(valor_asignado!$D:$D,MATCH(B10,valor_asignado!$B:$B,0)))</f>
        <v>0.140240037568442</v>
      </c>
      <c r="G10" s="5" t="str">
        <f aca="false">IF(F10="","N/A",IF(ABS(F10)&lt;=2,"Satisfactorio",IF(ABS(F10)&lt;3,"Cuestionable","No satisfactorio")))</f>
        <v>Satisfactorio</v>
      </c>
      <c r="H10" s="4" t="n">
        <f aca="false">IF(OR(NOT(ISNUMBER(D10)),NOT(ISNUMBER(INDEX(valor_asignado!$C:$C,MATCH(B10,valor_asignado!$B:$B,0)))),NOT(ISNUMBER(SQRT(INDEX(valor_asignado!$D:$D,MATCH(B10,valor_asignado!$B:$B,0))^2+INDEX(valor_asignado!$H:$H,MATCH(B10,valor_asignado!$B:$B,0))^2))),SQRT(INDEX(valor_asignado!$D:$D,MATCH(B10,valor_asignado!$B:$B,0))^2+INDEX(valor_asignado!$H:$H,MATCH(B10,valor_asignado!$B:$B,0))^2)=0),"",(D10-INDEX(valor_asignado!$C:$C,MATCH(B10,valor_asignado!$B:$B,0)))/SQRT(INDEX(valor_asignado!$D:$D,MATCH(B10,valor_asignado!$B:$B,0))^2+INDEX(valor_asignado!$H:$H,MATCH(B10,valor_asignado!$B:$B,0))^2))</f>
        <v>0.136445816226117</v>
      </c>
      <c r="I10" s="5" t="str">
        <f aca="false">IF(H10="","N/A",IF(ABS(H10)&lt;=2,"Satisfactorio",IF(ABS(H10)&lt;3,"Cuestionable","No satisfactorio")))</f>
        <v>Satisfactorio</v>
      </c>
      <c r="J10" s="4" t="n">
        <f aca="false">IF(OR(NOT(ISNUMBER(D10)),NOT(ISNUMBER(INDEX(valor_asignado!$C:$C,MATCH(B10,valor_asignado!$B:$B,0)))),NOT(ISNUMBER(SQRT(E10^2+INDEX(valor_asignado!$H:$H,MATCH(B10,valor_asignado!$B:$B,0))^2))),SQRT(E10^2+INDEX(valor_asignado!$H:$H,MATCH(B10,valor_asignado!$B:$B,0))^2)=0),"",(D10-INDEX(valor_asignado!$C:$C,MATCH(B10,valor_asignado!$B:$B,0)))/SQRT(E10^2+INDEX(valor_asignado!$H:$H,MATCH(B10,valor_asignado!$B:$B,0))^2))</f>
        <v>0.589166678120725</v>
      </c>
      <c r="K10" s="5" t="str">
        <f aca="false">IF(J10="","N/A",IF(ABS(J10)&lt;=2,"Satisfactorio",IF(ABS(J10)&lt;3,"Cuestionable","No satisfactorio")))</f>
        <v>Satisfactorio</v>
      </c>
      <c r="L10" s="4" t="n">
        <f aca="false">IF(OR(NOT(ISNUMBER(D10)),NOT(ISNUMBER(INDEX(valor_asignado!$C:$C,MATCH(B10,valor_asignado!$B:$B,0)))),NOT(ISNUMBER(SQRT((2*E10)^2+(2*INDEX(valor_asignado!$H:$H,MATCH(B10,valor_asignado!$B:$B,0)))^2))),SQRT((2*E10)^2+(2*INDEX(valor_asignado!$H:$H,MATCH(B10,valor_asignado!$B:$B,0)))^2)=0),"",(D10-INDEX(valor_asignado!$C:$C,MATCH(B10,valor_asignado!$B:$B,0)))/SQRT((2*E10)^2+(2*INDEX(valor_asignado!$H:$H,MATCH(B10,valor_asignado!$B:$B,0)))^2))</f>
        <v>0.294583339060362</v>
      </c>
      <c r="M10" s="5" t="str">
        <f aca="false">IF(L10="","N/A",IF(ABS(L10)&lt;=1,"Satisfactorio","No satisfactorio"))</f>
        <v>Satisfactorio</v>
      </c>
      <c r="N10" s="5" t="str">
        <f aca="false">IF(AND(SUM(IF(AND(D10="",validacion_snapshot!$U$57=""),0,IFERROR(ABS(D10-validacion_snapshot!$U$57),1E+099)),IF(AND(E10="",validacion_snapshot!$V$57=""),0,IFERROR(ABS(E10-validacion_snapshot!$V$57),1E+099)),IF(AND(F10="",validacion_snapshot!$W$57=""),0,IFERROR(ABS(F10-validacion_snapshot!$W$57),1E+099)),IF(AND(H10="",validacion_snapshot!$Y$57=""),0,IFERROR(ABS(H10-validacion_snapshot!$Y$57),1E+099)),IF(AND(J10="",validacion_snapshot!$AA$57=""),0,IFERROR(ABS(J10-validacion_snapshot!$AA$57),1E+099)),IF(AND(L10="",validacion_snapshot!$AC$57=""),0,IFERROR(ABS(L10-validacion_snapshot!$AC$57),1E+099)))&lt;=0.00000001,G10=validacion_snapshot!$X$57,I10=validacion_snapshot!$Z$57,K10=validacion_snapshot!$AB$57,M10=validacion_snapshot!$AD$57),"OK","FALLA")</f>
        <v>OK</v>
      </c>
    </row>
    <row r="11" customFormat="false" ht="15" hidden="false" customHeight="false" outlineLevel="0" collapsed="false">
      <c r="A11" s="3"/>
      <c r="B11" s="3" t="s">
        <v>189</v>
      </c>
      <c r="C11" s="3" t="s">
        <v>135</v>
      </c>
      <c r="D11" s="4" t="n">
        <f aca="false">INDEX(datos_participantes!$D:$D,MATCH(C11,datos_participantes!$A:$A,0))</f>
        <v>79.9916666666667</v>
      </c>
      <c r="E11" s="4" t="n">
        <f aca="false">INDEX(datos_participantes!$F:$F,MATCH(C11,datos_participantes!$A:$A,0))</f>
        <v>0.00466154333165642</v>
      </c>
      <c r="F11" s="4" t="n">
        <f aca="false">IF(OR(NOT(ISNUMBER(D11)),NOT(ISNUMBER(INDEX(valor_asignado!$C:$C,MATCH(B11,valor_asignado!$B:$B,0)))),NOT(ISNUMBER(INDEX(valor_asignado!$D:$D,MATCH(B11,valor_asignado!$B:$B,0)))),INDEX(valor_asignado!$D:$D,MATCH(B11,valor_asignado!$B:$B,0))=0),"",(D11-INDEX(valor_asignado!$C:$C,MATCH(B11,valor_asignado!$B:$B,0)))/INDEX(valor_asignado!$D:$D,MATCH(B11,valor_asignado!$B:$B,0)))</f>
        <v>0.0366959293180203</v>
      </c>
      <c r="G11" s="5" t="str">
        <f aca="false">IF(F11="","N/A",IF(ABS(F11)&lt;=2,"Satisfactorio",IF(ABS(F11)&lt;3,"Cuestionable","No satisfactorio")))</f>
        <v>Satisfactorio</v>
      </c>
      <c r="H11" s="4" t="n">
        <f aca="false">IF(OR(NOT(ISNUMBER(D11)),NOT(ISNUMBER(INDEX(valor_asignado!$C:$C,MATCH(B11,valor_asignado!$B:$B,0)))),NOT(ISNUMBER(SQRT(INDEX(valor_asignado!$D:$D,MATCH(B11,valor_asignado!$B:$B,0))^2+INDEX(valor_asignado!$H:$H,MATCH(B11,valor_asignado!$B:$B,0))^2))),SQRT(INDEX(valor_asignado!$D:$D,MATCH(B11,valor_asignado!$B:$B,0))^2+INDEX(valor_asignado!$H:$H,MATCH(B11,valor_asignado!$B:$B,0))^2)=0),"",(D11-INDEX(valor_asignado!$C:$C,MATCH(B11,valor_asignado!$B:$B,0)))/SQRT(INDEX(valor_asignado!$D:$D,MATCH(B11,valor_asignado!$B:$B,0))^2+INDEX(valor_asignado!$H:$H,MATCH(B11,valor_asignado!$B:$B,0))^2))</f>
        <v>0.035703113852416</v>
      </c>
      <c r="I11" s="5" t="str">
        <f aca="false">IF(H11="","N/A",IF(ABS(H11)&lt;=2,"Satisfactorio",IF(ABS(H11)&lt;3,"Cuestionable","No satisfactorio")))</f>
        <v>Satisfactorio</v>
      </c>
      <c r="J11" s="4" t="n">
        <f aca="false">IF(OR(NOT(ISNUMBER(D11)),NOT(ISNUMBER(INDEX(valor_asignado!$C:$C,MATCH(B11,valor_asignado!$B:$B,0)))),NOT(ISNUMBER(SQRT(E11^2+INDEX(valor_asignado!$H:$H,MATCH(B11,valor_asignado!$B:$B,0))^2))),SQRT(E11^2+INDEX(valor_asignado!$H:$H,MATCH(B11,valor_asignado!$B:$B,0))^2)=0),"",(D11-INDEX(valor_asignado!$C:$C,MATCH(B11,valor_asignado!$B:$B,0)))/SQRT(E11^2+INDEX(valor_asignado!$H:$H,MATCH(B11,valor_asignado!$B:$B,0))^2))</f>
        <v>0.154529324821507</v>
      </c>
      <c r="K11" s="5" t="str">
        <f aca="false">IF(J11="","N/A",IF(ABS(J11)&lt;=2,"Satisfactorio",IF(ABS(J11)&lt;3,"Cuestionable","No satisfactorio")))</f>
        <v>Satisfactorio</v>
      </c>
      <c r="L11" s="4" t="n">
        <f aca="false">IF(OR(NOT(ISNUMBER(D11)),NOT(ISNUMBER(INDEX(valor_asignado!$C:$C,MATCH(B11,valor_asignado!$B:$B,0)))),NOT(ISNUMBER(SQRT((2*E11)^2+(2*INDEX(valor_asignado!$H:$H,MATCH(B11,valor_asignado!$B:$B,0)))^2))),SQRT((2*E11)^2+(2*INDEX(valor_asignado!$H:$H,MATCH(B11,valor_asignado!$B:$B,0)))^2)=0),"",(D11-INDEX(valor_asignado!$C:$C,MATCH(B11,valor_asignado!$B:$B,0)))/SQRT((2*E11)^2+(2*INDEX(valor_asignado!$H:$H,MATCH(B11,valor_asignado!$B:$B,0)))^2))</f>
        <v>0.0772646624107535</v>
      </c>
      <c r="M11" s="5" t="str">
        <f aca="false">IF(L11="","N/A",IF(ABS(L11)&lt;=1,"Satisfactorio","No satisfactorio"))</f>
        <v>Satisfactorio</v>
      </c>
      <c r="N11" s="5" t="str">
        <f aca="false">IF(AND(SUM(IF(AND(D11="",validacion_snapshot!$U$58=""),0,IFERROR(ABS(D11-validacion_snapshot!$U$58),1E+099)),IF(AND(E11="",validacion_snapshot!$V$58=""),0,IFERROR(ABS(E11-validacion_snapshot!$V$58),1E+099)),IF(AND(F11="",validacion_snapshot!$W$58=""),0,IFERROR(ABS(F11-validacion_snapshot!$W$58),1E+099)),IF(AND(H11="",validacion_snapshot!$Y$58=""),0,IFERROR(ABS(H11-validacion_snapshot!$Y$58),1E+099)),IF(AND(J11="",validacion_snapshot!$AA$58=""),0,IFERROR(ABS(J11-validacion_snapshot!$AA$58),1E+099)),IF(AND(L11="",validacion_snapshot!$AC$58=""),0,IFERROR(ABS(L11-validacion_snapshot!$AC$58),1E+099)))&lt;=0.00000001,G11=validacion_snapshot!$X$58,I11=validacion_snapshot!$Z$58,K11=validacion_snapshot!$AB$58,M11=validacion_snapshot!$AD$58),"OK","FALLA")</f>
        <v>OK</v>
      </c>
    </row>
    <row r="12" customFormat="false" ht="15" hidden="false" customHeight="false" outlineLevel="0" collapsed="false">
      <c r="A12" s="3"/>
      <c r="B12" s="3" t="s">
        <v>189</v>
      </c>
      <c r="C12" s="3" t="s">
        <v>136</v>
      </c>
      <c r="D12" s="4" t="n">
        <f aca="false">INDEX(datos_participantes!$D:$D,MATCH(C12,datos_participantes!$A:$A,0))</f>
        <v>80.0473333333333</v>
      </c>
      <c r="E12" s="4" t="n">
        <f aca="false">INDEX(datos_participantes!$F:$F,MATCH(C12,datos_participantes!$A:$A,0))</f>
        <v>0.100944697094177</v>
      </c>
      <c r="F12" s="4" t="n">
        <f aca="false">IF(OR(NOT(ISNUMBER(D12)),NOT(ISNUMBER(INDEX(valor_asignado!$C:$C,MATCH(B12,valor_asignado!$B:$B,0)))),NOT(ISNUMBER(INDEX(valor_asignado!$D:$D,MATCH(B12,valor_asignado!$B:$B,0)))),INDEX(valor_asignado!$D:$D,MATCH(B12,valor_asignado!$B:$B,0))=0),"",(D12-INDEX(valor_asignado!$C:$C,MATCH(B12,valor_asignado!$B:$B,0)))/INDEX(valor_asignado!$D:$D,MATCH(B12,valor_asignado!$B:$B,0)))</f>
        <v>0.058123272661018</v>
      </c>
      <c r="G12" s="5" t="str">
        <f aca="false">IF(F12="","N/A",IF(ABS(F12)&lt;=2,"Satisfactorio",IF(ABS(F12)&lt;3,"Cuestionable","No satisfactorio")))</f>
        <v>Satisfactorio</v>
      </c>
      <c r="H12" s="4" t="n">
        <f aca="false">IF(OR(NOT(ISNUMBER(D12)),NOT(ISNUMBER(INDEX(valor_asignado!$C:$C,MATCH(B12,valor_asignado!$B:$B,0)))),NOT(ISNUMBER(SQRT(INDEX(valor_asignado!$D:$D,MATCH(B12,valor_asignado!$B:$B,0))^2+INDEX(valor_asignado!$H:$H,MATCH(B12,valor_asignado!$B:$B,0))^2))),SQRT(INDEX(valor_asignado!$D:$D,MATCH(B12,valor_asignado!$B:$B,0))^2+INDEX(valor_asignado!$H:$H,MATCH(B12,valor_asignado!$B:$B,0))^2)=0),"",(D12-INDEX(valor_asignado!$C:$C,MATCH(B12,valor_asignado!$B:$B,0)))/SQRT(INDEX(valor_asignado!$D:$D,MATCH(B12,valor_asignado!$B:$B,0))^2+INDEX(valor_asignado!$H:$H,MATCH(B12,valor_asignado!$B:$B,0))^2))</f>
        <v>0.0565507362766878</v>
      </c>
      <c r="I12" s="5" t="str">
        <f aca="false">IF(H12="","N/A",IF(ABS(H12)&lt;=2,"Satisfactorio",IF(ABS(H12)&lt;3,"Cuestionable","No satisfactorio")))</f>
        <v>Satisfactorio</v>
      </c>
      <c r="J12" s="4" t="n">
        <f aca="false">IF(OR(NOT(ISNUMBER(D12)),NOT(ISNUMBER(INDEX(valor_asignado!$C:$C,MATCH(B12,valor_asignado!$B:$B,0)))),NOT(ISNUMBER(SQRT(E12^2+INDEX(valor_asignado!$H:$H,MATCH(B12,valor_asignado!$B:$B,0))^2))),SQRT(E12^2+INDEX(valor_asignado!$H:$H,MATCH(B12,valor_asignado!$B:$B,0))^2)=0),"",(D12-INDEX(valor_asignado!$C:$C,MATCH(B12,valor_asignado!$B:$B,0)))/SQRT(E12^2+INDEX(valor_asignado!$H:$H,MATCH(B12,valor_asignado!$B:$B,0))^2))</f>
        <v>0.241556040222071</v>
      </c>
      <c r="K12" s="5" t="str">
        <f aca="false">IF(J12="","N/A",IF(ABS(J12)&lt;=2,"Satisfactorio",IF(ABS(J12)&lt;3,"Cuestionable","No satisfactorio")))</f>
        <v>Satisfactorio</v>
      </c>
      <c r="L12" s="4" t="n">
        <f aca="false">IF(OR(NOT(ISNUMBER(D12)),NOT(ISNUMBER(INDEX(valor_asignado!$C:$C,MATCH(B12,valor_asignado!$B:$B,0)))),NOT(ISNUMBER(SQRT((2*E12)^2+(2*INDEX(valor_asignado!$H:$H,MATCH(B12,valor_asignado!$B:$B,0)))^2))),SQRT((2*E12)^2+(2*INDEX(valor_asignado!$H:$H,MATCH(B12,valor_asignado!$B:$B,0)))^2)=0),"",(D12-INDEX(valor_asignado!$C:$C,MATCH(B12,valor_asignado!$B:$B,0)))/SQRT((2*E12)^2+(2*INDEX(valor_asignado!$H:$H,MATCH(B12,valor_asignado!$B:$B,0)))^2))</f>
        <v>0.120778020111035</v>
      </c>
      <c r="M12" s="5" t="str">
        <f aca="false">IF(L12="","N/A",IF(ABS(L12)&lt;=1,"Satisfactorio","No satisfactorio"))</f>
        <v>Satisfactorio</v>
      </c>
      <c r="N12" s="5" t="str">
        <f aca="false">IF(AND(SUM(IF(AND(D12="",validacion_snapshot!$U$59=""),0,IFERROR(ABS(D12-validacion_snapshot!$U$59),1E+099)),IF(AND(E12="",validacion_snapshot!$V$59=""),0,IFERROR(ABS(E12-validacion_snapshot!$V$59),1E+099)),IF(AND(F12="",validacion_snapshot!$W$59=""),0,IFERROR(ABS(F12-validacion_snapshot!$W$59),1E+099)),IF(AND(H12="",validacion_snapshot!$Y$59=""),0,IFERROR(ABS(H12-validacion_snapshot!$Y$59),1E+099)),IF(AND(J12="",validacion_snapshot!$AA$59=""),0,IFERROR(ABS(J12-validacion_snapshot!$AA$59),1E+099)),IF(AND(L12="",validacion_snapshot!$AC$59=""),0,IFERROR(ABS(L12-validacion_snapshot!$AC$59),1E+099)))&lt;=0.00000001,G12=validacion_snapshot!$X$59,I12=validacion_snapshot!$Z$59,K12=validacion_snapshot!$AB$59,M12=validacion_snapshot!$AD$59),"OK","FALLA")</f>
        <v>OK</v>
      </c>
    </row>
    <row r="13" customFormat="false" ht="15" hidden="false" customHeight="false" outlineLevel="0" collapsed="false">
      <c r="A13" s="3"/>
      <c r="B13" s="3" t="s">
        <v>189</v>
      </c>
      <c r="C13" s="3" t="s">
        <v>137</v>
      </c>
      <c r="D13" s="4" t="n">
        <f aca="false">INDEX(datos_participantes!$D:$D,MATCH(C13,datos_participantes!$A:$A,0))</f>
        <v>80.2476666666667</v>
      </c>
      <c r="E13" s="4" t="n">
        <f aca="false">INDEX(datos_participantes!$F:$F,MATCH(C13,datos_participantes!$A:$A,0))</f>
        <v>0.0385972875321689</v>
      </c>
      <c r="F13" s="4" t="n">
        <f aca="false">IF(OR(NOT(ISNUMBER(D13)),NOT(ISNUMBER(INDEX(valor_asignado!$C:$C,MATCH(B13,valor_asignado!$B:$B,0)))),NOT(ISNUMBER(INDEX(valor_asignado!$D:$D,MATCH(B13,valor_asignado!$B:$B,0)))),INDEX(valor_asignado!$D:$D,MATCH(B13,valor_asignado!$B:$B,0))=0),"",(D13-INDEX(valor_asignado!$C:$C,MATCH(B13,valor_asignado!$B:$B,0)))/INDEX(valor_asignado!$D:$D,MATCH(B13,valor_asignado!$B:$B,0)))</f>
        <v>0.135236047206901</v>
      </c>
      <c r="G13" s="5" t="str">
        <f aca="false">IF(F13="","N/A",IF(ABS(F13)&lt;=2,"Satisfactorio",IF(ABS(F13)&lt;3,"Cuestionable","No satisfactorio")))</f>
        <v>Satisfactorio</v>
      </c>
      <c r="H13" s="4" t="n">
        <f aca="false">IF(OR(NOT(ISNUMBER(D13)),NOT(ISNUMBER(INDEX(valor_asignado!$C:$C,MATCH(B13,valor_asignado!$B:$B,0)))),NOT(ISNUMBER(SQRT(INDEX(valor_asignado!$D:$D,MATCH(B13,valor_asignado!$B:$B,0))^2+INDEX(valor_asignado!$H:$H,MATCH(B13,valor_asignado!$B:$B,0))^2))),SQRT(INDEX(valor_asignado!$D:$D,MATCH(B13,valor_asignado!$B:$B,0))^2+INDEX(valor_asignado!$H:$H,MATCH(B13,valor_asignado!$B:$B,0))^2)=0),"",(D13-INDEX(valor_asignado!$C:$C,MATCH(B13,valor_asignado!$B:$B,0)))/SQRT(INDEX(valor_asignado!$D:$D,MATCH(B13,valor_asignado!$B:$B,0))^2+INDEX(valor_asignado!$H:$H,MATCH(B13,valor_asignado!$B:$B,0))^2))</f>
        <v>0.131577209791704</v>
      </c>
      <c r="I13" s="5" t="str">
        <f aca="false">IF(H13="","N/A",IF(ABS(H13)&lt;=2,"Satisfactorio",IF(ABS(H13)&lt;3,"Cuestionable","No satisfactorio")))</f>
        <v>Satisfactorio</v>
      </c>
      <c r="J13" s="4" t="n">
        <f aca="false">IF(OR(NOT(ISNUMBER(D13)),NOT(ISNUMBER(INDEX(valor_asignado!$C:$C,MATCH(B13,valor_asignado!$B:$B,0)))),NOT(ISNUMBER(SQRT(E13^2+INDEX(valor_asignado!$H:$H,MATCH(B13,valor_asignado!$B:$B,0))^2))),SQRT(E13^2+INDEX(valor_asignado!$H:$H,MATCH(B13,valor_asignado!$B:$B,0))^2)=0),"",(D13-INDEX(valor_asignado!$C:$C,MATCH(B13,valor_asignado!$B:$B,0)))/SQRT(E13^2+INDEX(valor_asignado!$H:$H,MATCH(B13,valor_asignado!$B:$B,0))^2))</f>
        <v>0.568394059841364</v>
      </c>
      <c r="K13" s="5" t="str">
        <f aca="false">IF(J13="","N/A",IF(ABS(J13)&lt;=2,"Satisfactorio",IF(ABS(J13)&lt;3,"Cuestionable","No satisfactorio")))</f>
        <v>Satisfactorio</v>
      </c>
      <c r="L13" s="4" t="n">
        <f aca="false">IF(OR(NOT(ISNUMBER(D13)),NOT(ISNUMBER(INDEX(valor_asignado!$C:$C,MATCH(B13,valor_asignado!$B:$B,0)))),NOT(ISNUMBER(SQRT((2*E13)^2+(2*INDEX(valor_asignado!$H:$H,MATCH(B13,valor_asignado!$B:$B,0)))^2))),SQRT((2*E13)^2+(2*INDEX(valor_asignado!$H:$H,MATCH(B13,valor_asignado!$B:$B,0)))^2)=0),"",(D13-INDEX(valor_asignado!$C:$C,MATCH(B13,valor_asignado!$B:$B,0)))/SQRT((2*E13)^2+(2*INDEX(valor_asignado!$H:$H,MATCH(B13,valor_asignado!$B:$B,0)))^2))</f>
        <v>0.284197029920682</v>
      </c>
      <c r="M13" s="5" t="str">
        <f aca="false">IF(L13="","N/A",IF(ABS(L13)&lt;=1,"Satisfactorio","No satisfactorio"))</f>
        <v>Satisfactorio</v>
      </c>
      <c r="N13" s="5" t="str">
        <f aca="false">IF(AND(SUM(IF(AND(D13="",validacion_snapshot!$U$60=""),0,IFERROR(ABS(D13-validacion_snapshot!$U$60),1E+099)),IF(AND(E13="",validacion_snapshot!$V$60=""),0,IFERROR(ABS(E13-validacion_snapshot!$V$60),1E+099)),IF(AND(F13="",validacion_snapshot!$W$60=""),0,IFERROR(ABS(F13-validacion_snapshot!$W$60),1E+099)),IF(AND(H13="",validacion_snapshot!$Y$60=""),0,IFERROR(ABS(H13-validacion_snapshot!$Y$60),1E+099)),IF(AND(J13="",validacion_snapshot!$AA$60=""),0,IFERROR(ABS(J13-validacion_snapshot!$AA$60),1E+099)),IF(AND(L13="",validacion_snapshot!$AC$60=""),0,IFERROR(ABS(L13-validacion_snapshot!$AC$60),1E+099)))&lt;=0.00000001,G13=validacion_snapshot!$X$60,I13=validacion_snapshot!$Z$60,K13=validacion_snapshot!$AB$60,M13=validacion_snapshot!$AD$60),"OK","FALLA")</f>
        <v>OK</v>
      </c>
    </row>
    <row r="14" customFormat="false" ht="26.85" hidden="false" customHeight="false" outlineLevel="0" collapsed="false">
      <c r="A14" s="3"/>
      <c r="B14" s="3" t="s">
        <v>191</v>
      </c>
      <c r="C14" s="3" t="s">
        <v>126</v>
      </c>
      <c r="D14" s="4" t="n">
        <f aca="false">INDEX(datos_participantes!$D:$D,MATCH(C14,datos_participantes!$A:$A,0))</f>
        <v>80.2293333333333</v>
      </c>
      <c r="E14" s="4" t="n">
        <f aca="false">INDEX(datos_participantes!$F:$F,MATCH(C14,datos_participantes!$A:$A,0))</f>
        <v>0.0306434083253844</v>
      </c>
      <c r="F14" s="4" t="n">
        <f aca="false">IF(OR(NOT(ISNUMBER(D14)),NOT(ISNUMBER(INDEX(valor_asignado!$C:$C,MATCH(B14,valor_asignado!$B:$B,0)))),NOT(ISNUMBER(INDEX(valor_asignado!$D:$D,MATCH(B14,valor_asignado!$B:$B,0)))),INDEX(valor_asignado!$D:$D,MATCH(B14,valor_asignado!$B:$B,0))=0),"",(D14-INDEX(valor_asignado!$C:$C,MATCH(B14,valor_asignado!$B:$B,0)))/INDEX(valor_asignado!$D:$D,MATCH(B14,valor_asignado!$B:$B,0)))</f>
        <v>1.76214407856315</v>
      </c>
      <c r="G14" s="5" t="str">
        <f aca="false">IF(F14="","N/A",IF(ABS(F14)&lt;=2,"Satisfactorio",IF(ABS(F14)&lt;3,"Cuestionable","No satisfactorio")))</f>
        <v>Satisfactorio</v>
      </c>
      <c r="H14" s="4" t="n">
        <f aca="false">IF(OR(NOT(ISNUMBER(D14)),NOT(ISNUMBER(INDEX(valor_asignado!$C:$C,MATCH(B14,valor_asignado!$B:$B,0)))),NOT(ISNUMBER(SQRT(INDEX(valor_asignado!$D:$D,MATCH(B14,valor_asignado!$B:$B,0))^2+INDEX(valor_asignado!$H:$H,MATCH(B14,valor_asignado!$B:$B,0))^2))),SQRT(INDEX(valor_asignado!$D:$D,MATCH(B14,valor_asignado!$B:$B,0))^2+INDEX(valor_asignado!$H:$H,MATCH(B14,valor_asignado!$B:$B,0))^2)=0),"",(D14-INDEX(valor_asignado!$C:$C,MATCH(B14,valor_asignado!$B:$B,0)))/SQRT(INDEX(valor_asignado!$D:$D,MATCH(B14,valor_asignado!$B:$B,0))^2+INDEX(valor_asignado!$H:$H,MATCH(B14,valor_asignado!$B:$B,0))^2))</f>
        <v>0.621557700257854</v>
      </c>
      <c r="I14" s="5" t="str">
        <f aca="false">IF(H14="","N/A",IF(ABS(H14)&lt;=2,"Satisfactorio",IF(ABS(H14)&lt;3,"Cuestionable","No satisfactorio")))</f>
        <v>Satisfactorio</v>
      </c>
      <c r="J14" s="4" t="n">
        <f aca="false">IF(OR(NOT(ISNUMBER(D14)),NOT(ISNUMBER(INDEX(valor_asignado!$C:$C,MATCH(B14,valor_asignado!$B:$B,0)))),NOT(ISNUMBER(SQRT(E14^2+INDEX(valor_asignado!$H:$H,MATCH(B14,valor_asignado!$B:$B,0))^2))),SQRT(E14^2+INDEX(valor_asignado!$H:$H,MATCH(B14,valor_asignado!$B:$B,0))^2)=0),"",(D14-INDEX(valor_asignado!$C:$C,MATCH(B14,valor_asignado!$B:$B,0)))/SQRT(E14^2+INDEX(valor_asignado!$H:$H,MATCH(B14,valor_asignado!$B:$B,0))^2))</f>
        <v>0.658784588643154</v>
      </c>
      <c r="K14" s="5" t="str">
        <f aca="false">IF(J14="","N/A",IF(ABS(J14)&lt;=2,"Satisfactorio",IF(ABS(J14)&lt;3,"Cuestionable","No satisfactorio")))</f>
        <v>Satisfactorio</v>
      </c>
      <c r="L14" s="4" t="n">
        <f aca="false">IF(OR(NOT(ISNUMBER(D14)),NOT(ISNUMBER(INDEX(valor_asignado!$C:$C,MATCH(B14,valor_asignado!$B:$B,0)))),NOT(ISNUMBER(SQRT((2*E14)^2+(2*INDEX(valor_asignado!$H:$H,MATCH(B14,valor_asignado!$B:$B,0)))^2))),SQRT((2*E14)^2+(2*INDEX(valor_asignado!$H:$H,MATCH(B14,valor_asignado!$B:$B,0)))^2)=0),"",(D14-INDEX(valor_asignado!$C:$C,MATCH(B14,valor_asignado!$B:$B,0)))/SQRT((2*E14)^2+(2*INDEX(valor_asignado!$H:$H,MATCH(B14,valor_asignado!$B:$B,0)))^2))</f>
        <v>0.329392294321577</v>
      </c>
      <c r="M14" s="5" t="str">
        <f aca="false">IF(L14="","N/A",IF(ABS(L14)&lt;=1,"Satisfactorio","No satisfactorio"))</f>
        <v>Satisfactorio</v>
      </c>
      <c r="N14" s="5" t="str">
        <f aca="false">IF(AND(SUM(IF(AND(D14="",validacion_snapshot!$U$61=""),0,IFERROR(ABS(D14-validacion_snapshot!$U$61),1E+099)),IF(AND(E14="",validacion_snapshot!$V$61=""),0,IFERROR(ABS(E14-validacion_snapshot!$V$61),1E+099)),IF(AND(F14="",validacion_snapshot!$W$61=""),0,IFERROR(ABS(F14-validacion_snapshot!$W$61),1E+099)),IF(AND(H14="",validacion_snapshot!$Y$61=""),0,IFERROR(ABS(H14-validacion_snapshot!$Y$61),1E+099)),IF(AND(J14="",validacion_snapshot!$AA$61=""),0,IFERROR(ABS(J14-validacion_snapshot!$AA$61),1E+099)),IF(AND(L14="",validacion_snapshot!$AC$61=""),0,IFERROR(ABS(L14-validacion_snapshot!$AC$61),1E+099)))&lt;=0.00000001,G14=validacion_snapshot!$X$61,I14=validacion_snapshot!$Z$61,K14=validacion_snapshot!$AB$61,M14=validacion_snapshot!$AD$61),"OK","FALLA")</f>
        <v>OK</v>
      </c>
    </row>
    <row r="15" customFormat="false" ht="26.85" hidden="false" customHeight="false" outlineLevel="0" collapsed="false">
      <c r="A15" s="3"/>
      <c r="B15" s="3" t="s">
        <v>191</v>
      </c>
      <c r="C15" s="3" t="s">
        <v>127</v>
      </c>
      <c r="D15" s="4" t="n">
        <f aca="false">INDEX(datos_participantes!$D:$D,MATCH(C15,datos_participantes!$A:$A,0))</f>
        <v>80.086</v>
      </c>
      <c r="E15" s="4" t="n">
        <f aca="false">INDEX(datos_participantes!$F:$F,MATCH(C15,datos_participantes!$A:$A,0))</f>
        <v>0.0117087117022311</v>
      </c>
      <c r="F15" s="4" t="n">
        <f aca="false">IF(OR(NOT(ISNUMBER(D15)),NOT(ISNUMBER(INDEX(valor_asignado!$C:$C,MATCH(B15,valor_asignado!$B:$B,0)))),NOT(ISNUMBER(INDEX(valor_asignado!$D:$D,MATCH(B15,valor_asignado!$B:$B,0)))),INDEX(valor_asignado!$D:$D,MATCH(B15,valor_asignado!$B:$B,0))=0),"",(D15-INDEX(valor_asignado!$C:$C,MATCH(B15,valor_asignado!$B:$B,0)))/INDEX(valor_asignado!$D:$D,MATCH(B15,valor_asignado!$B:$B,0)))</f>
        <v>0.160194916233115</v>
      </c>
      <c r="G15" s="5" t="str">
        <f aca="false">IF(F15="","N/A",IF(ABS(F15)&lt;=2,"Satisfactorio",IF(ABS(F15)&lt;3,"Cuestionable","No satisfactorio")))</f>
        <v>Satisfactorio</v>
      </c>
      <c r="H15" s="4" t="n">
        <f aca="false">IF(OR(NOT(ISNUMBER(D15)),NOT(ISNUMBER(INDEX(valor_asignado!$C:$C,MATCH(B15,valor_asignado!$B:$B,0)))),NOT(ISNUMBER(SQRT(INDEX(valor_asignado!$D:$D,MATCH(B15,valor_asignado!$B:$B,0))^2+INDEX(valor_asignado!$H:$H,MATCH(B15,valor_asignado!$B:$B,0))^2))),SQRT(INDEX(valor_asignado!$D:$D,MATCH(B15,valor_asignado!$B:$B,0))^2+INDEX(valor_asignado!$H:$H,MATCH(B15,valor_asignado!$B:$B,0))^2)=0),"",(D15-INDEX(valor_asignado!$C:$C,MATCH(B15,valor_asignado!$B:$B,0)))/SQRT(INDEX(valor_asignado!$D:$D,MATCH(B15,valor_asignado!$B:$B,0))^2+INDEX(valor_asignado!$H:$H,MATCH(B15,valor_asignado!$B:$B,0))^2))</f>
        <v>0.0565052454780224</v>
      </c>
      <c r="I15" s="5" t="str">
        <f aca="false">IF(H15="","N/A",IF(ABS(H15)&lt;=2,"Satisfactorio",IF(ABS(H15)&lt;3,"Cuestionable","No satisfactorio")))</f>
        <v>Satisfactorio</v>
      </c>
      <c r="J15" s="4" t="n">
        <f aca="false">IF(OR(NOT(ISNUMBER(D15)),NOT(ISNUMBER(INDEX(valor_asignado!$C:$C,MATCH(B15,valor_asignado!$B:$B,0)))),NOT(ISNUMBER(SQRT(E15^2+INDEX(valor_asignado!$H:$H,MATCH(B15,valor_asignado!$B:$B,0))^2))),SQRT(E15^2+INDEX(valor_asignado!$H:$H,MATCH(B15,valor_asignado!$B:$B,0))^2)=0),"",(D15-INDEX(valor_asignado!$C:$C,MATCH(B15,valor_asignado!$B:$B,0)))/SQRT(E15^2+INDEX(valor_asignado!$H:$H,MATCH(B15,valor_asignado!$B:$B,0))^2))</f>
        <v>0.0603132008696667</v>
      </c>
      <c r="K15" s="5" t="str">
        <f aca="false">IF(J15="","N/A",IF(ABS(J15)&lt;=2,"Satisfactorio",IF(ABS(J15)&lt;3,"Cuestionable","No satisfactorio")))</f>
        <v>Satisfactorio</v>
      </c>
      <c r="L15" s="4" t="n">
        <f aca="false">IF(OR(NOT(ISNUMBER(D15)),NOT(ISNUMBER(INDEX(valor_asignado!$C:$C,MATCH(B15,valor_asignado!$B:$B,0)))),NOT(ISNUMBER(SQRT((2*E15)^2+(2*INDEX(valor_asignado!$H:$H,MATCH(B15,valor_asignado!$B:$B,0)))^2))),SQRT((2*E15)^2+(2*INDEX(valor_asignado!$H:$H,MATCH(B15,valor_asignado!$B:$B,0)))^2)=0),"",(D15-INDEX(valor_asignado!$C:$C,MATCH(B15,valor_asignado!$B:$B,0)))/SQRT((2*E15)^2+(2*INDEX(valor_asignado!$H:$H,MATCH(B15,valor_asignado!$B:$B,0)))^2))</f>
        <v>0.0301566004348333</v>
      </c>
      <c r="M15" s="5" t="str">
        <f aca="false">IF(L15="","N/A",IF(ABS(L15)&lt;=1,"Satisfactorio","No satisfactorio"))</f>
        <v>Satisfactorio</v>
      </c>
      <c r="N15" s="5" t="str">
        <f aca="false">IF(AND(SUM(IF(AND(D15="",validacion_snapshot!$U$62=""),0,IFERROR(ABS(D15-validacion_snapshot!$U$62),1E+099)),IF(AND(E15="",validacion_snapshot!$V$62=""),0,IFERROR(ABS(E15-validacion_snapshot!$V$62),1E+099)),IF(AND(F15="",validacion_snapshot!$W$62=""),0,IFERROR(ABS(F15-validacion_snapshot!$W$62),1E+099)),IF(AND(H15="",validacion_snapshot!$Y$62=""),0,IFERROR(ABS(H15-validacion_snapshot!$Y$62),1E+099)),IF(AND(J15="",validacion_snapshot!$AA$62=""),0,IFERROR(ABS(J15-validacion_snapshot!$AA$62),1E+099)),IF(AND(L15="",validacion_snapshot!$AC$62=""),0,IFERROR(ABS(L15-validacion_snapshot!$AC$62),1E+099)))&lt;=0.00000001,G15=validacion_snapshot!$X$62,I15=validacion_snapshot!$Z$62,K15=validacion_snapshot!$AB$62,M15=validacion_snapshot!$AD$62),"OK","FALLA")</f>
        <v>OK</v>
      </c>
    </row>
    <row r="16" customFormat="false" ht="26.85" hidden="false" customHeight="false" outlineLevel="0" collapsed="false">
      <c r="A16" s="3"/>
      <c r="B16" s="3" t="s">
        <v>191</v>
      </c>
      <c r="C16" s="3" t="s">
        <v>128</v>
      </c>
      <c r="D16" s="4" t="n">
        <f aca="false">INDEX(datos_participantes!$D:$D,MATCH(C16,datos_participantes!$A:$A,0))</f>
        <v>80.056</v>
      </c>
      <c r="E16" s="4" t="n">
        <f aca="false">INDEX(datos_participantes!$F:$F,MATCH(C16,datos_participantes!$A:$A,0))</f>
        <v>0.0942858874123054</v>
      </c>
      <c r="F16" s="4" t="n">
        <f aca="false">IF(OR(NOT(ISNUMBER(D16)),NOT(ISNUMBER(INDEX(valor_asignado!$C:$C,MATCH(B16,valor_asignado!$B:$B,0)))),NOT(ISNUMBER(INDEX(valor_asignado!$D:$D,MATCH(B16,valor_asignado!$B:$B,0)))),INDEX(valor_asignado!$D:$D,MATCH(B16,valor_asignado!$B:$B,0))=0),"",(D16-INDEX(valor_asignado!$C:$C,MATCH(B16,valor_asignado!$B:$B,0)))/INDEX(valor_asignado!$D:$D,MATCH(B16,valor_asignado!$B:$B,0)))</f>
        <v>-0.175096768905815</v>
      </c>
      <c r="G16" s="5" t="str">
        <f aca="false">IF(F16="","N/A",IF(ABS(F16)&lt;=2,"Satisfactorio",IF(ABS(F16)&lt;3,"Cuestionable","No satisfactorio")))</f>
        <v>Satisfactorio</v>
      </c>
      <c r="H16" s="4" t="n">
        <f aca="false">IF(OR(NOT(ISNUMBER(D16)),NOT(ISNUMBER(INDEX(valor_asignado!$C:$C,MATCH(B16,valor_asignado!$B:$B,0)))),NOT(ISNUMBER(SQRT(INDEX(valor_asignado!$D:$D,MATCH(B16,valor_asignado!$B:$B,0))^2+INDEX(valor_asignado!$H:$H,MATCH(B16,valor_asignado!$B:$B,0))^2))),SQRT(INDEX(valor_asignado!$D:$D,MATCH(B16,valor_asignado!$B:$B,0))^2+INDEX(valor_asignado!$H:$H,MATCH(B16,valor_asignado!$B:$B,0))^2)=0),"",(D16-INDEX(valor_asignado!$C:$C,MATCH(B16,valor_asignado!$B:$B,0)))/SQRT(INDEX(valor_asignado!$D:$D,MATCH(B16,valor_asignado!$B:$B,0))^2+INDEX(valor_asignado!$H:$H,MATCH(B16,valor_asignado!$B:$B,0))^2))</f>
        <v>-0.0617615473829026</v>
      </c>
      <c r="I16" s="5" t="str">
        <f aca="false">IF(H16="","N/A",IF(ABS(H16)&lt;=2,"Satisfactorio",IF(ABS(H16)&lt;3,"Cuestionable","No satisfactorio")))</f>
        <v>Satisfactorio</v>
      </c>
      <c r="J16" s="4" t="n">
        <f aca="false">IF(OR(NOT(ISNUMBER(D16)),NOT(ISNUMBER(INDEX(valor_asignado!$C:$C,MATCH(B16,valor_asignado!$B:$B,0)))),NOT(ISNUMBER(SQRT(E16^2+INDEX(valor_asignado!$H:$H,MATCH(B16,valor_asignado!$B:$B,0))^2))),SQRT(E16^2+INDEX(valor_asignado!$H:$H,MATCH(B16,valor_asignado!$B:$B,0))^2)=0),"",(D16-INDEX(valor_asignado!$C:$C,MATCH(B16,valor_asignado!$B:$B,0)))/SQRT(E16^2+INDEX(valor_asignado!$H:$H,MATCH(B16,valor_asignado!$B:$B,0))^2))</f>
        <v>-0.0613415366631998</v>
      </c>
      <c r="K16" s="5" t="str">
        <f aca="false">IF(J16="","N/A",IF(ABS(J16)&lt;=2,"Satisfactorio",IF(ABS(J16)&lt;3,"Cuestionable","No satisfactorio")))</f>
        <v>Satisfactorio</v>
      </c>
      <c r="L16" s="4" t="n">
        <f aca="false">IF(OR(NOT(ISNUMBER(D16)),NOT(ISNUMBER(INDEX(valor_asignado!$C:$C,MATCH(B16,valor_asignado!$B:$B,0)))),NOT(ISNUMBER(SQRT((2*E16)^2+(2*INDEX(valor_asignado!$H:$H,MATCH(B16,valor_asignado!$B:$B,0)))^2))),SQRT((2*E16)^2+(2*INDEX(valor_asignado!$H:$H,MATCH(B16,valor_asignado!$B:$B,0)))^2)=0),"",(D16-INDEX(valor_asignado!$C:$C,MATCH(B16,valor_asignado!$B:$B,0)))/SQRT((2*E16)^2+(2*INDEX(valor_asignado!$H:$H,MATCH(B16,valor_asignado!$B:$B,0)))^2))</f>
        <v>-0.0306707683315999</v>
      </c>
      <c r="M16" s="5" t="str">
        <f aca="false">IF(L16="","N/A",IF(ABS(L16)&lt;=1,"Satisfactorio","No satisfactorio"))</f>
        <v>Satisfactorio</v>
      </c>
      <c r="N16" s="5" t="str">
        <f aca="false">IF(AND(SUM(IF(AND(D16="",validacion_snapshot!$U$63=""),0,IFERROR(ABS(D16-validacion_snapshot!$U$63),1E+099)),IF(AND(E16="",validacion_snapshot!$V$63=""),0,IFERROR(ABS(E16-validacion_snapshot!$V$63),1E+099)),IF(AND(F16="",validacion_snapshot!$W$63=""),0,IFERROR(ABS(F16-validacion_snapshot!$W$63),1E+099)),IF(AND(H16="",validacion_snapshot!$Y$63=""),0,IFERROR(ABS(H16-validacion_snapshot!$Y$63),1E+099)),IF(AND(J16="",validacion_snapshot!$AA$63=""),0,IFERROR(ABS(J16-validacion_snapshot!$AA$63),1E+099)),IF(AND(L16="",validacion_snapshot!$AC$63=""),0,IFERROR(ABS(L16-validacion_snapshot!$AC$63),1E+099)))&lt;=0.00000001,G16=validacion_snapshot!$X$63,I16=validacion_snapshot!$Z$63,K16=validacion_snapshot!$AB$63,M16=validacion_snapshot!$AD$63),"OK","FALLA")</f>
        <v>OK</v>
      </c>
    </row>
    <row r="17" customFormat="false" ht="26.85" hidden="false" customHeight="false" outlineLevel="0" collapsed="false">
      <c r="A17" s="3"/>
      <c r="B17" s="3" t="s">
        <v>191</v>
      </c>
      <c r="C17" s="3" t="s">
        <v>129</v>
      </c>
      <c r="D17" s="4" t="n">
        <f aca="false">INDEX(datos_participantes!$D:$D,MATCH(C17,datos_participantes!$A:$A,0))</f>
        <v>80.031</v>
      </c>
      <c r="E17" s="4" t="n">
        <f aca="false">INDEX(datos_participantes!$F:$F,MATCH(C17,datos_participantes!$A:$A,0))</f>
        <v>0.0924819264641932</v>
      </c>
      <c r="F17" s="4" t="n">
        <f aca="false">IF(OR(NOT(ISNUMBER(D17)),NOT(ISNUMBER(INDEX(valor_asignado!$C:$C,MATCH(B17,valor_asignado!$B:$B,0)))),NOT(ISNUMBER(INDEX(valor_asignado!$D:$D,MATCH(B17,valor_asignado!$B:$B,0)))),INDEX(valor_asignado!$D:$D,MATCH(B17,valor_asignado!$B:$B,0))=0),"",(D17-INDEX(valor_asignado!$C:$C,MATCH(B17,valor_asignado!$B:$B,0)))/INDEX(valor_asignado!$D:$D,MATCH(B17,valor_asignado!$B:$B,0)))</f>
        <v>-0.454506506521485</v>
      </c>
      <c r="G17" s="5" t="str">
        <f aca="false">IF(F17="","N/A",IF(ABS(F17)&lt;=2,"Satisfactorio",IF(ABS(F17)&lt;3,"Cuestionable","No satisfactorio")))</f>
        <v>Satisfactorio</v>
      </c>
      <c r="H17" s="4" t="n">
        <f aca="false">IF(OR(NOT(ISNUMBER(D17)),NOT(ISNUMBER(INDEX(valor_asignado!$C:$C,MATCH(B17,valor_asignado!$B:$B,0)))),NOT(ISNUMBER(SQRT(INDEX(valor_asignado!$D:$D,MATCH(B17,valor_asignado!$B:$B,0))^2+INDEX(valor_asignado!$H:$H,MATCH(B17,valor_asignado!$B:$B,0))^2))),SQRT(INDEX(valor_asignado!$D:$D,MATCH(B17,valor_asignado!$B:$B,0))^2+INDEX(valor_asignado!$H:$H,MATCH(B17,valor_asignado!$B:$B,0))^2)=0),"",(D17-INDEX(valor_asignado!$C:$C,MATCH(B17,valor_asignado!$B:$B,0)))/SQRT(INDEX(valor_asignado!$D:$D,MATCH(B17,valor_asignado!$B:$B,0))^2+INDEX(valor_asignado!$H:$H,MATCH(B17,valor_asignado!$B:$B,0))^2))</f>
        <v>-0.160317208100303</v>
      </c>
      <c r="I17" s="5" t="str">
        <f aca="false">IF(H17="","N/A",IF(ABS(H17)&lt;=2,"Satisfactorio",IF(ABS(H17)&lt;3,"Cuestionable","No satisfactorio")))</f>
        <v>Satisfactorio</v>
      </c>
      <c r="J17" s="4" t="n">
        <f aca="false">IF(OR(NOT(ISNUMBER(D17)),NOT(ISNUMBER(INDEX(valor_asignado!$C:$C,MATCH(B17,valor_asignado!$B:$B,0)))),NOT(ISNUMBER(SQRT(E17^2+INDEX(valor_asignado!$H:$H,MATCH(B17,valor_asignado!$B:$B,0))^2))),SQRT(E17^2+INDEX(valor_asignado!$H:$H,MATCH(B17,valor_asignado!$B:$B,0))^2)=0),"",(D17-INDEX(valor_asignado!$C:$C,MATCH(B17,valor_asignado!$B:$B,0)))/SQRT(E17^2+INDEX(valor_asignado!$H:$H,MATCH(B17,valor_asignado!$B:$B,0))^2))</f>
        <v>-0.159639785193405</v>
      </c>
      <c r="K17" s="5" t="str">
        <f aca="false">IF(J17="","N/A",IF(ABS(J17)&lt;=2,"Satisfactorio",IF(ABS(J17)&lt;3,"Cuestionable","No satisfactorio")))</f>
        <v>Satisfactorio</v>
      </c>
      <c r="L17" s="4" t="n">
        <f aca="false">IF(OR(NOT(ISNUMBER(D17)),NOT(ISNUMBER(INDEX(valor_asignado!$C:$C,MATCH(B17,valor_asignado!$B:$B,0)))),NOT(ISNUMBER(SQRT((2*E17)^2+(2*INDEX(valor_asignado!$H:$H,MATCH(B17,valor_asignado!$B:$B,0)))^2))),SQRT((2*E17)^2+(2*INDEX(valor_asignado!$H:$H,MATCH(B17,valor_asignado!$B:$B,0)))^2)=0),"",(D17-INDEX(valor_asignado!$C:$C,MATCH(B17,valor_asignado!$B:$B,0)))/SQRT((2*E17)^2+(2*INDEX(valor_asignado!$H:$H,MATCH(B17,valor_asignado!$B:$B,0)))^2))</f>
        <v>-0.0798198925967023</v>
      </c>
      <c r="M17" s="5" t="str">
        <f aca="false">IF(L17="","N/A",IF(ABS(L17)&lt;=1,"Satisfactorio","No satisfactorio"))</f>
        <v>Satisfactorio</v>
      </c>
      <c r="N17" s="5" t="str">
        <f aca="false">IF(AND(SUM(IF(AND(D17="",validacion_snapshot!$U$64=""),0,IFERROR(ABS(D17-validacion_snapshot!$U$64),1E+099)),IF(AND(E17="",validacion_snapshot!$V$64=""),0,IFERROR(ABS(E17-validacion_snapshot!$V$64),1E+099)),IF(AND(F17="",validacion_snapshot!$W$64=""),0,IFERROR(ABS(F17-validacion_snapshot!$W$64),1E+099)),IF(AND(H17="",validacion_snapshot!$Y$64=""),0,IFERROR(ABS(H17-validacion_snapshot!$Y$64),1E+099)),IF(AND(J17="",validacion_snapshot!$AA$64=""),0,IFERROR(ABS(J17-validacion_snapshot!$AA$64),1E+099)),IF(AND(L17="",validacion_snapshot!$AC$64=""),0,IFERROR(ABS(L17-validacion_snapshot!$AC$64),1E+099)))&lt;=0.00000001,G17=validacion_snapshot!$X$64,I17=validacion_snapshot!$Z$64,K17=validacion_snapshot!$AB$64,M17=validacion_snapshot!$AD$64),"OK","FALLA")</f>
        <v>OK</v>
      </c>
    </row>
    <row r="18" customFormat="false" ht="26.85" hidden="false" customHeight="false" outlineLevel="0" collapsed="false">
      <c r="A18" s="3"/>
      <c r="B18" s="3" t="s">
        <v>191</v>
      </c>
      <c r="C18" s="3" t="s">
        <v>130</v>
      </c>
      <c r="D18" s="4" t="n">
        <f aca="false">INDEX(datos_participantes!$D:$D,MATCH(C18,datos_participantes!$A:$A,0))</f>
        <v>80.0573333333333</v>
      </c>
      <c r="E18" s="4" t="n">
        <f aca="false">INDEX(datos_participantes!$F:$F,MATCH(C18,datos_participantes!$A:$A,0))</f>
        <v>0.147603994565192</v>
      </c>
      <c r="F18" s="4" t="n">
        <f aca="false">IF(OR(NOT(ISNUMBER(D18)),NOT(ISNUMBER(INDEX(valor_asignado!$C:$C,MATCH(B18,valor_asignado!$B:$B,0)))),NOT(ISNUMBER(INDEX(valor_asignado!$D:$D,MATCH(B18,valor_asignado!$B:$B,0)))),INDEX(valor_asignado!$D:$D,MATCH(B18,valor_asignado!$B:$B,0))=0),"",(D18-INDEX(valor_asignado!$C:$C,MATCH(B18,valor_asignado!$B:$B,0)))/INDEX(valor_asignado!$D:$D,MATCH(B18,valor_asignado!$B:$B,0)))</f>
        <v>-0.160194916233274</v>
      </c>
      <c r="G18" s="5" t="str">
        <f aca="false">IF(F18="","N/A",IF(ABS(F18)&lt;=2,"Satisfactorio",IF(ABS(F18)&lt;3,"Cuestionable","No satisfactorio")))</f>
        <v>Satisfactorio</v>
      </c>
      <c r="H18" s="4" t="n">
        <f aca="false">IF(OR(NOT(ISNUMBER(D18)),NOT(ISNUMBER(INDEX(valor_asignado!$C:$C,MATCH(B18,valor_asignado!$B:$B,0)))),NOT(ISNUMBER(SQRT(INDEX(valor_asignado!$D:$D,MATCH(B18,valor_asignado!$B:$B,0))^2+INDEX(valor_asignado!$H:$H,MATCH(B18,valor_asignado!$B:$B,0))^2))),SQRT(INDEX(valor_asignado!$D:$D,MATCH(B18,valor_asignado!$B:$B,0))^2+INDEX(valor_asignado!$H:$H,MATCH(B18,valor_asignado!$B:$B,0))^2)=0),"",(D18-INDEX(valor_asignado!$C:$C,MATCH(B18,valor_asignado!$B:$B,0)))/SQRT(INDEX(valor_asignado!$D:$D,MATCH(B18,valor_asignado!$B:$B,0))^2+INDEX(valor_asignado!$H:$H,MATCH(B18,valor_asignado!$B:$B,0))^2))</f>
        <v>-0.0565052454780784</v>
      </c>
      <c r="I18" s="5" t="str">
        <f aca="false">IF(H18="","N/A",IF(ABS(H18)&lt;=2,"Satisfactorio",IF(ABS(H18)&lt;3,"Cuestionable","No satisfactorio")))</f>
        <v>Satisfactorio</v>
      </c>
      <c r="J18" s="4" t="n">
        <f aca="false">IF(OR(NOT(ISNUMBER(D18)),NOT(ISNUMBER(INDEX(valor_asignado!$C:$C,MATCH(B18,valor_asignado!$B:$B,0)))),NOT(ISNUMBER(SQRT(E18^2+INDEX(valor_asignado!$H:$H,MATCH(B18,valor_asignado!$B:$B,0))^2))),SQRT(E18^2+INDEX(valor_asignado!$H:$H,MATCH(B18,valor_asignado!$B:$B,0))^2)=0),"",(D18-INDEX(valor_asignado!$C:$C,MATCH(B18,valor_asignado!$B:$B,0)))/SQRT(E18^2+INDEX(valor_asignado!$H:$H,MATCH(B18,valor_asignado!$B:$B,0))^2))</f>
        <v>-0.0512799708661153</v>
      </c>
      <c r="K18" s="5" t="str">
        <f aca="false">IF(J18="","N/A",IF(ABS(J18)&lt;=2,"Satisfactorio",IF(ABS(J18)&lt;3,"Cuestionable","No satisfactorio")))</f>
        <v>Satisfactorio</v>
      </c>
      <c r="L18" s="4" t="n">
        <f aca="false">IF(OR(NOT(ISNUMBER(D18)),NOT(ISNUMBER(INDEX(valor_asignado!$C:$C,MATCH(B18,valor_asignado!$B:$B,0)))),NOT(ISNUMBER(SQRT((2*E18)^2+(2*INDEX(valor_asignado!$H:$H,MATCH(B18,valor_asignado!$B:$B,0)))^2))),SQRT((2*E18)^2+(2*INDEX(valor_asignado!$H:$H,MATCH(B18,valor_asignado!$B:$B,0)))^2)=0),"",(D18-INDEX(valor_asignado!$C:$C,MATCH(B18,valor_asignado!$B:$B,0)))/SQRT((2*E18)^2+(2*INDEX(valor_asignado!$H:$H,MATCH(B18,valor_asignado!$B:$B,0)))^2))</f>
        <v>-0.0256399854330577</v>
      </c>
      <c r="M18" s="5" t="str">
        <f aca="false">IF(L18="","N/A",IF(ABS(L18)&lt;=1,"Satisfactorio","No satisfactorio"))</f>
        <v>Satisfactorio</v>
      </c>
      <c r="N18" s="5" t="str">
        <f aca="false">IF(AND(SUM(IF(AND(D18="",validacion_snapshot!$U$65=""),0,IFERROR(ABS(D18-validacion_snapshot!$U$65),1E+099)),IF(AND(E18="",validacion_snapshot!$V$65=""),0,IFERROR(ABS(E18-validacion_snapshot!$V$65),1E+099)),IF(AND(F18="",validacion_snapshot!$W$65=""),0,IFERROR(ABS(F18-validacion_snapshot!$W$65),1E+099)),IF(AND(H18="",validacion_snapshot!$Y$65=""),0,IFERROR(ABS(H18-validacion_snapshot!$Y$65),1E+099)),IF(AND(J18="",validacion_snapshot!$AA$65=""),0,IFERROR(ABS(J18-validacion_snapshot!$AA$65),1E+099)),IF(AND(L18="",validacion_snapshot!$AC$65=""),0,IFERROR(ABS(L18-validacion_snapshot!$AC$65),1E+099)))&lt;=0.00000001,G18=validacion_snapshot!$X$65,I18=validacion_snapshot!$Z$65,K18=validacion_snapshot!$AB$65,M18=validacion_snapshot!$AD$65),"OK","FALLA")</f>
        <v>OK</v>
      </c>
    </row>
    <row r="19" customFormat="false" ht="26.85" hidden="false" customHeight="false" outlineLevel="0" collapsed="false">
      <c r="A19" s="3"/>
      <c r="B19" s="3" t="s">
        <v>191</v>
      </c>
      <c r="C19" s="3" t="s">
        <v>131</v>
      </c>
      <c r="D19" s="4" t="n">
        <f aca="false">INDEX(datos_participantes!$D:$D,MATCH(C19,datos_participantes!$A:$A,0))</f>
        <v>79.9836666666667</v>
      </c>
      <c r="E19" s="4" t="n">
        <f aca="false">INDEX(datos_participantes!$F:$F,MATCH(C19,datos_participantes!$A:$A,0))</f>
        <v>0.0704138562754267</v>
      </c>
      <c r="F19" s="4" t="n">
        <f aca="false">IF(OR(NOT(ISNUMBER(D19)),NOT(ISNUMBER(INDEX(valor_asignado!$C:$C,MATCH(B19,valor_asignado!$B:$B,0)))),NOT(ISNUMBER(INDEX(valor_asignado!$D:$D,MATCH(B19,valor_asignado!$B:$B,0)))),INDEX(valor_asignado!$D:$D,MATCH(B19,valor_asignado!$B:$B,0))=0),"",(D19-INDEX(valor_asignado!$C:$C,MATCH(B19,valor_asignado!$B:$B,0)))/INDEX(valor_asignado!$D:$D,MATCH(B19,valor_asignado!$B:$B,0)))</f>
        <v>-0.983522276406947</v>
      </c>
      <c r="G19" s="5" t="str">
        <f aca="false">IF(F19="","N/A",IF(ABS(F19)&lt;=2,"Satisfactorio",IF(ABS(F19)&lt;3,"Cuestionable","No satisfactorio")))</f>
        <v>Satisfactorio</v>
      </c>
      <c r="H19" s="4" t="n">
        <f aca="false">IF(OR(NOT(ISNUMBER(D19)),NOT(ISNUMBER(INDEX(valor_asignado!$C:$C,MATCH(B19,valor_asignado!$B:$B,0)))),NOT(ISNUMBER(SQRT(INDEX(valor_asignado!$D:$D,MATCH(B19,valor_asignado!$B:$B,0))^2+INDEX(valor_asignado!$H:$H,MATCH(B19,valor_asignado!$B:$B,0))^2))),SQRT(INDEX(valor_asignado!$D:$D,MATCH(B19,valor_asignado!$B:$B,0))^2+INDEX(valor_asignado!$H:$H,MATCH(B19,valor_asignado!$B:$B,0))^2)=0),"",(D19-INDEX(valor_asignado!$C:$C,MATCH(B19,valor_asignado!$B:$B,0)))/SQRT(INDEX(valor_asignado!$D:$D,MATCH(B19,valor_asignado!$B:$B,0))^2+INDEX(valor_asignado!$H:$H,MATCH(B19,valor_asignado!$B:$B,0))^2))</f>
        <v>-0.346915925725175</v>
      </c>
      <c r="I19" s="5" t="str">
        <f aca="false">IF(H19="","N/A",IF(ABS(H19)&lt;=2,"Satisfactorio",IF(ABS(H19)&lt;3,"Cuestionable","No satisfactorio")))</f>
        <v>Satisfactorio</v>
      </c>
      <c r="J19" s="4" t="n">
        <f aca="false">IF(OR(NOT(ISNUMBER(D19)),NOT(ISNUMBER(INDEX(valor_asignado!$C:$C,MATCH(B19,valor_asignado!$B:$B,0)))),NOT(ISNUMBER(SQRT(E19^2+INDEX(valor_asignado!$H:$H,MATCH(B19,valor_asignado!$B:$B,0))^2))),SQRT(E19^2+INDEX(valor_asignado!$H:$H,MATCH(B19,valor_asignado!$B:$B,0))^2)=0),"",(D19-INDEX(valor_asignado!$C:$C,MATCH(B19,valor_asignado!$B:$B,0)))/SQRT(E19^2+INDEX(valor_asignado!$H:$H,MATCH(B19,valor_asignado!$B:$B,0))^2))</f>
        <v>-0.355435144437265</v>
      </c>
      <c r="K19" s="5" t="str">
        <f aca="false">IF(J19="","N/A",IF(ABS(J19)&lt;=2,"Satisfactorio",IF(ABS(J19)&lt;3,"Cuestionable","No satisfactorio")))</f>
        <v>Satisfactorio</v>
      </c>
      <c r="L19" s="4" t="n">
        <f aca="false">IF(OR(NOT(ISNUMBER(D19)),NOT(ISNUMBER(INDEX(valor_asignado!$C:$C,MATCH(B19,valor_asignado!$B:$B,0)))),NOT(ISNUMBER(SQRT((2*E19)^2+(2*INDEX(valor_asignado!$H:$H,MATCH(B19,valor_asignado!$B:$B,0)))^2))),SQRT((2*E19)^2+(2*INDEX(valor_asignado!$H:$H,MATCH(B19,valor_asignado!$B:$B,0)))^2)=0),"",(D19-INDEX(valor_asignado!$C:$C,MATCH(B19,valor_asignado!$B:$B,0)))/SQRT((2*E19)^2+(2*INDEX(valor_asignado!$H:$H,MATCH(B19,valor_asignado!$B:$B,0)))^2))</f>
        <v>-0.177717572218632</v>
      </c>
      <c r="M19" s="5" t="str">
        <f aca="false">IF(L19="","N/A",IF(ABS(L19)&lt;=1,"Satisfactorio","No satisfactorio"))</f>
        <v>Satisfactorio</v>
      </c>
      <c r="N19" s="5" t="str">
        <f aca="false">IF(AND(SUM(IF(AND(D19="",validacion_snapshot!$U$66=""),0,IFERROR(ABS(D19-validacion_snapshot!$U$66),1E+099)),IF(AND(E19="",validacion_snapshot!$V$66=""),0,IFERROR(ABS(E19-validacion_snapshot!$V$66),1E+099)),IF(AND(F19="",validacion_snapshot!$W$66=""),0,IFERROR(ABS(F19-validacion_snapshot!$W$66),1E+099)),IF(AND(H19="",validacion_snapshot!$Y$66=""),0,IFERROR(ABS(H19-validacion_snapshot!$Y$66),1E+099)),IF(AND(J19="",validacion_snapshot!$AA$66=""),0,IFERROR(ABS(J19-validacion_snapshot!$AA$66),1E+099)),IF(AND(L19="",validacion_snapshot!$AC$66=""),0,IFERROR(ABS(L19-validacion_snapshot!$AC$66),1E+099)))&lt;=0.00000001,G19=validacion_snapshot!$X$66,I19=validacion_snapshot!$Z$66,K19=validacion_snapshot!$AB$66,M19=validacion_snapshot!$AD$66),"OK","FALLA")</f>
        <v>OK</v>
      </c>
    </row>
    <row r="20" customFormat="false" ht="26.85" hidden="false" customHeight="false" outlineLevel="0" collapsed="false">
      <c r="A20" s="3"/>
      <c r="B20" s="3" t="s">
        <v>191</v>
      </c>
      <c r="C20" s="3" t="s">
        <v>132</v>
      </c>
      <c r="D20" s="4" t="n">
        <f aca="false">INDEX(datos_participantes!$D:$D,MATCH(C20,datos_participantes!$A:$A,0))</f>
        <v>80.091</v>
      </c>
      <c r="E20" s="4" t="n">
        <f aca="false">INDEX(datos_participantes!$F:$F,MATCH(C20,datos_participantes!$A:$A,0))</f>
        <v>0.131152103622788</v>
      </c>
      <c r="F20" s="4" t="n">
        <f aca="false">IF(OR(NOT(ISNUMBER(D20)),NOT(ISNUMBER(INDEX(valor_asignado!$C:$C,MATCH(B20,valor_asignado!$B:$B,0)))),NOT(ISNUMBER(INDEX(valor_asignado!$D:$D,MATCH(B20,valor_asignado!$B:$B,0)))),INDEX(valor_asignado!$D:$D,MATCH(B20,valor_asignado!$B:$B,0))=0),"",(D20-INDEX(valor_asignado!$C:$C,MATCH(B20,valor_asignado!$B:$B,0)))/INDEX(valor_asignado!$D:$D,MATCH(B20,valor_asignado!$B:$B,0)))</f>
        <v>0.216076863756217</v>
      </c>
      <c r="G20" s="5" t="str">
        <f aca="false">IF(F20="","N/A",IF(ABS(F20)&lt;=2,"Satisfactorio",IF(ABS(F20)&lt;3,"Cuestionable","No satisfactorio")))</f>
        <v>Satisfactorio</v>
      </c>
      <c r="H20" s="4" t="n">
        <f aca="false">IF(OR(NOT(ISNUMBER(D20)),NOT(ISNUMBER(INDEX(valor_asignado!$C:$C,MATCH(B20,valor_asignado!$B:$B,0)))),NOT(ISNUMBER(SQRT(INDEX(valor_asignado!$D:$D,MATCH(B20,valor_asignado!$B:$B,0))^2+INDEX(valor_asignado!$H:$H,MATCH(B20,valor_asignado!$B:$B,0))^2))),SQRT(INDEX(valor_asignado!$D:$D,MATCH(B20,valor_asignado!$B:$B,0))^2+INDEX(valor_asignado!$H:$H,MATCH(B20,valor_asignado!$B:$B,0))^2)=0),"",(D20-INDEX(valor_asignado!$C:$C,MATCH(B20,valor_asignado!$B:$B,0)))/SQRT(INDEX(valor_asignado!$D:$D,MATCH(B20,valor_asignado!$B:$B,0))^2+INDEX(valor_asignado!$H:$H,MATCH(B20,valor_asignado!$B:$B,0))^2))</f>
        <v>0.0762163776214912</v>
      </c>
      <c r="I20" s="5" t="str">
        <f aca="false">IF(H20="","N/A",IF(ABS(H20)&lt;=2,"Satisfactorio",IF(ABS(H20)&lt;3,"Cuestionable","No satisfactorio")))</f>
        <v>Satisfactorio</v>
      </c>
      <c r="J20" s="4" t="n">
        <f aca="false">IF(OR(NOT(ISNUMBER(D20)),NOT(ISNUMBER(INDEX(valor_asignado!$C:$C,MATCH(B20,valor_asignado!$B:$B,0)))),NOT(ISNUMBER(SQRT(E20^2+INDEX(valor_asignado!$H:$H,MATCH(B20,valor_asignado!$B:$B,0))^2))),SQRT(E20^2+INDEX(valor_asignado!$H:$H,MATCH(B20,valor_asignado!$B:$B,0))^2)=0),"",(D20-INDEX(valor_asignado!$C:$C,MATCH(B20,valor_asignado!$B:$B,0)))/SQRT(E20^2+INDEX(valor_asignado!$H:$H,MATCH(B20,valor_asignado!$B:$B,0))^2))</f>
        <v>0.0712924236666921</v>
      </c>
      <c r="K20" s="5" t="str">
        <f aca="false">IF(J20="","N/A",IF(ABS(J20)&lt;=2,"Satisfactorio",IF(ABS(J20)&lt;3,"Cuestionable","No satisfactorio")))</f>
        <v>Satisfactorio</v>
      </c>
      <c r="L20" s="4" t="n">
        <f aca="false">IF(OR(NOT(ISNUMBER(D20)),NOT(ISNUMBER(INDEX(valor_asignado!$C:$C,MATCH(B20,valor_asignado!$B:$B,0)))),NOT(ISNUMBER(SQRT((2*E20)^2+(2*INDEX(valor_asignado!$H:$H,MATCH(B20,valor_asignado!$B:$B,0)))^2))),SQRT((2*E20)^2+(2*INDEX(valor_asignado!$H:$H,MATCH(B20,valor_asignado!$B:$B,0)))^2)=0),"",(D20-INDEX(valor_asignado!$C:$C,MATCH(B20,valor_asignado!$B:$B,0)))/SQRT((2*E20)^2+(2*INDEX(valor_asignado!$H:$H,MATCH(B20,valor_asignado!$B:$B,0)))^2))</f>
        <v>0.0356462118333461</v>
      </c>
      <c r="M20" s="5" t="str">
        <f aca="false">IF(L20="","N/A",IF(ABS(L20)&lt;=1,"Satisfactorio","No satisfactorio"))</f>
        <v>Satisfactorio</v>
      </c>
      <c r="N20" s="5" t="str">
        <f aca="false">IF(AND(SUM(IF(AND(D20="",validacion_snapshot!$U$67=""),0,IFERROR(ABS(D20-validacion_snapshot!$U$67),1E+099)),IF(AND(E20="",validacion_snapshot!$V$67=""),0,IFERROR(ABS(E20-validacion_snapshot!$V$67),1E+099)),IF(AND(F20="",validacion_snapshot!$W$67=""),0,IFERROR(ABS(F20-validacion_snapshot!$W$67),1E+099)),IF(AND(H20="",validacion_snapshot!$Y$67=""),0,IFERROR(ABS(H20-validacion_snapshot!$Y$67),1E+099)),IF(AND(J20="",validacion_snapshot!$AA$67=""),0,IFERROR(ABS(J20-validacion_snapshot!$AA$67),1E+099)),IF(AND(L20="",validacion_snapshot!$AC$67=""),0,IFERROR(ABS(L20-validacion_snapshot!$AC$67),1E+099)))&lt;=0.00000001,G20=validacion_snapshot!$X$67,I20=validacion_snapshot!$Z$67,K20=validacion_snapshot!$AB$67,M20=validacion_snapshot!$AD$67),"OK","FALLA")</f>
        <v>OK</v>
      </c>
    </row>
    <row r="21" customFormat="false" ht="26.85" hidden="false" customHeight="false" outlineLevel="0" collapsed="false">
      <c r="A21" s="3"/>
      <c r="B21" s="3" t="s">
        <v>191</v>
      </c>
      <c r="C21" s="3" t="s">
        <v>133</v>
      </c>
      <c r="D21" s="4" t="n">
        <f aca="false">INDEX(datos_participantes!$D:$D,MATCH(C21,datos_participantes!$A:$A,0))</f>
        <v>80.158</v>
      </c>
      <c r="E21" s="4" t="n">
        <f aca="false">INDEX(datos_participantes!$F:$F,MATCH(C21,datos_participantes!$A:$A,0))</f>
        <v>0.0953945351575979</v>
      </c>
      <c r="F21" s="4" t="n">
        <f aca="false">IF(OR(NOT(ISNUMBER(D21)),NOT(ISNUMBER(INDEX(valor_asignado!$C:$C,MATCH(B21,valor_asignado!$B:$B,0)))),NOT(ISNUMBER(INDEX(valor_asignado!$D:$D,MATCH(B21,valor_asignado!$B:$B,0)))),INDEX(valor_asignado!$D:$D,MATCH(B21,valor_asignado!$B:$B,0))=0),"",(D21-INDEX(valor_asignado!$C:$C,MATCH(B21,valor_asignado!$B:$B,0)))/INDEX(valor_asignado!$D:$D,MATCH(B21,valor_asignado!$B:$B,0)))</f>
        <v>0.964894960566548</v>
      </c>
      <c r="G21" s="5" t="str">
        <f aca="false">IF(F21="","N/A",IF(ABS(F21)&lt;=2,"Satisfactorio",IF(ABS(F21)&lt;3,"Cuestionable","No satisfactorio")))</f>
        <v>Satisfactorio</v>
      </c>
      <c r="H21" s="4" t="n">
        <f aca="false">IF(OR(NOT(ISNUMBER(D21)),NOT(ISNUMBER(INDEX(valor_asignado!$C:$C,MATCH(B21,valor_asignado!$B:$B,0)))),NOT(ISNUMBER(SQRT(INDEX(valor_asignado!$D:$D,MATCH(B21,valor_asignado!$B:$B,0))^2+INDEX(valor_asignado!$H:$H,MATCH(B21,valor_asignado!$B:$B,0))^2))),SQRT(INDEX(valor_asignado!$D:$D,MATCH(B21,valor_asignado!$B:$B,0))^2+INDEX(valor_asignado!$H:$H,MATCH(B21,valor_asignado!$B:$B,0))^2)=0),"",(D21-INDEX(valor_asignado!$C:$C,MATCH(B21,valor_asignado!$B:$B,0)))/SQRT(INDEX(valor_asignado!$D:$D,MATCH(B21,valor_asignado!$B:$B,0))^2+INDEX(valor_asignado!$H:$H,MATCH(B21,valor_asignado!$B:$B,0))^2))</f>
        <v>0.340345548344242</v>
      </c>
      <c r="I21" s="5" t="str">
        <f aca="false">IF(H21="","N/A",IF(ABS(H21)&lt;=2,"Satisfactorio",IF(ABS(H21)&lt;3,"Cuestionable","No satisfactorio")))</f>
        <v>Satisfactorio</v>
      </c>
      <c r="J21" s="4" t="n">
        <f aca="false">IF(OR(NOT(ISNUMBER(D21)),NOT(ISNUMBER(INDEX(valor_asignado!$C:$C,MATCH(B21,valor_asignado!$B:$B,0)))),NOT(ISNUMBER(SQRT(E21^2+INDEX(valor_asignado!$H:$H,MATCH(B21,valor_asignado!$B:$B,0))^2))),SQRT(E21^2+INDEX(valor_asignado!$H:$H,MATCH(B21,valor_asignado!$B:$B,0))^2)=0),"",(D21-INDEX(valor_asignado!$C:$C,MATCH(B21,valor_asignado!$B:$B,0)))/SQRT(E21^2+INDEX(valor_asignado!$H:$H,MATCH(B21,valor_asignado!$B:$B,0))^2))</f>
        <v>0.337487457764794</v>
      </c>
      <c r="K21" s="5" t="str">
        <f aca="false">IF(J21="","N/A",IF(ABS(J21)&lt;=2,"Satisfactorio",IF(ABS(J21)&lt;3,"Cuestionable","No satisfactorio")))</f>
        <v>Satisfactorio</v>
      </c>
      <c r="L21" s="4" t="n">
        <f aca="false">IF(OR(NOT(ISNUMBER(D21)),NOT(ISNUMBER(INDEX(valor_asignado!$C:$C,MATCH(B21,valor_asignado!$B:$B,0)))),NOT(ISNUMBER(SQRT((2*E21)^2+(2*INDEX(valor_asignado!$H:$H,MATCH(B21,valor_asignado!$B:$B,0)))^2))),SQRT((2*E21)^2+(2*INDEX(valor_asignado!$H:$H,MATCH(B21,valor_asignado!$B:$B,0)))^2)=0),"",(D21-INDEX(valor_asignado!$C:$C,MATCH(B21,valor_asignado!$B:$B,0)))/SQRT((2*E21)^2+(2*INDEX(valor_asignado!$H:$H,MATCH(B21,valor_asignado!$B:$B,0)))^2))</f>
        <v>0.168743728882397</v>
      </c>
      <c r="M21" s="5" t="str">
        <f aca="false">IF(L21="","N/A",IF(ABS(L21)&lt;=1,"Satisfactorio","No satisfactorio"))</f>
        <v>Satisfactorio</v>
      </c>
      <c r="N21" s="5" t="str">
        <f aca="false">IF(AND(SUM(IF(AND(D21="",validacion_snapshot!$U$68=""),0,IFERROR(ABS(D21-validacion_snapshot!$U$68),1E+099)),IF(AND(E21="",validacion_snapshot!$V$68=""),0,IFERROR(ABS(E21-validacion_snapshot!$V$68),1E+099)),IF(AND(F21="",validacion_snapshot!$W$68=""),0,IFERROR(ABS(F21-validacion_snapshot!$W$68),1E+099)),IF(AND(H21="",validacion_snapshot!$Y$68=""),0,IFERROR(ABS(H21-validacion_snapshot!$Y$68),1E+099)),IF(AND(J21="",validacion_snapshot!$AA$68=""),0,IFERROR(ABS(J21-validacion_snapshot!$AA$68),1E+099)),IF(AND(L21="",validacion_snapshot!$AC$68=""),0,IFERROR(ABS(L21-validacion_snapshot!$AC$68),1E+099)))&lt;=0.00000001,G21=validacion_snapshot!$X$68,I21=validacion_snapshot!$Z$68,K21=validacion_snapshot!$AB$68,M21=validacion_snapshot!$AD$68),"OK","FALLA")</f>
        <v>OK</v>
      </c>
    </row>
    <row r="22" customFormat="false" ht="26.85" hidden="false" customHeight="false" outlineLevel="0" collapsed="false">
      <c r="A22" s="3"/>
      <c r="B22" s="3" t="s">
        <v>191</v>
      </c>
      <c r="C22" s="3" t="s">
        <v>134</v>
      </c>
      <c r="D22" s="4" t="n">
        <f aca="false">INDEX(datos_participantes!$D:$D,MATCH(C22,datos_participantes!$A:$A,0))</f>
        <v>80.2606666666667</v>
      </c>
      <c r="E22" s="4" t="n">
        <f aca="false">INDEX(datos_participantes!$F:$F,MATCH(C22,datos_participantes!$A:$A,0))</f>
        <v>0.0427293036158302</v>
      </c>
      <c r="F22" s="4" t="n">
        <f aca="false">IF(OR(NOT(ISNUMBER(D22)),NOT(ISNUMBER(INDEX(valor_asignado!$C:$C,MATCH(B22,valor_asignado!$B:$B,0)))),NOT(ISNUMBER(INDEX(valor_asignado!$D:$D,MATCH(B22,valor_asignado!$B:$B,0)))),INDEX(valor_asignado!$D:$D,MATCH(B22,valor_asignado!$B:$B,0))=0),"",(D22-INDEX(valor_asignado!$C:$C,MATCH(B22,valor_asignado!$B:$B,0)))/INDEX(valor_asignado!$D:$D,MATCH(B22,valor_asignado!$B:$B,0)))</f>
        <v>2.11233761637558</v>
      </c>
      <c r="G22" s="5" t="str">
        <f aca="false">IF(F22="","N/A",IF(ABS(F22)&lt;=2,"Satisfactorio",IF(ABS(F22)&lt;3,"Cuestionable","No satisfactorio")))</f>
        <v>Cuestionable</v>
      </c>
      <c r="H22" s="4" t="n">
        <f aca="false">IF(OR(NOT(ISNUMBER(D22)),NOT(ISNUMBER(INDEX(valor_asignado!$C:$C,MATCH(B22,valor_asignado!$B:$B,0)))),NOT(ISNUMBER(SQRT(INDEX(valor_asignado!$D:$D,MATCH(B22,valor_asignado!$B:$B,0))^2+INDEX(valor_asignado!$H:$H,MATCH(B22,valor_asignado!$B:$B,0))^2))),SQRT(INDEX(valor_asignado!$D:$D,MATCH(B22,valor_asignado!$B:$B,0))^2+INDEX(valor_asignado!$H:$H,MATCH(B22,valor_asignado!$B:$B,0))^2)=0),"",(D22-INDEX(valor_asignado!$C:$C,MATCH(B22,valor_asignado!$B:$B,0)))/SQRT(INDEX(valor_asignado!$D:$D,MATCH(B22,valor_asignado!$B:$B,0))^2+INDEX(valor_asignado!$H:$H,MATCH(B22,valor_asignado!$B:$B,0))^2))</f>
        <v>0.745080795023939</v>
      </c>
      <c r="I22" s="5" t="str">
        <f aca="false">IF(H22="","N/A",IF(ABS(H22)&lt;=2,"Satisfactorio",IF(ABS(H22)&lt;3,"Cuestionable","No satisfactorio")))</f>
        <v>Satisfactorio</v>
      </c>
      <c r="J22" s="4" t="n">
        <f aca="false">IF(OR(NOT(ISNUMBER(D22)),NOT(ISNUMBER(INDEX(valor_asignado!$C:$C,MATCH(B22,valor_asignado!$B:$B,0)))),NOT(ISNUMBER(SQRT(E22^2+INDEX(valor_asignado!$H:$H,MATCH(B22,valor_asignado!$B:$B,0))^2))),SQRT(E22^2+INDEX(valor_asignado!$H:$H,MATCH(B22,valor_asignado!$B:$B,0))^2)=0),"",(D22-INDEX(valor_asignado!$C:$C,MATCH(B22,valor_asignado!$B:$B,0)))/SQRT(E22^2+INDEX(valor_asignado!$H:$H,MATCH(B22,valor_asignado!$B:$B,0))^2))</f>
        <v>0.783662895209792</v>
      </c>
      <c r="K22" s="5" t="str">
        <f aca="false">IF(J22="","N/A",IF(ABS(J22)&lt;=2,"Satisfactorio",IF(ABS(J22)&lt;3,"Cuestionable","No satisfactorio")))</f>
        <v>Satisfactorio</v>
      </c>
      <c r="L22" s="4" t="n">
        <f aca="false">IF(OR(NOT(ISNUMBER(D22)),NOT(ISNUMBER(INDEX(valor_asignado!$C:$C,MATCH(B22,valor_asignado!$B:$B,0)))),NOT(ISNUMBER(SQRT((2*E22)^2+(2*INDEX(valor_asignado!$H:$H,MATCH(B22,valor_asignado!$B:$B,0)))^2))),SQRT((2*E22)^2+(2*INDEX(valor_asignado!$H:$H,MATCH(B22,valor_asignado!$B:$B,0)))^2)=0),"",(D22-INDEX(valor_asignado!$C:$C,MATCH(B22,valor_asignado!$B:$B,0)))/SQRT((2*E22)^2+(2*INDEX(valor_asignado!$H:$H,MATCH(B22,valor_asignado!$B:$B,0)))^2))</f>
        <v>0.391831447604896</v>
      </c>
      <c r="M22" s="5" t="str">
        <f aca="false">IF(L22="","N/A",IF(ABS(L22)&lt;=1,"Satisfactorio","No satisfactorio"))</f>
        <v>Satisfactorio</v>
      </c>
      <c r="N22" s="5" t="str">
        <f aca="false">IF(AND(SUM(IF(AND(D22="",validacion_snapshot!$U$69=""),0,IFERROR(ABS(D22-validacion_snapshot!$U$69),1E+099)),IF(AND(E22="",validacion_snapshot!$V$69=""),0,IFERROR(ABS(E22-validacion_snapshot!$V$69),1E+099)),IF(AND(F22="",validacion_snapshot!$W$69=""),0,IFERROR(ABS(F22-validacion_snapshot!$W$69),1E+099)),IF(AND(H22="",validacion_snapshot!$Y$69=""),0,IFERROR(ABS(H22-validacion_snapshot!$Y$69),1E+099)),IF(AND(J22="",validacion_snapshot!$AA$69=""),0,IFERROR(ABS(J22-validacion_snapshot!$AA$69),1E+099)),IF(AND(L22="",validacion_snapshot!$AC$69=""),0,IFERROR(ABS(L22-validacion_snapshot!$AC$69),1E+099)))&lt;=0.00000001,G22=validacion_snapshot!$X$69,I22=validacion_snapshot!$Z$69,K22=validacion_snapshot!$AB$69,M22=validacion_snapshot!$AD$69),"OK","FALLA")</f>
        <v>OK</v>
      </c>
    </row>
    <row r="23" customFormat="false" ht="26.85" hidden="false" customHeight="false" outlineLevel="0" collapsed="false">
      <c r="A23" s="3"/>
      <c r="B23" s="3" t="s">
        <v>191</v>
      </c>
      <c r="C23" s="3" t="s">
        <v>135</v>
      </c>
      <c r="D23" s="4" t="n">
        <f aca="false">INDEX(datos_participantes!$D:$D,MATCH(C23,datos_participantes!$A:$A,0))</f>
        <v>79.9916666666667</v>
      </c>
      <c r="E23" s="4" t="n">
        <f aca="false">INDEX(datos_participantes!$F:$F,MATCH(C23,datos_participantes!$A:$A,0))</f>
        <v>0.00466154333165642</v>
      </c>
      <c r="F23" s="4" t="n">
        <f aca="false">IF(OR(NOT(ISNUMBER(D23)),NOT(ISNUMBER(INDEX(valor_asignado!$C:$C,MATCH(B23,valor_asignado!$B:$B,0)))),NOT(ISNUMBER(INDEX(valor_asignado!$D:$D,MATCH(B23,valor_asignado!$B:$B,0)))),INDEX(valor_asignado!$D:$D,MATCH(B23,valor_asignado!$B:$B,0))=0),"",(D23-INDEX(valor_asignado!$C:$C,MATCH(B23,valor_asignado!$B:$B,0)))/INDEX(valor_asignado!$D:$D,MATCH(B23,valor_asignado!$B:$B,0)))</f>
        <v>-0.894111160369952</v>
      </c>
      <c r="G23" s="5" t="str">
        <f aca="false">IF(F23="","N/A",IF(ABS(F23)&lt;=2,"Satisfactorio",IF(ABS(F23)&lt;3,"Cuestionable","No satisfactorio")))</f>
        <v>Satisfactorio</v>
      </c>
      <c r="H23" s="4" t="n">
        <f aca="false">IF(OR(NOT(ISNUMBER(D23)),NOT(ISNUMBER(INDEX(valor_asignado!$C:$C,MATCH(B23,valor_asignado!$B:$B,0)))),NOT(ISNUMBER(SQRT(INDEX(valor_asignado!$D:$D,MATCH(B23,valor_asignado!$B:$B,0))^2+INDEX(valor_asignado!$H:$H,MATCH(B23,valor_asignado!$B:$B,0))^2))),SQRT(INDEX(valor_asignado!$D:$D,MATCH(B23,valor_asignado!$B:$B,0))^2+INDEX(valor_asignado!$H:$H,MATCH(B23,valor_asignado!$B:$B,0))^2)=0),"",(D23-INDEX(valor_asignado!$C:$C,MATCH(B23,valor_asignado!$B:$B,0)))/SQRT(INDEX(valor_asignado!$D:$D,MATCH(B23,valor_asignado!$B:$B,0))^2+INDEX(valor_asignado!$H:$H,MATCH(B23,valor_asignado!$B:$B,0))^2))</f>
        <v>-0.315378114295613</v>
      </c>
      <c r="I23" s="5" t="str">
        <f aca="false">IF(H23="","N/A",IF(ABS(H23)&lt;=2,"Satisfactorio",IF(ABS(H23)&lt;3,"Cuestionable","No satisfactorio")))</f>
        <v>Satisfactorio</v>
      </c>
      <c r="J23" s="4" t="n">
        <f aca="false">IF(OR(NOT(ISNUMBER(D23)),NOT(ISNUMBER(INDEX(valor_asignado!$C:$C,MATCH(B23,valor_asignado!$B:$B,0)))),NOT(ISNUMBER(SQRT(E23^2+INDEX(valor_asignado!$H:$H,MATCH(B23,valor_asignado!$B:$B,0))^2))),SQRT(E23^2+INDEX(valor_asignado!$H:$H,MATCH(B23,valor_asignado!$B:$B,0))^2)=0),"",(D23-INDEX(valor_asignado!$C:$C,MATCH(B23,valor_asignado!$B:$B,0)))/SQRT(E23^2+INDEX(valor_asignado!$H:$H,MATCH(B23,valor_asignado!$B:$B,0))^2))</f>
        <v>-0.336976162063003</v>
      </c>
      <c r="K23" s="5" t="str">
        <f aca="false">IF(J23="","N/A",IF(ABS(J23)&lt;=2,"Satisfactorio",IF(ABS(J23)&lt;3,"Cuestionable","No satisfactorio")))</f>
        <v>Satisfactorio</v>
      </c>
      <c r="L23" s="4" t="n">
        <f aca="false">IF(OR(NOT(ISNUMBER(D23)),NOT(ISNUMBER(INDEX(valor_asignado!$C:$C,MATCH(B23,valor_asignado!$B:$B,0)))),NOT(ISNUMBER(SQRT((2*E23)^2+(2*INDEX(valor_asignado!$H:$H,MATCH(B23,valor_asignado!$B:$B,0)))^2))),SQRT((2*E23)^2+(2*INDEX(valor_asignado!$H:$H,MATCH(B23,valor_asignado!$B:$B,0)))^2)=0),"",(D23-INDEX(valor_asignado!$C:$C,MATCH(B23,valor_asignado!$B:$B,0)))/SQRT((2*E23)^2+(2*INDEX(valor_asignado!$H:$H,MATCH(B23,valor_asignado!$B:$B,0)))^2))</f>
        <v>-0.168488081031502</v>
      </c>
      <c r="M23" s="5" t="str">
        <f aca="false">IF(L23="","N/A",IF(ABS(L23)&lt;=1,"Satisfactorio","No satisfactorio"))</f>
        <v>Satisfactorio</v>
      </c>
      <c r="N23" s="5" t="str">
        <f aca="false">IF(AND(SUM(IF(AND(D23="",validacion_snapshot!$U$70=""),0,IFERROR(ABS(D23-validacion_snapshot!$U$70),1E+099)),IF(AND(E23="",validacion_snapshot!$V$70=""),0,IFERROR(ABS(E23-validacion_snapshot!$V$70),1E+099)),IF(AND(F23="",validacion_snapshot!$W$70=""),0,IFERROR(ABS(F23-validacion_snapshot!$W$70),1E+099)),IF(AND(H23="",validacion_snapshot!$Y$70=""),0,IFERROR(ABS(H23-validacion_snapshot!$Y$70),1E+099)),IF(AND(J23="",validacion_snapshot!$AA$70=""),0,IFERROR(ABS(J23-validacion_snapshot!$AA$70),1E+099)),IF(AND(L23="",validacion_snapshot!$AC$70=""),0,IFERROR(ABS(L23-validacion_snapshot!$AC$70),1E+099)))&lt;=0.00000001,G23=validacion_snapshot!$X$70,I23=validacion_snapshot!$Z$70,K23=validacion_snapshot!$AB$70,M23=validacion_snapshot!$AD$70),"OK","FALLA")</f>
        <v>OK</v>
      </c>
    </row>
    <row r="24" customFormat="false" ht="26.85" hidden="false" customHeight="false" outlineLevel="0" collapsed="false">
      <c r="A24" s="3"/>
      <c r="B24" s="3" t="s">
        <v>191</v>
      </c>
      <c r="C24" s="3" t="s">
        <v>136</v>
      </c>
      <c r="D24" s="4" t="n">
        <f aca="false">INDEX(datos_participantes!$D:$D,MATCH(C24,datos_participantes!$A:$A,0))</f>
        <v>80.0473333333333</v>
      </c>
      <c r="E24" s="4" t="n">
        <f aca="false">INDEX(datos_participantes!$F:$F,MATCH(C24,datos_participantes!$A:$A,0))</f>
        <v>0.100944697094177</v>
      </c>
      <c r="F24" s="4" t="n">
        <f aca="false">IF(OR(NOT(ISNUMBER(D24)),NOT(ISNUMBER(INDEX(valor_asignado!$C:$C,MATCH(B24,valor_asignado!$B:$B,0)))),NOT(ISNUMBER(INDEX(valor_asignado!$D:$D,MATCH(B24,valor_asignado!$B:$B,0)))),INDEX(valor_asignado!$D:$D,MATCH(B24,valor_asignado!$B:$B,0))=0),"",(D24-INDEX(valor_asignado!$C:$C,MATCH(B24,valor_asignado!$B:$B,0)))/INDEX(valor_asignado!$D:$D,MATCH(B24,valor_asignado!$B:$B,0)))</f>
        <v>-0.271958811279637</v>
      </c>
      <c r="G24" s="5" t="str">
        <f aca="false">IF(F24="","N/A",IF(ABS(F24)&lt;=2,"Satisfactorio",IF(ABS(F24)&lt;3,"Cuestionable","No satisfactorio")))</f>
        <v>Satisfactorio</v>
      </c>
      <c r="H24" s="4" t="n">
        <f aca="false">IF(OR(NOT(ISNUMBER(D24)),NOT(ISNUMBER(INDEX(valor_asignado!$C:$C,MATCH(B24,valor_asignado!$B:$B,0)))),NOT(ISNUMBER(SQRT(INDEX(valor_asignado!$D:$D,MATCH(B24,valor_asignado!$B:$B,0))^2+INDEX(valor_asignado!$H:$H,MATCH(B24,valor_asignado!$B:$B,0))^2))),SQRT(INDEX(valor_asignado!$D:$D,MATCH(B24,valor_asignado!$B:$B,0))^2+INDEX(valor_asignado!$H:$H,MATCH(B24,valor_asignado!$B:$B,0))^2)=0),"",(D24-INDEX(valor_asignado!$C:$C,MATCH(B24,valor_asignado!$B:$B,0)))/SQRT(INDEX(valor_asignado!$D:$D,MATCH(B24,valor_asignado!$B:$B,0))^2+INDEX(valor_asignado!$H:$H,MATCH(B24,valor_asignado!$B:$B,0))^2))</f>
        <v>-0.0959275097650721</v>
      </c>
      <c r="I24" s="5" t="str">
        <f aca="false">IF(H24="","N/A",IF(ABS(H24)&lt;=2,"Satisfactorio",IF(ABS(H24)&lt;3,"Cuestionable","No satisfactorio")))</f>
        <v>Satisfactorio</v>
      </c>
      <c r="J24" s="4" t="n">
        <f aca="false">IF(OR(NOT(ISNUMBER(D24)),NOT(ISNUMBER(INDEX(valor_asignado!$C:$C,MATCH(B24,valor_asignado!$B:$B,0)))),NOT(ISNUMBER(SQRT(E24^2+INDEX(valor_asignado!$H:$H,MATCH(B24,valor_asignado!$B:$B,0))^2))),SQRT(E24^2+INDEX(valor_asignado!$H:$H,MATCH(B24,valor_asignado!$B:$B,0))^2)=0),"",(D24-INDEX(valor_asignado!$C:$C,MATCH(B24,valor_asignado!$B:$B,0)))/SQRT(E24^2+INDEX(valor_asignado!$H:$H,MATCH(B24,valor_asignado!$B:$B,0))^2))</f>
        <v>-0.0943397098612011</v>
      </c>
      <c r="K24" s="5" t="str">
        <f aca="false">IF(J24="","N/A",IF(ABS(J24)&lt;=2,"Satisfactorio",IF(ABS(J24)&lt;3,"Cuestionable","No satisfactorio")))</f>
        <v>Satisfactorio</v>
      </c>
      <c r="L24" s="4" t="n">
        <f aca="false">IF(OR(NOT(ISNUMBER(D24)),NOT(ISNUMBER(INDEX(valor_asignado!$C:$C,MATCH(B24,valor_asignado!$B:$B,0)))),NOT(ISNUMBER(SQRT((2*E24)^2+(2*INDEX(valor_asignado!$H:$H,MATCH(B24,valor_asignado!$B:$B,0)))^2))),SQRT((2*E24)^2+(2*INDEX(valor_asignado!$H:$H,MATCH(B24,valor_asignado!$B:$B,0)))^2)=0),"",(D24-INDEX(valor_asignado!$C:$C,MATCH(B24,valor_asignado!$B:$B,0)))/SQRT((2*E24)^2+(2*INDEX(valor_asignado!$H:$H,MATCH(B24,valor_asignado!$B:$B,0)))^2))</f>
        <v>-0.0471698549306006</v>
      </c>
      <c r="M24" s="5" t="str">
        <f aca="false">IF(L24="","N/A",IF(ABS(L24)&lt;=1,"Satisfactorio","No satisfactorio"))</f>
        <v>Satisfactorio</v>
      </c>
      <c r="N24" s="5" t="str">
        <f aca="false">IF(AND(SUM(IF(AND(D24="",validacion_snapshot!$U$71=""),0,IFERROR(ABS(D24-validacion_snapshot!$U$71),1E+099)),IF(AND(E24="",validacion_snapshot!$V$71=""),0,IFERROR(ABS(E24-validacion_snapshot!$V$71),1E+099)),IF(AND(F24="",validacion_snapshot!$W$71=""),0,IFERROR(ABS(F24-validacion_snapshot!$W$71),1E+099)),IF(AND(H24="",validacion_snapshot!$Y$71=""),0,IFERROR(ABS(H24-validacion_snapshot!$Y$71),1E+099)),IF(AND(J24="",validacion_snapshot!$AA$71=""),0,IFERROR(ABS(J24-validacion_snapshot!$AA$71),1E+099)),IF(AND(L24="",validacion_snapshot!$AC$71=""),0,IFERROR(ABS(L24-validacion_snapshot!$AC$71),1E+099)))&lt;=0.00000001,G24=validacion_snapshot!$X$71,I24=validacion_snapshot!$Z$71,K24=validacion_snapshot!$AB$71,M24=validacion_snapshot!$AD$71),"OK","FALLA")</f>
        <v>OK</v>
      </c>
    </row>
    <row r="25" customFormat="false" ht="26.85" hidden="false" customHeight="false" outlineLevel="0" collapsed="false">
      <c r="A25" s="3"/>
      <c r="B25" s="3" t="s">
        <v>191</v>
      </c>
      <c r="C25" s="3" t="s">
        <v>137</v>
      </c>
      <c r="D25" s="4" t="n">
        <f aca="false">INDEX(datos_participantes!$D:$D,MATCH(C25,datos_participantes!$A:$A,0))</f>
        <v>80.2476666666667</v>
      </c>
      <c r="E25" s="4" t="n">
        <f aca="false">INDEX(datos_participantes!$F:$F,MATCH(C25,datos_participantes!$A:$A,0))</f>
        <v>0.0385972875321689</v>
      </c>
      <c r="F25" s="4" t="n">
        <f aca="false">IF(OR(NOT(ISNUMBER(D25)),NOT(ISNUMBER(INDEX(valor_asignado!$C:$C,MATCH(B25,valor_asignado!$B:$B,0)))),NOT(ISNUMBER(INDEX(valor_asignado!$D:$D,MATCH(B25,valor_asignado!$B:$B,0)))),INDEX(valor_asignado!$D:$D,MATCH(B25,valor_asignado!$B:$B,0))=0),"",(D25-INDEX(valor_asignado!$C:$C,MATCH(B25,valor_asignado!$B:$B,0)))/INDEX(valor_asignado!$D:$D,MATCH(B25,valor_asignado!$B:$B,0)))</f>
        <v>1.96704455281548</v>
      </c>
      <c r="G25" s="5" t="str">
        <f aca="false">IF(F25="","N/A",IF(ABS(F25)&lt;=2,"Satisfactorio",IF(ABS(F25)&lt;3,"Cuestionable","No satisfactorio")))</f>
        <v>Satisfactorio</v>
      </c>
      <c r="H25" s="4" t="n">
        <f aca="false">IF(OR(NOT(ISNUMBER(D25)),NOT(ISNUMBER(INDEX(valor_asignado!$C:$C,MATCH(B25,valor_asignado!$B:$B,0)))),NOT(ISNUMBER(SQRT(INDEX(valor_asignado!$D:$D,MATCH(B25,valor_asignado!$B:$B,0))^2+INDEX(valor_asignado!$H:$H,MATCH(B25,valor_asignado!$B:$B,0))^2))),SQRT(INDEX(valor_asignado!$D:$D,MATCH(B25,valor_asignado!$B:$B,0))^2+INDEX(valor_asignado!$H:$H,MATCH(B25,valor_asignado!$B:$B,0))^2)=0),"",(D25-INDEX(valor_asignado!$C:$C,MATCH(B25,valor_asignado!$B:$B,0)))/SQRT(INDEX(valor_asignado!$D:$D,MATCH(B25,valor_asignado!$B:$B,0))^2+INDEX(valor_asignado!$H:$H,MATCH(B25,valor_asignado!$B:$B,0))^2))</f>
        <v>0.693831851450909</v>
      </c>
      <c r="I25" s="5" t="str">
        <f aca="false">IF(H25="","N/A",IF(ABS(H25)&lt;=2,"Satisfactorio",IF(ABS(H25)&lt;3,"Cuestionable","No satisfactorio")))</f>
        <v>Satisfactorio</v>
      </c>
      <c r="J25" s="4" t="n">
        <f aca="false">IF(OR(NOT(ISNUMBER(D25)),NOT(ISNUMBER(INDEX(valor_asignado!$C:$C,MATCH(B25,valor_asignado!$B:$B,0)))),NOT(ISNUMBER(SQRT(E25^2+INDEX(valor_asignado!$H:$H,MATCH(B25,valor_asignado!$B:$B,0))^2))),SQRT(E25^2+INDEX(valor_asignado!$H:$H,MATCH(B25,valor_asignado!$B:$B,0))^2)=0),"",(D25-INDEX(valor_asignado!$C:$C,MATCH(B25,valor_asignado!$B:$B,0)))/SQRT(E25^2+INDEX(valor_asignado!$H:$H,MATCH(B25,valor_asignado!$B:$B,0))^2))</f>
        <v>0.731877378850341</v>
      </c>
      <c r="K25" s="5" t="str">
        <f aca="false">IF(J25="","N/A",IF(ABS(J25)&lt;=2,"Satisfactorio",IF(ABS(J25)&lt;3,"Cuestionable","No satisfactorio")))</f>
        <v>Satisfactorio</v>
      </c>
      <c r="L25" s="4" t="n">
        <f aca="false">IF(OR(NOT(ISNUMBER(D25)),NOT(ISNUMBER(INDEX(valor_asignado!$C:$C,MATCH(B25,valor_asignado!$B:$B,0)))),NOT(ISNUMBER(SQRT((2*E25)^2+(2*INDEX(valor_asignado!$H:$H,MATCH(B25,valor_asignado!$B:$B,0)))^2))),SQRT((2*E25)^2+(2*INDEX(valor_asignado!$H:$H,MATCH(B25,valor_asignado!$B:$B,0)))^2)=0),"",(D25-INDEX(valor_asignado!$C:$C,MATCH(B25,valor_asignado!$B:$B,0)))/SQRT((2*E25)^2+(2*INDEX(valor_asignado!$H:$H,MATCH(B25,valor_asignado!$B:$B,0)))^2))</f>
        <v>0.365938689425171</v>
      </c>
      <c r="M25" s="5" t="str">
        <f aca="false">IF(L25="","N/A",IF(ABS(L25)&lt;=1,"Satisfactorio","No satisfactorio"))</f>
        <v>Satisfactorio</v>
      </c>
      <c r="N25" s="5" t="str">
        <f aca="false">IF(AND(SUM(IF(AND(D25="",validacion_snapshot!$U$72=""),0,IFERROR(ABS(D25-validacion_snapshot!$U$72),1E+099)),IF(AND(E25="",validacion_snapshot!$V$72=""),0,IFERROR(ABS(E25-validacion_snapshot!$V$72),1E+099)),IF(AND(F25="",validacion_snapshot!$W$72=""),0,IFERROR(ABS(F25-validacion_snapshot!$W$72),1E+099)),IF(AND(H25="",validacion_snapshot!$Y$72=""),0,IFERROR(ABS(H25-validacion_snapshot!$Y$72),1E+099)),IF(AND(J25="",validacion_snapshot!$AA$72=""),0,IFERROR(ABS(J25-validacion_snapshot!$AA$72),1E+099)),IF(AND(L25="",validacion_snapshot!$AC$72=""),0,IFERROR(ABS(L25-validacion_snapshot!$AC$72),1E+099)))&lt;=0.00000001,G25=validacion_snapshot!$X$72,I25=validacion_snapshot!$Z$72,K25=validacion_snapshot!$AB$72,M25=validacion_snapshot!$AD$72),"OK","FALLA")</f>
        <v>OK</v>
      </c>
    </row>
    <row r="26" customFormat="false" ht="15" hidden="false" customHeight="false" outlineLevel="0" collapsed="false">
      <c r="A26" s="3"/>
      <c r="B26" s="3" t="s">
        <v>193</v>
      </c>
      <c r="C26" s="3" t="s">
        <v>126</v>
      </c>
      <c r="D26" s="4" t="n">
        <f aca="false">INDEX(datos_participantes!$D:$D,MATCH(C26,datos_participantes!$A:$A,0))</f>
        <v>80.2293333333333</v>
      </c>
      <c r="E26" s="4" t="n">
        <f aca="false">INDEX(datos_participantes!$F:$F,MATCH(C26,datos_participantes!$A:$A,0))</f>
        <v>0.0306434083253844</v>
      </c>
      <c r="F26" s="4" t="n">
        <f aca="false">IF(OR(NOT(ISNUMBER(D26)),NOT(ISNUMBER(INDEX(valor_asignado!$C:$C,MATCH(B26,valor_asignado!$B:$B,0)))),NOT(ISNUMBER(INDEX(valor_asignado!$D:$D,MATCH(B26,valor_asignado!$B:$B,0)))),INDEX(valor_asignado!$D:$D,MATCH(B26,valor_asignado!$B:$B,0))=0),"",(D26-INDEX(valor_asignado!$C:$C,MATCH(B26,valor_asignado!$B:$B,0)))/INDEX(valor_asignado!$D:$D,MATCH(B26,valor_asignado!$B:$B,0)))</f>
        <v>1.60419423875461</v>
      </c>
      <c r="G26" s="5" t="str">
        <f aca="false">IF(F26="","N/A",IF(ABS(F26)&lt;=2,"Satisfactorio",IF(ABS(F26)&lt;3,"Cuestionable","No satisfactorio")))</f>
        <v>Satisfactorio</v>
      </c>
      <c r="H26" s="4" t="n">
        <f aca="false">IF(OR(NOT(ISNUMBER(D26)),NOT(ISNUMBER(INDEX(valor_asignado!$C:$C,MATCH(B26,valor_asignado!$B:$B,0)))),NOT(ISNUMBER(SQRT(INDEX(valor_asignado!$D:$D,MATCH(B26,valor_asignado!$B:$B,0))^2+INDEX(valor_asignado!$H:$H,MATCH(B26,valor_asignado!$B:$B,0))^2))),SQRT(INDEX(valor_asignado!$D:$D,MATCH(B26,valor_asignado!$B:$B,0))^2+INDEX(valor_asignado!$H:$H,MATCH(B26,valor_asignado!$B:$B,0))^2)=0),"",(D26-INDEX(valor_asignado!$C:$C,MATCH(B26,valor_asignado!$B:$B,0)))/SQRT(INDEX(valor_asignado!$D:$D,MATCH(B26,valor_asignado!$B:$B,0))^2+INDEX(valor_asignado!$H:$H,MATCH(B26,valor_asignado!$B:$B,0))^2))</f>
        <v>0.612720526088496</v>
      </c>
      <c r="I26" s="5" t="str">
        <f aca="false">IF(H26="","N/A",IF(ABS(H26)&lt;=2,"Satisfactorio",IF(ABS(H26)&lt;3,"Cuestionable","No satisfactorio")))</f>
        <v>Satisfactorio</v>
      </c>
      <c r="J26" s="4" t="n">
        <f aca="false">IF(OR(NOT(ISNUMBER(D26)),NOT(ISNUMBER(INDEX(valor_asignado!$C:$C,MATCH(B26,valor_asignado!$B:$B,0)))),NOT(ISNUMBER(SQRT(E26^2+INDEX(valor_asignado!$H:$H,MATCH(B26,valor_asignado!$B:$B,0))^2))),SQRT(E26^2+INDEX(valor_asignado!$H:$H,MATCH(B26,valor_asignado!$B:$B,0))^2)=0),"",(D26-INDEX(valor_asignado!$C:$C,MATCH(B26,valor_asignado!$B:$B,0)))/SQRT(E26^2+INDEX(valor_asignado!$H:$H,MATCH(B26,valor_asignado!$B:$B,0))^2))</f>
        <v>0.657549504239869</v>
      </c>
      <c r="K26" s="5" t="str">
        <f aca="false">IF(J26="","N/A",IF(ABS(J26)&lt;=2,"Satisfactorio",IF(ABS(J26)&lt;3,"Cuestionable","No satisfactorio")))</f>
        <v>Satisfactorio</v>
      </c>
      <c r="L26" s="4" t="n">
        <f aca="false">IF(OR(NOT(ISNUMBER(D26)),NOT(ISNUMBER(INDEX(valor_asignado!$C:$C,MATCH(B26,valor_asignado!$B:$B,0)))),NOT(ISNUMBER(SQRT((2*E26)^2+(2*INDEX(valor_asignado!$H:$H,MATCH(B26,valor_asignado!$B:$B,0)))^2))),SQRT((2*E26)^2+(2*INDEX(valor_asignado!$H:$H,MATCH(B26,valor_asignado!$B:$B,0)))^2)=0),"",(D26-INDEX(valor_asignado!$C:$C,MATCH(B26,valor_asignado!$B:$B,0)))/SQRT((2*E26)^2+(2*INDEX(valor_asignado!$H:$H,MATCH(B26,valor_asignado!$B:$B,0)))^2))</f>
        <v>0.328774752119934</v>
      </c>
      <c r="M26" s="5" t="str">
        <f aca="false">IF(L26="","N/A",IF(ABS(L26)&lt;=1,"Satisfactorio","No satisfactorio"))</f>
        <v>Satisfactorio</v>
      </c>
      <c r="N26" s="5" t="str">
        <f aca="false">IF(AND(SUM(IF(AND(D26="",validacion_snapshot!$U$73=""),0,IFERROR(ABS(D26-validacion_snapshot!$U$73),1E+099)),IF(AND(E26="",validacion_snapshot!$V$73=""),0,IFERROR(ABS(E26-validacion_snapshot!$V$73),1E+099)),IF(AND(F26="",validacion_snapshot!$W$73=""),0,IFERROR(ABS(F26-validacion_snapshot!$W$73),1E+099)),IF(AND(H26="",validacion_snapshot!$Y$73=""),0,IFERROR(ABS(H26-validacion_snapshot!$Y$73),1E+099)),IF(AND(J26="",validacion_snapshot!$AA$73=""),0,IFERROR(ABS(J26-validacion_snapshot!$AA$73),1E+099)),IF(AND(L26="",validacion_snapshot!$AC$73=""),0,IFERROR(ABS(L26-validacion_snapshot!$AC$73),1E+099)))&lt;=0.00000001,G26=validacion_snapshot!$X$73,I26=validacion_snapshot!$Z$73,K26=validacion_snapshot!$AB$73,M26=validacion_snapshot!$AD$73),"OK","FALLA")</f>
        <v>OK</v>
      </c>
    </row>
    <row r="27" customFormat="false" ht="15" hidden="false" customHeight="false" outlineLevel="0" collapsed="false">
      <c r="A27" s="3"/>
      <c r="B27" s="3" t="s">
        <v>193</v>
      </c>
      <c r="C27" s="3" t="s">
        <v>127</v>
      </c>
      <c r="D27" s="4" t="n">
        <f aca="false">INDEX(datos_participantes!$D:$D,MATCH(C27,datos_participantes!$A:$A,0))</f>
        <v>80.086</v>
      </c>
      <c r="E27" s="4" t="n">
        <f aca="false">INDEX(datos_participantes!$F:$F,MATCH(C27,datos_participantes!$A:$A,0))</f>
        <v>0.0117087117022311</v>
      </c>
      <c r="F27" s="4" t="n">
        <f aca="false">IF(OR(NOT(ISNUMBER(D27)),NOT(ISNUMBER(INDEX(valor_asignado!$C:$C,MATCH(B27,valor_asignado!$B:$B,0)))),NOT(ISNUMBER(INDEX(valor_asignado!$D:$D,MATCH(B27,valor_asignado!$B:$B,0)))),INDEX(valor_asignado!$D:$D,MATCH(B27,valor_asignado!$B:$B,0))=0),"",(D27-INDEX(valor_asignado!$C:$C,MATCH(B27,valor_asignado!$B:$B,0)))/INDEX(valor_asignado!$D:$D,MATCH(B27,valor_asignado!$B:$B,0)))</f>
        <v>0.145835839886874</v>
      </c>
      <c r="G27" s="5" t="str">
        <f aca="false">IF(F27="","N/A",IF(ABS(F27)&lt;=2,"Satisfactorio",IF(ABS(F27)&lt;3,"Cuestionable","No satisfactorio")))</f>
        <v>Satisfactorio</v>
      </c>
      <c r="H27" s="4" t="n">
        <f aca="false">IF(OR(NOT(ISNUMBER(D27)),NOT(ISNUMBER(INDEX(valor_asignado!$C:$C,MATCH(B27,valor_asignado!$B:$B,0)))),NOT(ISNUMBER(SQRT(INDEX(valor_asignado!$D:$D,MATCH(B27,valor_asignado!$B:$B,0))^2+INDEX(valor_asignado!$H:$H,MATCH(B27,valor_asignado!$B:$B,0))^2))),SQRT(INDEX(valor_asignado!$D:$D,MATCH(B27,valor_asignado!$B:$B,0))^2+INDEX(valor_asignado!$H:$H,MATCH(B27,valor_asignado!$B:$B,0))^2)=0),"",(D27-INDEX(valor_asignado!$C:$C,MATCH(B27,valor_asignado!$B:$B,0)))/SQRT(INDEX(valor_asignado!$D:$D,MATCH(B27,valor_asignado!$B:$B,0))^2+INDEX(valor_asignado!$H:$H,MATCH(B27,valor_asignado!$B:$B,0))^2))</f>
        <v>0.0557018660080803</v>
      </c>
      <c r="I27" s="5" t="str">
        <f aca="false">IF(H27="","N/A",IF(ABS(H27)&lt;=2,"Satisfactorio",IF(ABS(H27)&lt;3,"Cuestionable","No satisfactorio")))</f>
        <v>Satisfactorio</v>
      </c>
      <c r="J27" s="4" t="n">
        <f aca="false">IF(OR(NOT(ISNUMBER(D27)),NOT(ISNUMBER(INDEX(valor_asignado!$C:$C,MATCH(B27,valor_asignado!$B:$B,0)))),NOT(ISNUMBER(SQRT(E27^2+INDEX(valor_asignado!$H:$H,MATCH(B27,valor_asignado!$B:$B,0))^2))),SQRT(E27^2+INDEX(valor_asignado!$H:$H,MATCH(B27,valor_asignado!$B:$B,0))^2)=0),"",(D27-INDEX(valor_asignado!$C:$C,MATCH(B27,valor_asignado!$B:$B,0)))/SQRT(E27^2+INDEX(valor_asignado!$H:$H,MATCH(B27,valor_asignado!$B:$B,0))^2))</f>
        <v>0.0601985251387471</v>
      </c>
      <c r="K27" s="5" t="str">
        <f aca="false">IF(J27="","N/A",IF(ABS(J27)&lt;=2,"Satisfactorio",IF(ABS(J27)&lt;3,"Cuestionable","No satisfactorio")))</f>
        <v>Satisfactorio</v>
      </c>
      <c r="L27" s="4" t="n">
        <f aca="false">IF(OR(NOT(ISNUMBER(D27)),NOT(ISNUMBER(INDEX(valor_asignado!$C:$C,MATCH(B27,valor_asignado!$B:$B,0)))),NOT(ISNUMBER(SQRT((2*E27)^2+(2*INDEX(valor_asignado!$H:$H,MATCH(B27,valor_asignado!$B:$B,0)))^2))),SQRT((2*E27)^2+(2*INDEX(valor_asignado!$H:$H,MATCH(B27,valor_asignado!$B:$B,0)))^2)=0),"",(D27-INDEX(valor_asignado!$C:$C,MATCH(B27,valor_asignado!$B:$B,0)))/SQRT((2*E27)^2+(2*INDEX(valor_asignado!$H:$H,MATCH(B27,valor_asignado!$B:$B,0)))^2))</f>
        <v>0.0300992625693735</v>
      </c>
      <c r="M27" s="5" t="str">
        <f aca="false">IF(L27="","N/A",IF(ABS(L27)&lt;=1,"Satisfactorio","No satisfactorio"))</f>
        <v>Satisfactorio</v>
      </c>
      <c r="N27" s="5" t="str">
        <f aca="false">IF(AND(SUM(IF(AND(D27="",validacion_snapshot!$U$74=""),0,IFERROR(ABS(D27-validacion_snapshot!$U$74),1E+099)),IF(AND(E27="",validacion_snapshot!$V$74=""),0,IFERROR(ABS(E27-validacion_snapshot!$V$74),1E+099)),IF(AND(F27="",validacion_snapshot!$W$74=""),0,IFERROR(ABS(F27-validacion_snapshot!$W$74),1E+099)),IF(AND(H27="",validacion_snapshot!$Y$74=""),0,IFERROR(ABS(H27-validacion_snapshot!$Y$74),1E+099)),IF(AND(J27="",validacion_snapshot!$AA$74=""),0,IFERROR(ABS(J27-validacion_snapshot!$AA$74),1E+099)),IF(AND(L27="",validacion_snapshot!$AC$74=""),0,IFERROR(ABS(L27-validacion_snapshot!$AC$74),1E+099)))&lt;=0.00000001,G27=validacion_snapshot!$X$74,I27=validacion_snapshot!$Z$74,K27=validacion_snapshot!$AB$74,M27=validacion_snapshot!$AD$74),"OK","FALLA")</f>
        <v>OK</v>
      </c>
    </row>
    <row r="28" customFormat="false" ht="15" hidden="false" customHeight="false" outlineLevel="0" collapsed="false">
      <c r="A28" s="3"/>
      <c r="B28" s="3" t="s">
        <v>193</v>
      </c>
      <c r="C28" s="3" t="s">
        <v>128</v>
      </c>
      <c r="D28" s="4" t="n">
        <f aca="false">INDEX(datos_participantes!$D:$D,MATCH(C28,datos_participantes!$A:$A,0))</f>
        <v>80.056</v>
      </c>
      <c r="E28" s="4" t="n">
        <f aca="false">INDEX(datos_participantes!$F:$F,MATCH(C28,datos_participantes!$A:$A,0))</f>
        <v>0.0942858874123054</v>
      </c>
      <c r="F28" s="4" t="n">
        <f aca="false">IF(OR(NOT(ISNUMBER(D28)),NOT(ISNUMBER(INDEX(valor_asignado!$C:$C,MATCH(B28,valor_asignado!$B:$B,0)))),NOT(ISNUMBER(INDEX(valor_asignado!$D:$D,MATCH(B28,valor_asignado!$B:$B,0)))),INDEX(valor_asignado!$D:$D,MATCH(B28,valor_asignado!$B:$B,0))=0),"",(D28-INDEX(valor_asignado!$C:$C,MATCH(B28,valor_asignado!$B:$B,0)))/INDEX(valor_asignado!$D:$D,MATCH(B28,valor_asignado!$B:$B,0)))</f>
        <v>-0.159401964527379</v>
      </c>
      <c r="G28" s="5" t="str">
        <f aca="false">IF(F28="","N/A",IF(ABS(F28)&lt;=2,"Satisfactorio",IF(ABS(F28)&lt;3,"Cuestionable","No satisfactorio")))</f>
        <v>Satisfactorio</v>
      </c>
      <c r="H28" s="4" t="n">
        <f aca="false">IF(OR(NOT(ISNUMBER(D28)),NOT(ISNUMBER(INDEX(valor_asignado!$C:$C,MATCH(B28,valor_asignado!$B:$B,0)))),NOT(ISNUMBER(SQRT(INDEX(valor_asignado!$D:$D,MATCH(B28,valor_asignado!$B:$B,0))^2+INDEX(valor_asignado!$H:$H,MATCH(B28,valor_asignado!$B:$B,0))^2))),SQRT(INDEX(valor_asignado!$D:$D,MATCH(B28,valor_asignado!$B:$B,0))^2+INDEX(valor_asignado!$H:$H,MATCH(B28,valor_asignado!$B:$B,0))^2)=0),"",(D28-INDEX(valor_asignado!$C:$C,MATCH(B28,valor_asignado!$B:$B,0)))/SQRT(INDEX(valor_asignado!$D:$D,MATCH(B28,valor_asignado!$B:$B,0))^2+INDEX(valor_asignado!$H:$H,MATCH(B28,valor_asignado!$B:$B,0))^2))</f>
        <v>-0.0608834349390131</v>
      </c>
      <c r="I28" s="5" t="str">
        <f aca="false">IF(H28="","N/A",IF(ABS(H28)&lt;=2,"Satisfactorio",IF(ABS(H28)&lt;3,"Cuestionable","No satisfactorio")))</f>
        <v>Satisfactorio</v>
      </c>
      <c r="J28" s="4" t="n">
        <f aca="false">IF(OR(NOT(ISNUMBER(D28)),NOT(ISNUMBER(INDEX(valor_asignado!$C:$C,MATCH(B28,valor_asignado!$B:$B,0)))),NOT(ISNUMBER(SQRT(E28^2+INDEX(valor_asignado!$H:$H,MATCH(B28,valor_asignado!$B:$B,0))^2))),SQRT(E28^2+INDEX(valor_asignado!$H:$H,MATCH(B28,valor_asignado!$B:$B,0))^2)=0),"",(D28-INDEX(valor_asignado!$C:$C,MATCH(B28,valor_asignado!$B:$B,0)))/SQRT(E28^2+INDEX(valor_asignado!$H:$H,MATCH(B28,valor_asignado!$B:$B,0))^2))</f>
        <v>-0.0612405170576156</v>
      </c>
      <c r="K28" s="5" t="str">
        <f aca="false">IF(J28="","N/A",IF(ABS(J28)&lt;=2,"Satisfactorio",IF(ABS(J28)&lt;3,"Cuestionable","No satisfactorio")))</f>
        <v>Satisfactorio</v>
      </c>
      <c r="L28" s="4" t="n">
        <f aca="false">IF(OR(NOT(ISNUMBER(D28)),NOT(ISNUMBER(INDEX(valor_asignado!$C:$C,MATCH(B28,valor_asignado!$B:$B,0)))),NOT(ISNUMBER(SQRT((2*E28)^2+(2*INDEX(valor_asignado!$H:$H,MATCH(B28,valor_asignado!$B:$B,0)))^2))),SQRT((2*E28)^2+(2*INDEX(valor_asignado!$H:$H,MATCH(B28,valor_asignado!$B:$B,0)))^2)=0),"",(D28-INDEX(valor_asignado!$C:$C,MATCH(B28,valor_asignado!$B:$B,0)))/SQRT((2*E28)^2+(2*INDEX(valor_asignado!$H:$H,MATCH(B28,valor_asignado!$B:$B,0)))^2))</f>
        <v>-0.0306202585288078</v>
      </c>
      <c r="M28" s="5" t="str">
        <f aca="false">IF(L28="","N/A",IF(ABS(L28)&lt;=1,"Satisfactorio","No satisfactorio"))</f>
        <v>Satisfactorio</v>
      </c>
      <c r="N28" s="5" t="str">
        <f aca="false">IF(AND(SUM(IF(AND(D28="",validacion_snapshot!$U$75=""),0,IFERROR(ABS(D28-validacion_snapshot!$U$75),1E+099)),IF(AND(E28="",validacion_snapshot!$V$75=""),0,IFERROR(ABS(E28-validacion_snapshot!$V$75),1E+099)),IF(AND(F28="",validacion_snapshot!$W$75=""),0,IFERROR(ABS(F28-validacion_snapshot!$W$75),1E+099)),IF(AND(H28="",validacion_snapshot!$Y$75=""),0,IFERROR(ABS(H28-validacion_snapshot!$Y$75),1E+099)),IF(AND(J28="",validacion_snapshot!$AA$75=""),0,IFERROR(ABS(J28-validacion_snapshot!$AA$75),1E+099)),IF(AND(L28="",validacion_snapshot!$AC$75=""),0,IFERROR(ABS(L28-validacion_snapshot!$AC$75),1E+099)))&lt;=0.00000001,G28=validacion_snapshot!$X$75,I28=validacion_snapshot!$Z$75,K28=validacion_snapshot!$AB$75,M28=validacion_snapshot!$AD$75),"OK","FALLA")</f>
        <v>OK</v>
      </c>
    </row>
    <row r="29" customFormat="false" ht="15" hidden="false" customHeight="false" outlineLevel="0" collapsed="false">
      <c r="A29" s="3"/>
      <c r="B29" s="3" t="s">
        <v>193</v>
      </c>
      <c r="C29" s="3" t="s">
        <v>129</v>
      </c>
      <c r="D29" s="4" t="n">
        <f aca="false">INDEX(datos_participantes!$D:$D,MATCH(C29,datos_participantes!$A:$A,0))</f>
        <v>80.031</v>
      </c>
      <c r="E29" s="4" t="n">
        <f aca="false">INDEX(datos_participantes!$F:$F,MATCH(C29,datos_participantes!$A:$A,0))</f>
        <v>0.0924819264641932</v>
      </c>
      <c r="F29" s="4" t="n">
        <f aca="false">IF(OR(NOT(ISNUMBER(D29)),NOT(ISNUMBER(INDEX(valor_asignado!$C:$C,MATCH(B29,valor_asignado!$B:$B,0)))),NOT(ISNUMBER(INDEX(valor_asignado!$D:$D,MATCH(B29,valor_asignado!$B:$B,0)))),INDEX(valor_asignado!$D:$D,MATCH(B29,valor_asignado!$B:$B,0))=0),"",(D29-INDEX(valor_asignado!$C:$C,MATCH(B29,valor_asignado!$B:$B,0)))/INDEX(valor_asignado!$D:$D,MATCH(B29,valor_asignado!$B:$B,0)))</f>
        <v>-0.413766801539161</v>
      </c>
      <c r="G29" s="5" t="str">
        <f aca="false">IF(F29="","N/A",IF(ABS(F29)&lt;=2,"Satisfactorio",IF(ABS(F29)&lt;3,"Cuestionable","No satisfactorio")))</f>
        <v>Satisfactorio</v>
      </c>
      <c r="H29" s="4" t="n">
        <f aca="false">IF(OR(NOT(ISNUMBER(D29)),NOT(ISNUMBER(INDEX(valor_asignado!$C:$C,MATCH(B29,valor_asignado!$B:$B,0)))),NOT(ISNUMBER(SQRT(INDEX(valor_asignado!$D:$D,MATCH(B29,valor_asignado!$B:$B,0))^2+INDEX(valor_asignado!$H:$H,MATCH(B29,valor_asignado!$B:$B,0))^2))),SQRT(INDEX(valor_asignado!$D:$D,MATCH(B29,valor_asignado!$B:$B,0))^2+INDEX(valor_asignado!$H:$H,MATCH(B29,valor_asignado!$B:$B,0))^2)=0),"",(D29-INDEX(valor_asignado!$C:$C,MATCH(B29,valor_asignado!$B:$B,0)))/SQRT(INDEX(valor_asignado!$D:$D,MATCH(B29,valor_asignado!$B:$B,0))^2+INDEX(valor_asignado!$H:$H,MATCH(B29,valor_asignado!$B:$B,0))^2))</f>
        <v>-0.158037852394887</v>
      </c>
      <c r="I29" s="5" t="str">
        <f aca="false">IF(H29="","N/A",IF(ABS(H29)&lt;=2,"Satisfactorio",IF(ABS(H29)&lt;3,"Cuestionable","No satisfactorio")))</f>
        <v>Satisfactorio</v>
      </c>
      <c r="J29" s="4" t="n">
        <f aca="false">IF(OR(NOT(ISNUMBER(D29)),NOT(ISNUMBER(INDEX(valor_asignado!$C:$C,MATCH(B29,valor_asignado!$B:$B,0)))),NOT(ISNUMBER(SQRT(E29^2+INDEX(valor_asignado!$H:$H,MATCH(B29,valor_asignado!$B:$B,0))^2))),SQRT(E29^2+INDEX(valor_asignado!$H:$H,MATCH(B29,valor_asignado!$B:$B,0))^2)=0),"",(D29-INDEX(valor_asignado!$C:$C,MATCH(B29,valor_asignado!$B:$B,0)))/SQRT(E29^2+INDEX(valor_asignado!$H:$H,MATCH(B29,valor_asignado!$B:$B,0))^2))</f>
        <v>-0.159375522652466</v>
      </c>
      <c r="K29" s="5" t="str">
        <f aca="false">IF(J29="","N/A",IF(ABS(J29)&lt;=2,"Satisfactorio",IF(ABS(J29)&lt;3,"Cuestionable","No satisfactorio")))</f>
        <v>Satisfactorio</v>
      </c>
      <c r="L29" s="4" t="n">
        <f aca="false">IF(OR(NOT(ISNUMBER(D29)),NOT(ISNUMBER(INDEX(valor_asignado!$C:$C,MATCH(B29,valor_asignado!$B:$B,0)))),NOT(ISNUMBER(SQRT((2*E29)^2+(2*INDEX(valor_asignado!$H:$H,MATCH(B29,valor_asignado!$B:$B,0)))^2))),SQRT((2*E29)^2+(2*INDEX(valor_asignado!$H:$H,MATCH(B29,valor_asignado!$B:$B,0)))^2)=0),"",(D29-INDEX(valor_asignado!$C:$C,MATCH(B29,valor_asignado!$B:$B,0)))/SQRT((2*E29)^2+(2*INDEX(valor_asignado!$H:$H,MATCH(B29,valor_asignado!$B:$B,0)))^2))</f>
        <v>-0.0796877613262331</v>
      </c>
      <c r="M29" s="5" t="str">
        <f aca="false">IF(L29="","N/A",IF(ABS(L29)&lt;=1,"Satisfactorio","No satisfactorio"))</f>
        <v>Satisfactorio</v>
      </c>
      <c r="N29" s="5" t="str">
        <f aca="false">IF(AND(SUM(IF(AND(D29="",validacion_snapshot!$U$76=""),0,IFERROR(ABS(D29-validacion_snapshot!$U$76),1E+099)),IF(AND(E29="",validacion_snapshot!$V$76=""),0,IFERROR(ABS(E29-validacion_snapshot!$V$76),1E+099)),IF(AND(F29="",validacion_snapshot!$W$76=""),0,IFERROR(ABS(F29-validacion_snapshot!$W$76),1E+099)),IF(AND(H29="",validacion_snapshot!$Y$76=""),0,IFERROR(ABS(H29-validacion_snapshot!$Y$76),1E+099)),IF(AND(J29="",validacion_snapshot!$AA$76=""),0,IFERROR(ABS(J29-validacion_snapshot!$AA$76),1E+099)),IF(AND(L29="",validacion_snapshot!$AC$76=""),0,IFERROR(ABS(L29-validacion_snapshot!$AC$76),1E+099)))&lt;=0.00000001,G29=validacion_snapshot!$X$76,I29=validacion_snapshot!$Z$76,K29=validacion_snapshot!$AB$76,M29=validacion_snapshot!$AD$76),"OK","FALLA")</f>
        <v>OK</v>
      </c>
    </row>
    <row r="30" customFormat="false" ht="15" hidden="false" customHeight="false" outlineLevel="0" collapsed="false">
      <c r="A30" s="3"/>
      <c r="B30" s="3" t="s">
        <v>193</v>
      </c>
      <c r="C30" s="3" t="s">
        <v>130</v>
      </c>
      <c r="D30" s="4" t="n">
        <f aca="false">INDEX(datos_participantes!$D:$D,MATCH(C30,datos_participantes!$A:$A,0))</f>
        <v>80.0573333333333</v>
      </c>
      <c r="E30" s="4" t="n">
        <f aca="false">INDEX(datos_participantes!$F:$F,MATCH(C30,datos_participantes!$A:$A,0))</f>
        <v>0.147603994565192</v>
      </c>
      <c r="F30" s="4" t="n">
        <f aca="false">IF(OR(NOT(ISNUMBER(D30)),NOT(ISNUMBER(INDEX(valor_asignado!$C:$C,MATCH(B30,valor_asignado!$B:$B,0)))),NOT(ISNUMBER(INDEX(valor_asignado!$D:$D,MATCH(B30,valor_asignado!$B:$B,0)))),INDEX(valor_asignado!$D:$D,MATCH(B30,valor_asignado!$B:$B,0))=0),"",(D30-INDEX(valor_asignado!$C:$C,MATCH(B30,valor_asignado!$B:$B,0)))/INDEX(valor_asignado!$D:$D,MATCH(B30,valor_asignado!$B:$B,0)))</f>
        <v>-0.145835839887019</v>
      </c>
      <c r="G30" s="5" t="str">
        <f aca="false">IF(F30="","N/A",IF(ABS(F30)&lt;=2,"Satisfactorio",IF(ABS(F30)&lt;3,"Cuestionable","No satisfactorio")))</f>
        <v>Satisfactorio</v>
      </c>
      <c r="H30" s="4" t="n">
        <f aca="false">IF(OR(NOT(ISNUMBER(D30)),NOT(ISNUMBER(INDEX(valor_asignado!$C:$C,MATCH(B30,valor_asignado!$B:$B,0)))),NOT(ISNUMBER(SQRT(INDEX(valor_asignado!$D:$D,MATCH(B30,valor_asignado!$B:$B,0))^2+INDEX(valor_asignado!$H:$H,MATCH(B30,valor_asignado!$B:$B,0))^2))),SQRT(INDEX(valor_asignado!$D:$D,MATCH(B30,valor_asignado!$B:$B,0))^2+INDEX(valor_asignado!$H:$H,MATCH(B30,valor_asignado!$B:$B,0))^2)=0),"",(D30-INDEX(valor_asignado!$C:$C,MATCH(B30,valor_asignado!$B:$B,0)))/SQRT(INDEX(valor_asignado!$D:$D,MATCH(B30,valor_asignado!$B:$B,0))^2+INDEX(valor_asignado!$H:$H,MATCH(B30,valor_asignado!$B:$B,0))^2))</f>
        <v>-0.0557018660081355</v>
      </c>
      <c r="I30" s="5" t="str">
        <f aca="false">IF(H30="","N/A",IF(ABS(H30)&lt;=2,"Satisfactorio",IF(ABS(H30)&lt;3,"Cuestionable","No satisfactorio")))</f>
        <v>Satisfactorio</v>
      </c>
      <c r="J30" s="4" t="n">
        <f aca="false">IF(OR(NOT(ISNUMBER(D30)),NOT(ISNUMBER(INDEX(valor_asignado!$C:$C,MATCH(B30,valor_asignado!$B:$B,0)))),NOT(ISNUMBER(SQRT(E30^2+INDEX(valor_asignado!$H:$H,MATCH(B30,valor_asignado!$B:$B,0))^2))),SQRT(E30^2+INDEX(valor_asignado!$H:$H,MATCH(B30,valor_asignado!$B:$B,0))^2)=0),"",(D30-INDEX(valor_asignado!$C:$C,MATCH(B30,valor_asignado!$B:$B,0)))/SQRT(E30^2+INDEX(valor_asignado!$H:$H,MATCH(B30,valor_asignado!$B:$B,0))^2))</f>
        <v>-0.0512094332340671</v>
      </c>
      <c r="K30" s="5" t="str">
        <f aca="false">IF(J30="","N/A",IF(ABS(J30)&lt;=2,"Satisfactorio",IF(ABS(J30)&lt;3,"Cuestionable","No satisfactorio")))</f>
        <v>Satisfactorio</v>
      </c>
      <c r="L30" s="4" t="n">
        <f aca="false">IF(OR(NOT(ISNUMBER(D30)),NOT(ISNUMBER(INDEX(valor_asignado!$C:$C,MATCH(B30,valor_asignado!$B:$B,0)))),NOT(ISNUMBER(SQRT((2*E30)^2+(2*INDEX(valor_asignado!$H:$H,MATCH(B30,valor_asignado!$B:$B,0)))^2))),SQRT((2*E30)^2+(2*INDEX(valor_asignado!$H:$H,MATCH(B30,valor_asignado!$B:$B,0)))^2)=0),"",(D30-INDEX(valor_asignado!$C:$C,MATCH(B30,valor_asignado!$B:$B,0)))/SQRT((2*E30)^2+(2*INDEX(valor_asignado!$H:$H,MATCH(B30,valor_asignado!$B:$B,0)))^2))</f>
        <v>-0.0256047166170335</v>
      </c>
      <c r="M30" s="5" t="str">
        <f aca="false">IF(L30="","N/A",IF(ABS(L30)&lt;=1,"Satisfactorio","No satisfactorio"))</f>
        <v>Satisfactorio</v>
      </c>
      <c r="N30" s="5" t="str">
        <f aca="false">IF(AND(SUM(IF(AND(D30="",validacion_snapshot!$U$77=""),0,IFERROR(ABS(D30-validacion_snapshot!$U$77),1E+099)),IF(AND(E30="",validacion_snapshot!$V$77=""),0,IFERROR(ABS(E30-validacion_snapshot!$V$77),1E+099)),IF(AND(F30="",validacion_snapshot!$W$77=""),0,IFERROR(ABS(F30-validacion_snapshot!$W$77),1E+099)),IF(AND(H30="",validacion_snapshot!$Y$77=""),0,IFERROR(ABS(H30-validacion_snapshot!$Y$77),1E+099)),IF(AND(J30="",validacion_snapshot!$AA$77=""),0,IFERROR(ABS(J30-validacion_snapshot!$AA$77),1E+099)),IF(AND(L30="",validacion_snapshot!$AC$77=""),0,IFERROR(ABS(L30-validacion_snapshot!$AC$77),1E+099)))&lt;=0.00000001,G30=validacion_snapshot!$X$77,I30=validacion_snapshot!$Z$77,K30=validacion_snapshot!$AB$77,M30=validacion_snapshot!$AD$77),"OK","FALLA")</f>
        <v>OK</v>
      </c>
    </row>
    <row r="31" customFormat="false" ht="15" hidden="false" customHeight="false" outlineLevel="0" collapsed="false">
      <c r="A31" s="3"/>
      <c r="B31" s="3" t="s">
        <v>193</v>
      </c>
      <c r="C31" s="3" t="s">
        <v>131</v>
      </c>
      <c r="D31" s="4" t="n">
        <f aca="false">INDEX(datos_participantes!$D:$D,MATCH(C31,datos_participantes!$A:$A,0))</f>
        <v>79.9836666666667</v>
      </c>
      <c r="E31" s="4" t="n">
        <f aca="false">INDEX(datos_participantes!$F:$F,MATCH(C31,datos_participantes!$A:$A,0))</f>
        <v>0.0704138562754267</v>
      </c>
      <c r="F31" s="4" t="n">
        <f aca="false">IF(OR(NOT(ISNUMBER(D31)),NOT(ISNUMBER(INDEX(valor_asignado!$C:$C,MATCH(B31,valor_asignado!$B:$B,0)))),NOT(ISNUMBER(INDEX(valor_asignado!$D:$D,MATCH(B31,valor_asignado!$B:$B,0)))),INDEX(valor_asignado!$D:$D,MATCH(B31,valor_asignado!$B:$B,0))=0),"",(D31-INDEX(valor_asignado!$C:$C,MATCH(B31,valor_asignado!$B:$B,0)))/INDEX(valor_asignado!$D:$D,MATCH(B31,valor_asignado!$B:$B,0)))</f>
        <v>-0.895364226281281</v>
      </c>
      <c r="G31" s="5" t="str">
        <f aca="false">IF(F31="","N/A",IF(ABS(F31)&lt;=2,"Satisfactorio",IF(ABS(F31)&lt;3,"Cuestionable","No satisfactorio")))</f>
        <v>Satisfactorio</v>
      </c>
      <c r="H31" s="4" t="n">
        <f aca="false">IF(OR(NOT(ISNUMBER(D31)),NOT(ISNUMBER(INDEX(valor_asignado!$C:$C,MATCH(B31,valor_asignado!$B:$B,0)))),NOT(ISNUMBER(SQRT(INDEX(valor_asignado!$D:$D,MATCH(B31,valor_asignado!$B:$B,0))^2+INDEX(valor_asignado!$H:$H,MATCH(B31,valor_asignado!$B:$B,0))^2))),SQRT(INDEX(valor_asignado!$D:$D,MATCH(B31,valor_asignado!$B:$B,0))^2+INDEX(valor_asignado!$H:$H,MATCH(B31,valor_asignado!$B:$B,0))^2)=0),"",(D31-INDEX(valor_asignado!$C:$C,MATCH(B31,valor_asignado!$B:$B,0)))/SQRT(INDEX(valor_asignado!$D:$D,MATCH(B31,valor_asignado!$B:$B,0))^2+INDEX(valor_asignado!$H:$H,MATCH(B31,valor_asignado!$B:$B,0))^2))</f>
        <v>-0.341983549444605</v>
      </c>
      <c r="I31" s="5" t="str">
        <f aca="false">IF(H31="","N/A",IF(ABS(H31)&lt;=2,"Satisfactorio",IF(ABS(H31)&lt;3,"Cuestionable","No satisfactorio")))</f>
        <v>Satisfactorio</v>
      </c>
      <c r="J31" s="4" t="n">
        <f aca="false">IF(OR(NOT(ISNUMBER(D31)),NOT(ISNUMBER(INDEX(valor_asignado!$C:$C,MATCH(B31,valor_asignado!$B:$B,0)))),NOT(ISNUMBER(SQRT(E31^2+INDEX(valor_asignado!$H:$H,MATCH(B31,valor_asignado!$B:$B,0))^2))),SQRT(E31^2+INDEX(valor_asignado!$H:$H,MATCH(B31,valor_asignado!$B:$B,0))^2)=0),"",(D31-INDEX(valor_asignado!$C:$C,MATCH(B31,valor_asignado!$B:$B,0)))/SQRT(E31^2+INDEX(valor_asignado!$H:$H,MATCH(B31,valor_asignado!$B:$B,0))^2))</f>
        <v>-0.354812354034355</v>
      </c>
      <c r="K31" s="5" t="str">
        <f aca="false">IF(J31="","N/A",IF(ABS(J31)&lt;=2,"Satisfactorio",IF(ABS(J31)&lt;3,"Cuestionable","No satisfactorio")))</f>
        <v>Satisfactorio</v>
      </c>
      <c r="L31" s="4" t="n">
        <f aca="false">IF(OR(NOT(ISNUMBER(D31)),NOT(ISNUMBER(INDEX(valor_asignado!$C:$C,MATCH(B31,valor_asignado!$B:$B,0)))),NOT(ISNUMBER(SQRT((2*E31)^2+(2*INDEX(valor_asignado!$H:$H,MATCH(B31,valor_asignado!$B:$B,0)))^2))),SQRT((2*E31)^2+(2*INDEX(valor_asignado!$H:$H,MATCH(B31,valor_asignado!$B:$B,0)))^2)=0),"",(D31-INDEX(valor_asignado!$C:$C,MATCH(B31,valor_asignado!$B:$B,0)))/SQRT((2*E31)^2+(2*INDEX(valor_asignado!$H:$H,MATCH(B31,valor_asignado!$B:$B,0)))^2))</f>
        <v>-0.177406177017177</v>
      </c>
      <c r="M31" s="5" t="str">
        <f aca="false">IF(L31="","N/A",IF(ABS(L31)&lt;=1,"Satisfactorio","No satisfactorio"))</f>
        <v>Satisfactorio</v>
      </c>
      <c r="N31" s="5" t="str">
        <f aca="false">IF(AND(SUM(IF(AND(D31="",validacion_snapshot!$U$78=""),0,IFERROR(ABS(D31-validacion_snapshot!$U$78),1E+099)),IF(AND(E31="",validacion_snapshot!$V$78=""),0,IFERROR(ABS(E31-validacion_snapshot!$V$78),1E+099)),IF(AND(F31="",validacion_snapshot!$W$78=""),0,IFERROR(ABS(F31-validacion_snapshot!$W$78),1E+099)),IF(AND(H31="",validacion_snapshot!$Y$78=""),0,IFERROR(ABS(H31-validacion_snapshot!$Y$78),1E+099)),IF(AND(J31="",validacion_snapshot!$AA$78=""),0,IFERROR(ABS(J31-validacion_snapshot!$AA$78),1E+099)),IF(AND(L31="",validacion_snapshot!$AC$78=""),0,IFERROR(ABS(L31-validacion_snapshot!$AC$78),1E+099)))&lt;=0.00000001,G31=validacion_snapshot!$X$78,I31=validacion_snapshot!$Z$78,K31=validacion_snapshot!$AB$78,M31=validacion_snapshot!$AD$78),"OK","FALLA")</f>
        <v>OK</v>
      </c>
    </row>
    <row r="32" customFormat="false" ht="15" hidden="false" customHeight="false" outlineLevel="0" collapsed="false">
      <c r="A32" s="3"/>
      <c r="B32" s="3" t="s">
        <v>193</v>
      </c>
      <c r="C32" s="3" t="s">
        <v>132</v>
      </c>
      <c r="D32" s="4" t="n">
        <f aca="false">INDEX(datos_participantes!$D:$D,MATCH(C32,datos_participantes!$A:$A,0))</f>
        <v>80.091</v>
      </c>
      <c r="E32" s="4" t="n">
        <f aca="false">INDEX(datos_participantes!$F:$F,MATCH(C32,datos_participantes!$A:$A,0))</f>
        <v>0.131152103622788</v>
      </c>
      <c r="F32" s="4" t="n">
        <f aca="false">IF(OR(NOT(ISNUMBER(D32)),NOT(ISNUMBER(INDEX(valor_asignado!$C:$C,MATCH(B32,valor_asignado!$B:$B,0)))),NOT(ISNUMBER(INDEX(valor_asignado!$D:$D,MATCH(B32,valor_asignado!$B:$B,0)))),INDEX(valor_asignado!$D:$D,MATCH(B32,valor_asignado!$B:$B,0))=0),"",(D32-INDEX(valor_asignado!$C:$C,MATCH(B32,valor_asignado!$B:$B,0)))/INDEX(valor_asignado!$D:$D,MATCH(B32,valor_asignado!$B:$B,0)))</f>
        <v>0.196708807289202</v>
      </c>
      <c r="G32" s="5" t="str">
        <f aca="false">IF(F32="","N/A",IF(ABS(F32)&lt;=2,"Satisfactorio",IF(ABS(F32)&lt;3,"Cuestionable","No satisfactorio")))</f>
        <v>Satisfactorio</v>
      </c>
      <c r="H32" s="4" t="n">
        <f aca="false">IF(OR(NOT(ISNUMBER(D32)),NOT(ISNUMBER(INDEX(valor_asignado!$C:$C,MATCH(B32,valor_asignado!$B:$B,0)))),NOT(ISNUMBER(SQRT(INDEX(valor_asignado!$D:$D,MATCH(B32,valor_asignado!$B:$B,0))^2+INDEX(valor_asignado!$H:$H,MATCH(B32,valor_asignado!$B:$B,0))^2))),SQRT(INDEX(valor_asignado!$D:$D,MATCH(B32,valor_asignado!$B:$B,0))^2+INDEX(valor_asignado!$H:$H,MATCH(B32,valor_asignado!$B:$B,0))^2)=0),"",(D32-INDEX(valor_asignado!$C:$C,MATCH(B32,valor_asignado!$B:$B,0)))/SQRT(INDEX(valor_asignado!$D:$D,MATCH(B32,valor_asignado!$B:$B,0))^2+INDEX(valor_asignado!$H:$H,MATCH(B32,valor_asignado!$B:$B,0))^2))</f>
        <v>0.0751327494992441</v>
      </c>
      <c r="I32" s="5" t="str">
        <f aca="false">IF(H32="","N/A",IF(ABS(H32)&lt;=2,"Satisfactorio",IF(ABS(H32)&lt;3,"Cuestionable","No satisfactorio")))</f>
        <v>Satisfactorio</v>
      </c>
      <c r="J32" s="4" t="n">
        <f aca="false">IF(OR(NOT(ISNUMBER(D32)),NOT(ISNUMBER(INDEX(valor_asignado!$C:$C,MATCH(B32,valor_asignado!$B:$B,0)))),NOT(ISNUMBER(SQRT(E32^2+INDEX(valor_asignado!$H:$H,MATCH(B32,valor_asignado!$B:$B,0))^2))),SQRT(E32^2+INDEX(valor_asignado!$H:$H,MATCH(B32,valor_asignado!$B:$B,0))^2)=0),"",(D32-INDEX(valor_asignado!$C:$C,MATCH(B32,valor_asignado!$B:$B,0)))/SQRT(E32^2+INDEX(valor_asignado!$H:$H,MATCH(B32,valor_asignado!$B:$B,0))^2))</f>
        <v>0.0711882560379236</v>
      </c>
      <c r="K32" s="5" t="str">
        <f aca="false">IF(J32="","N/A",IF(ABS(J32)&lt;=2,"Satisfactorio",IF(ABS(J32)&lt;3,"Cuestionable","No satisfactorio")))</f>
        <v>Satisfactorio</v>
      </c>
      <c r="L32" s="4" t="n">
        <f aca="false">IF(OR(NOT(ISNUMBER(D32)),NOT(ISNUMBER(INDEX(valor_asignado!$C:$C,MATCH(B32,valor_asignado!$B:$B,0)))),NOT(ISNUMBER(SQRT((2*E32)^2+(2*INDEX(valor_asignado!$H:$H,MATCH(B32,valor_asignado!$B:$B,0)))^2))),SQRT((2*E32)^2+(2*INDEX(valor_asignado!$H:$H,MATCH(B32,valor_asignado!$B:$B,0)))^2)=0),"",(D32-INDEX(valor_asignado!$C:$C,MATCH(B32,valor_asignado!$B:$B,0)))/SQRT((2*E32)^2+(2*INDEX(valor_asignado!$H:$H,MATCH(B32,valor_asignado!$B:$B,0)))^2))</f>
        <v>0.0355941280189618</v>
      </c>
      <c r="M32" s="5" t="str">
        <f aca="false">IF(L32="","N/A",IF(ABS(L32)&lt;=1,"Satisfactorio","No satisfactorio"))</f>
        <v>Satisfactorio</v>
      </c>
      <c r="N32" s="5" t="str">
        <f aca="false">IF(AND(SUM(IF(AND(D32="",validacion_snapshot!$U$79=""),0,IFERROR(ABS(D32-validacion_snapshot!$U$79),1E+099)),IF(AND(E32="",validacion_snapshot!$V$79=""),0,IFERROR(ABS(E32-validacion_snapshot!$V$79),1E+099)),IF(AND(F32="",validacion_snapshot!$W$79=""),0,IFERROR(ABS(F32-validacion_snapshot!$W$79),1E+099)),IF(AND(H32="",validacion_snapshot!$Y$79=""),0,IFERROR(ABS(H32-validacion_snapshot!$Y$79),1E+099)),IF(AND(J32="",validacion_snapshot!$AA$79=""),0,IFERROR(ABS(J32-validacion_snapshot!$AA$79),1E+099)),IF(AND(L32="",validacion_snapshot!$AC$79=""),0,IFERROR(ABS(L32-validacion_snapshot!$AC$79),1E+099)))&lt;=0.00000001,G32=validacion_snapshot!$X$79,I32=validacion_snapshot!$Z$79,K32=validacion_snapshot!$AB$79,M32=validacion_snapshot!$AD$79),"OK","FALLA")</f>
        <v>OK</v>
      </c>
    </row>
    <row r="33" customFormat="false" ht="15" hidden="false" customHeight="false" outlineLevel="0" collapsed="false">
      <c r="A33" s="3"/>
      <c r="B33" s="3" t="s">
        <v>193</v>
      </c>
      <c r="C33" s="3" t="s">
        <v>133</v>
      </c>
      <c r="D33" s="4" t="n">
        <f aca="false">INDEX(datos_participantes!$D:$D,MATCH(C33,datos_participantes!$A:$A,0))</f>
        <v>80.158</v>
      </c>
      <c r="E33" s="4" t="n">
        <f aca="false">INDEX(datos_participantes!$F:$F,MATCH(C33,datos_participantes!$A:$A,0))</f>
        <v>0.0953945351575979</v>
      </c>
      <c r="F33" s="4" t="n">
        <f aca="false">IF(OR(NOT(ISNUMBER(D33)),NOT(ISNUMBER(INDEX(valor_asignado!$C:$C,MATCH(B33,valor_asignado!$B:$B,0)))),NOT(ISNUMBER(INDEX(valor_asignado!$D:$D,MATCH(B33,valor_asignado!$B:$B,0)))),INDEX(valor_asignado!$D:$D,MATCH(B33,valor_asignado!$B:$B,0))=0),"",(D33-INDEX(valor_asignado!$C:$C,MATCH(B33,valor_asignado!$B:$B,0)))/INDEX(valor_asignado!$D:$D,MATCH(B33,valor_asignado!$B:$B,0)))</f>
        <v>0.878406570481083</v>
      </c>
      <c r="G33" s="5" t="str">
        <f aca="false">IF(F33="","N/A",IF(ABS(F33)&lt;=2,"Satisfactorio",IF(ABS(F33)&lt;3,"Cuestionable","No satisfactorio")))</f>
        <v>Satisfactorio</v>
      </c>
      <c r="H33" s="4" t="n">
        <f aca="false">IF(OR(NOT(ISNUMBER(D33)),NOT(ISNUMBER(INDEX(valor_asignado!$C:$C,MATCH(B33,valor_asignado!$B:$B,0)))),NOT(ISNUMBER(SQRT(INDEX(valor_asignado!$D:$D,MATCH(B33,valor_asignado!$B:$B,0))^2+INDEX(valor_asignado!$H:$H,MATCH(B33,valor_asignado!$B:$B,0))^2))),SQRT(INDEX(valor_asignado!$D:$D,MATCH(B33,valor_asignado!$B:$B,0))^2+INDEX(valor_asignado!$H:$H,MATCH(B33,valor_asignado!$B:$B,0))^2)=0),"",(D33-INDEX(valor_asignado!$C:$C,MATCH(B33,valor_asignado!$B:$B,0)))/SQRT(INDEX(valor_asignado!$D:$D,MATCH(B33,valor_asignado!$B:$B,0))^2+INDEX(valor_asignado!$H:$H,MATCH(B33,valor_asignado!$B:$B,0))^2))</f>
        <v>0.335506588281104</v>
      </c>
      <c r="I33" s="5" t="str">
        <f aca="false">IF(H33="","N/A",IF(ABS(H33)&lt;=2,"Satisfactorio",IF(ABS(H33)&lt;3,"Cuestionable","No satisfactorio")))</f>
        <v>Satisfactorio</v>
      </c>
      <c r="J33" s="4" t="n">
        <f aca="false">IF(OR(NOT(ISNUMBER(D33)),NOT(ISNUMBER(INDEX(valor_asignado!$C:$C,MATCH(B33,valor_asignado!$B:$B,0)))),NOT(ISNUMBER(SQRT(E33^2+INDEX(valor_asignado!$H:$H,MATCH(B33,valor_asignado!$B:$B,0))^2))),SQRT(E33^2+INDEX(valor_asignado!$H:$H,MATCH(B33,valor_asignado!$B:$B,0))^2)=0),"",(D33-INDEX(valor_asignado!$C:$C,MATCH(B33,valor_asignado!$B:$B,0)))/SQRT(E33^2+INDEX(valor_asignado!$H:$H,MATCH(B33,valor_asignado!$B:$B,0))^2))</f>
        <v>0.336933452029611</v>
      </c>
      <c r="K33" s="5" t="str">
        <f aca="false">IF(J33="","N/A",IF(ABS(J33)&lt;=2,"Satisfactorio",IF(ABS(J33)&lt;3,"Cuestionable","No satisfactorio")))</f>
        <v>Satisfactorio</v>
      </c>
      <c r="L33" s="4" t="n">
        <f aca="false">IF(OR(NOT(ISNUMBER(D33)),NOT(ISNUMBER(INDEX(valor_asignado!$C:$C,MATCH(B33,valor_asignado!$B:$B,0)))),NOT(ISNUMBER(SQRT((2*E33)^2+(2*INDEX(valor_asignado!$H:$H,MATCH(B33,valor_asignado!$B:$B,0)))^2))),SQRT((2*E33)^2+(2*INDEX(valor_asignado!$H:$H,MATCH(B33,valor_asignado!$B:$B,0)))^2)=0),"",(D33-INDEX(valor_asignado!$C:$C,MATCH(B33,valor_asignado!$B:$B,0)))/SQRT((2*E33)^2+(2*INDEX(valor_asignado!$H:$H,MATCH(B33,valor_asignado!$B:$B,0)))^2))</f>
        <v>0.168466726014805</v>
      </c>
      <c r="M33" s="5" t="str">
        <f aca="false">IF(L33="","N/A",IF(ABS(L33)&lt;=1,"Satisfactorio","No satisfactorio"))</f>
        <v>Satisfactorio</v>
      </c>
      <c r="N33" s="5" t="str">
        <f aca="false">IF(AND(SUM(IF(AND(D33="",validacion_snapshot!$U$80=""),0,IFERROR(ABS(D33-validacion_snapshot!$U$80),1E+099)),IF(AND(E33="",validacion_snapshot!$V$80=""),0,IFERROR(ABS(E33-validacion_snapshot!$V$80),1E+099)),IF(AND(F33="",validacion_snapshot!$W$80=""),0,IFERROR(ABS(F33-validacion_snapshot!$W$80),1E+099)),IF(AND(H33="",validacion_snapshot!$Y$80=""),0,IFERROR(ABS(H33-validacion_snapshot!$Y$80),1E+099)),IF(AND(J33="",validacion_snapshot!$AA$80=""),0,IFERROR(ABS(J33-validacion_snapshot!$AA$80),1E+099)),IF(AND(L33="",validacion_snapshot!$AC$80=""),0,IFERROR(ABS(L33-validacion_snapshot!$AC$80),1E+099)))&lt;=0.00000001,G33=validacion_snapshot!$X$80,I33=validacion_snapshot!$Z$80,K33=validacion_snapshot!$AB$80,M33=validacion_snapshot!$AD$80),"OK","FALLA")</f>
        <v>OK</v>
      </c>
    </row>
    <row r="34" customFormat="false" ht="15" hidden="false" customHeight="false" outlineLevel="0" collapsed="false">
      <c r="A34" s="3"/>
      <c r="B34" s="3" t="s">
        <v>193</v>
      </c>
      <c r="C34" s="3" t="s">
        <v>134</v>
      </c>
      <c r="D34" s="4" t="n">
        <f aca="false">INDEX(datos_participantes!$D:$D,MATCH(C34,datos_participantes!$A:$A,0))</f>
        <v>80.2606666666667</v>
      </c>
      <c r="E34" s="4" t="n">
        <f aca="false">INDEX(datos_participantes!$F:$F,MATCH(C34,datos_participantes!$A:$A,0))</f>
        <v>0.0427293036158302</v>
      </c>
      <c r="F34" s="4" t="n">
        <f aca="false">IF(OR(NOT(ISNUMBER(D34)),NOT(ISNUMBER(INDEX(valor_asignado!$C:$C,MATCH(B34,valor_asignado!$B:$B,0)))),NOT(ISNUMBER(INDEX(valor_asignado!$D:$D,MATCH(B34,valor_asignado!$B:$B,0)))),INDEX(valor_asignado!$D:$D,MATCH(B34,valor_asignado!$B:$B,0))=0),"",(D34-INDEX(valor_asignado!$C:$C,MATCH(B34,valor_asignado!$B:$B,0)))/INDEX(valor_asignado!$D:$D,MATCH(B34,valor_asignado!$B:$B,0)))</f>
        <v>1.92299816781009</v>
      </c>
      <c r="G34" s="5" t="str">
        <f aca="false">IF(F34="","N/A",IF(ABS(F34)&lt;=2,"Satisfactorio",IF(ABS(F34)&lt;3,"Cuestionable","No satisfactorio")))</f>
        <v>Satisfactorio</v>
      </c>
      <c r="H34" s="4" t="n">
        <f aca="false">IF(OR(NOT(ISNUMBER(D34)),NOT(ISNUMBER(INDEX(valor_asignado!$C:$C,MATCH(B34,valor_asignado!$B:$B,0)))),NOT(ISNUMBER(SQRT(INDEX(valor_asignado!$D:$D,MATCH(B34,valor_asignado!$B:$B,0))^2+INDEX(valor_asignado!$H:$H,MATCH(B34,valor_asignado!$B:$B,0))^2))),SQRT(INDEX(valor_asignado!$D:$D,MATCH(B34,valor_asignado!$B:$B,0))^2+INDEX(valor_asignado!$H:$H,MATCH(B34,valor_asignado!$B:$B,0))^2)=0),"",(D34-INDEX(valor_asignado!$C:$C,MATCH(B34,valor_asignado!$B:$B,0)))/SQRT(INDEX(valor_asignado!$D:$D,MATCH(B34,valor_asignado!$B:$B,0))^2+INDEX(valor_asignado!$H:$H,MATCH(B34,valor_asignado!$B:$B,0))^2))</f>
        <v>0.734487395966799</v>
      </c>
      <c r="I34" s="5" t="str">
        <f aca="false">IF(H34="","N/A",IF(ABS(H34)&lt;=2,"Satisfactorio",IF(ABS(H34)&lt;3,"Cuestionable","No satisfactorio")))</f>
        <v>Satisfactorio</v>
      </c>
      <c r="J34" s="4" t="n">
        <f aca="false">IF(OR(NOT(ISNUMBER(D34)),NOT(ISNUMBER(INDEX(valor_asignado!$C:$C,MATCH(B34,valor_asignado!$B:$B,0)))),NOT(ISNUMBER(SQRT(E34^2+INDEX(valor_asignado!$H:$H,MATCH(B34,valor_asignado!$B:$B,0))^2))),SQRT(E34^2+INDEX(valor_asignado!$H:$H,MATCH(B34,valor_asignado!$B:$B,0))^2)=0),"",(D34-INDEX(valor_asignado!$C:$C,MATCH(B34,valor_asignado!$B:$B,0)))/SQRT(E34^2+INDEX(valor_asignado!$H:$H,MATCH(B34,valor_asignado!$B:$B,0))^2))</f>
        <v>0.782216027014557</v>
      </c>
      <c r="K34" s="5" t="str">
        <f aca="false">IF(J34="","N/A",IF(ABS(J34)&lt;=2,"Satisfactorio",IF(ABS(J34)&lt;3,"Cuestionable","No satisfactorio")))</f>
        <v>Satisfactorio</v>
      </c>
      <c r="L34" s="4" t="n">
        <f aca="false">IF(OR(NOT(ISNUMBER(D34)),NOT(ISNUMBER(INDEX(valor_asignado!$C:$C,MATCH(B34,valor_asignado!$B:$B,0)))),NOT(ISNUMBER(SQRT((2*E34)^2+(2*INDEX(valor_asignado!$H:$H,MATCH(B34,valor_asignado!$B:$B,0)))^2))),SQRT((2*E34)^2+(2*INDEX(valor_asignado!$H:$H,MATCH(B34,valor_asignado!$B:$B,0)))^2)=0),"",(D34-INDEX(valor_asignado!$C:$C,MATCH(B34,valor_asignado!$B:$B,0)))/SQRT((2*E34)^2+(2*INDEX(valor_asignado!$H:$H,MATCH(B34,valor_asignado!$B:$B,0)))^2))</f>
        <v>0.391108013507279</v>
      </c>
      <c r="M34" s="5" t="str">
        <f aca="false">IF(L34="","N/A",IF(ABS(L34)&lt;=1,"Satisfactorio","No satisfactorio"))</f>
        <v>Satisfactorio</v>
      </c>
      <c r="N34" s="5" t="str">
        <f aca="false">IF(AND(SUM(IF(AND(D34="",validacion_snapshot!$U$81=""),0,IFERROR(ABS(D34-validacion_snapshot!$U$81),1E+099)),IF(AND(E34="",validacion_snapshot!$V$81=""),0,IFERROR(ABS(E34-validacion_snapshot!$V$81),1E+099)),IF(AND(F34="",validacion_snapshot!$W$81=""),0,IFERROR(ABS(F34-validacion_snapshot!$W$81),1E+099)),IF(AND(H34="",validacion_snapshot!$Y$81=""),0,IFERROR(ABS(H34-validacion_snapshot!$Y$81),1E+099)),IF(AND(J34="",validacion_snapshot!$AA$81=""),0,IFERROR(ABS(J34-validacion_snapshot!$AA$81),1E+099)),IF(AND(L34="",validacion_snapshot!$AC$81=""),0,IFERROR(ABS(L34-validacion_snapshot!$AC$81),1E+099)))&lt;=0.00000001,G34=validacion_snapshot!$X$81,I34=validacion_snapshot!$Z$81,K34=validacion_snapshot!$AB$81,M34=validacion_snapshot!$AD$81),"OK","FALLA")</f>
        <v>OK</v>
      </c>
    </row>
    <row r="35" customFormat="false" ht="15" hidden="false" customHeight="false" outlineLevel="0" collapsed="false">
      <c r="A35" s="3"/>
      <c r="B35" s="3" t="s">
        <v>193</v>
      </c>
      <c r="C35" s="3" t="s">
        <v>135</v>
      </c>
      <c r="D35" s="4" t="n">
        <f aca="false">INDEX(datos_participantes!$D:$D,MATCH(C35,datos_participantes!$A:$A,0))</f>
        <v>79.9916666666667</v>
      </c>
      <c r="E35" s="4" t="n">
        <f aca="false">INDEX(datos_participantes!$F:$F,MATCH(C35,datos_participantes!$A:$A,0))</f>
        <v>0.00466154333165642</v>
      </c>
      <c r="F35" s="4" t="n">
        <f aca="false">IF(OR(NOT(ISNUMBER(D35)),NOT(ISNUMBER(INDEX(valor_asignado!$C:$C,MATCH(B35,valor_asignado!$B:$B,0)))),NOT(ISNUMBER(INDEX(valor_asignado!$D:$D,MATCH(B35,valor_asignado!$B:$B,0)))),INDEX(valor_asignado!$D:$D,MATCH(B35,valor_asignado!$B:$B,0))=0),"",(D35-INDEX(valor_asignado!$C:$C,MATCH(B35,valor_asignado!$B:$B,0)))/INDEX(valor_asignado!$D:$D,MATCH(B35,valor_asignado!$B:$B,0)))</f>
        <v>-0.813967478437528</v>
      </c>
      <c r="G35" s="5" t="str">
        <f aca="false">IF(F35="","N/A",IF(ABS(F35)&lt;=2,"Satisfactorio",IF(ABS(F35)&lt;3,"Cuestionable","No satisfactorio")))</f>
        <v>Satisfactorio</v>
      </c>
      <c r="H35" s="4" t="n">
        <f aca="false">IF(OR(NOT(ISNUMBER(D35)),NOT(ISNUMBER(INDEX(valor_asignado!$C:$C,MATCH(B35,valor_asignado!$B:$B,0)))),NOT(ISNUMBER(SQRT(INDEX(valor_asignado!$D:$D,MATCH(B35,valor_asignado!$B:$B,0))^2+INDEX(valor_asignado!$H:$H,MATCH(B35,valor_asignado!$B:$B,0))^2))),SQRT(INDEX(valor_asignado!$D:$D,MATCH(B35,valor_asignado!$B:$B,0))^2+INDEX(valor_asignado!$H:$H,MATCH(B35,valor_asignado!$B:$B,0))^2)=0),"",(D35-INDEX(valor_asignado!$C:$C,MATCH(B35,valor_asignado!$B:$B,0)))/SQRT(INDEX(valor_asignado!$D:$D,MATCH(B35,valor_asignado!$B:$B,0))^2+INDEX(valor_asignado!$H:$H,MATCH(B35,valor_asignado!$B:$B,0))^2))</f>
        <v>-0.310894135858732</v>
      </c>
      <c r="I35" s="5" t="str">
        <f aca="false">IF(H35="","N/A",IF(ABS(H35)&lt;=2,"Satisfactorio",IF(ABS(H35)&lt;3,"Cuestionable","No satisfactorio")))</f>
        <v>Satisfactorio</v>
      </c>
      <c r="J35" s="4" t="n">
        <f aca="false">IF(OR(NOT(ISNUMBER(D35)),NOT(ISNUMBER(INDEX(valor_asignado!$C:$C,MATCH(B35,valor_asignado!$B:$B,0)))),NOT(ISNUMBER(SQRT(E35^2+INDEX(valor_asignado!$H:$H,MATCH(B35,valor_asignado!$B:$B,0))^2))),SQRT(E35^2+INDEX(valor_asignado!$H:$H,MATCH(B35,valor_asignado!$B:$B,0))^2)=0),"",(D35-INDEX(valor_asignado!$C:$C,MATCH(B35,valor_asignado!$B:$B,0)))/SQRT(E35^2+INDEX(valor_asignado!$H:$H,MATCH(B35,valor_asignado!$B:$B,0))^2))</f>
        <v>-0.336334149069585</v>
      </c>
      <c r="K35" s="5" t="str">
        <f aca="false">IF(J35="","N/A",IF(ABS(J35)&lt;=2,"Satisfactorio",IF(ABS(J35)&lt;3,"Cuestionable","No satisfactorio")))</f>
        <v>Satisfactorio</v>
      </c>
      <c r="L35" s="4" t="n">
        <f aca="false">IF(OR(NOT(ISNUMBER(D35)),NOT(ISNUMBER(INDEX(valor_asignado!$C:$C,MATCH(B35,valor_asignado!$B:$B,0)))),NOT(ISNUMBER(SQRT((2*E35)^2+(2*INDEX(valor_asignado!$H:$H,MATCH(B35,valor_asignado!$B:$B,0)))^2))),SQRT((2*E35)^2+(2*INDEX(valor_asignado!$H:$H,MATCH(B35,valor_asignado!$B:$B,0)))^2)=0),"",(D35-INDEX(valor_asignado!$C:$C,MATCH(B35,valor_asignado!$B:$B,0)))/SQRT((2*E35)^2+(2*INDEX(valor_asignado!$H:$H,MATCH(B35,valor_asignado!$B:$B,0)))^2))</f>
        <v>-0.168167074534792</v>
      </c>
      <c r="M35" s="5" t="str">
        <f aca="false">IF(L35="","N/A",IF(ABS(L35)&lt;=1,"Satisfactorio","No satisfactorio"))</f>
        <v>Satisfactorio</v>
      </c>
      <c r="N35" s="5" t="str">
        <f aca="false">IF(AND(SUM(IF(AND(D35="",validacion_snapshot!$U$82=""),0,IFERROR(ABS(D35-validacion_snapshot!$U$82),1E+099)),IF(AND(E35="",validacion_snapshot!$V$82=""),0,IFERROR(ABS(E35-validacion_snapshot!$V$82),1E+099)),IF(AND(F35="",validacion_snapshot!$W$82=""),0,IFERROR(ABS(F35-validacion_snapshot!$W$82),1E+099)),IF(AND(H35="",validacion_snapshot!$Y$82=""),0,IFERROR(ABS(H35-validacion_snapshot!$Y$82),1E+099)),IF(AND(J35="",validacion_snapshot!$AA$82=""),0,IFERROR(ABS(J35-validacion_snapshot!$AA$82),1E+099)),IF(AND(L35="",validacion_snapshot!$AC$82=""),0,IFERROR(ABS(L35-validacion_snapshot!$AC$82),1E+099)))&lt;=0.00000001,G35=validacion_snapshot!$X$82,I35=validacion_snapshot!$Z$82,K35=validacion_snapshot!$AB$82,M35=validacion_snapshot!$AD$82),"OK","FALLA")</f>
        <v>OK</v>
      </c>
    </row>
    <row r="36" customFormat="false" ht="15" hidden="false" customHeight="false" outlineLevel="0" collapsed="false">
      <c r="A36" s="3"/>
      <c r="B36" s="3" t="s">
        <v>193</v>
      </c>
      <c r="C36" s="3" t="s">
        <v>136</v>
      </c>
      <c r="D36" s="4" t="n">
        <f aca="false">INDEX(datos_participantes!$D:$D,MATCH(C36,datos_participantes!$A:$A,0))</f>
        <v>80.0473333333333</v>
      </c>
      <c r="E36" s="4" t="n">
        <f aca="false">INDEX(datos_participantes!$F:$F,MATCH(C36,datos_participantes!$A:$A,0))</f>
        <v>0.100944697094177</v>
      </c>
      <c r="F36" s="4" t="n">
        <f aca="false">IF(OR(NOT(ISNUMBER(D36)),NOT(ISNUMBER(INDEX(valor_asignado!$C:$C,MATCH(B36,valor_asignado!$B:$B,0)))),NOT(ISNUMBER(INDEX(valor_asignado!$D:$D,MATCH(B36,valor_asignado!$B:$B,0)))),INDEX(valor_asignado!$D:$D,MATCH(B36,valor_asignado!$B:$B,0))=0),"",(D36-INDEX(valor_asignado!$C:$C,MATCH(B36,valor_asignado!$B:$B,0)))/INDEX(valor_asignado!$D:$D,MATCH(B36,valor_asignado!$B:$B,0)))</f>
        <v>-0.247581774691818</v>
      </c>
      <c r="G36" s="5" t="str">
        <f aca="false">IF(F36="","N/A",IF(ABS(F36)&lt;=2,"Satisfactorio",IF(ABS(F36)&lt;3,"Cuestionable","No satisfactorio")))</f>
        <v>Satisfactorio</v>
      </c>
      <c r="H36" s="4" t="n">
        <f aca="false">IF(OR(NOT(ISNUMBER(D36)),NOT(ISNUMBER(INDEX(valor_asignado!$C:$C,MATCH(B36,valor_asignado!$B:$B,0)))),NOT(ISNUMBER(SQRT(INDEX(valor_asignado!$D:$D,MATCH(B36,valor_asignado!$B:$B,0))^2+INDEX(valor_asignado!$H:$H,MATCH(B36,valor_asignado!$B:$B,0))^2))),SQRT(INDEX(valor_asignado!$D:$D,MATCH(B36,valor_asignado!$B:$B,0))^2+INDEX(valor_asignado!$H:$H,MATCH(B36,valor_asignado!$B:$B,0))^2)=0),"",(D36-INDEX(valor_asignado!$C:$C,MATCH(B36,valor_asignado!$B:$B,0)))/SQRT(INDEX(valor_asignado!$D:$D,MATCH(B36,valor_asignado!$B:$B,0))^2+INDEX(valor_asignado!$H:$H,MATCH(B36,valor_asignado!$B:$B,0))^2))</f>
        <v>-0.0945636329905184</v>
      </c>
      <c r="I36" s="5" t="str">
        <f aca="false">IF(H36="","N/A",IF(ABS(H36)&lt;=2,"Satisfactorio",IF(ABS(H36)&lt;3,"Cuestionable","No satisfactorio")))</f>
        <v>Satisfactorio</v>
      </c>
      <c r="J36" s="4" t="n">
        <f aca="false">IF(OR(NOT(ISNUMBER(D36)),NOT(ISNUMBER(INDEX(valor_asignado!$C:$C,MATCH(B36,valor_asignado!$B:$B,0)))),NOT(ISNUMBER(SQRT(E36^2+INDEX(valor_asignado!$H:$H,MATCH(B36,valor_asignado!$B:$B,0))^2))),SQRT(E36^2+INDEX(valor_asignado!$H:$H,MATCH(B36,valor_asignado!$B:$B,0))^2)=0),"",(D36-INDEX(valor_asignado!$C:$C,MATCH(B36,valor_asignado!$B:$B,0)))/SQRT(E36^2+INDEX(valor_asignado!$H:$H,MATCH(B36,valor_asignado!$B:$B,0))^2))</f>
        <v>-0.09418737606274</v>
      </c>
      <c r="K36" s="5" t="str">
        <f aca="false">IF(J36="","N/A",IF(ABS(J36)&lt;=2,"Satisfactorio",IF(ABS(J36)&lt;3,"Cuestionable","No satisfactorio")))</f>
        <v>Satisfactorio</v>
      </c>
      <c r="L36" s="4" t="n">
        <f aca="false">IF(OR(NOT(ISNUMBER(D36)),NOT(ISNUMBER(INDEX(valor_asignado!$C:$C,MATCH(B36,valor_asignado!$B:$B,0)))),NOT(ISNUMBER(SQRT((2*E36)^2+(2*INDEX(valor_asignado!$H:$H,MATCH(B36,valor_asignado!$B:$B,0)))^2))),SQRT((2*E36)^2+(2*INDEX(valor_asignado!$H:$H,MATCH(B36,valor_asignado!$B:$B,0)))^2)=0),"",(D36-INDEX(valor_asignado!$C:$C,MATCH(B36,valor_asignado!$B:$B,0)))/SQRT((2*E36)^2+(2*INDEX(valor_asignado!$H:$H,MATCH(B36,valor_asignado!$B:$B,0)))^2))</f>
        <v>-0.04709368803137</v>
      </c>
      <c r="M36" s="5" t="str">
        <f aca="false">IF(L36="","N/A",IF(ABS(L36)&lt;=1,"Satisfactorio","No satisfactorio"))</f>
        <v>Satisfactorio</v>
      </c>
      <c r="N36" s="5" t="str">
        <f aca="false">IF(AND(SUM(IF(AND(D36="",validacion_snapshot!$U$83=""),0,IFERROR(ABS(D36-validacion_snapshot!$U$83),1E+099)),IF(AND(E36="",validacion_snapshot!$V$83=""),0,IFERROR(ABS(E36-validacion_snapshot!$V$83),1E+099)),IF(AND(F36="",validacion_snapshot!$W$83=""),0,IFERROR(ABS(F36-validacion_snapshot!$W$83),1E+099)),IF(AND(H36="",validacion_snapshot!$Y$83=""),0,IFERROR(ABS(H36-validacion_snapshot!$Y$83),1E+099)),IF(AND(J36="",validacion_snapshot!$AA$83=""),0,IFERROR(ABS(J36-validacion_snapshot!$AA$83),1E+099)),IF(AND(L36="",validacion_snapshot!$AC$83=""),0,IFERROR(ABS(L36-validacion_snapshot!$AC$83),1E+099)))&lt;=0.00000001,G36=validacion_snapshot!$X$83,I36=validacion_snapshot!$Z$83,K36=validacion_snapshot!$AB$83,M36=validacion_snapshot!$AD$83),"OK","FALLA")</f>
        <v>OK</v>
      </c>
    </row>
    <row r="37" customFormat="false" ht="15" hidden="false" customHeight="false" outlineLevel="0" collapsed="false">
      <c r="A37" s="3"/>
      <c r="B37" s="3" t="s">
        <v>193</v>
      </c>
      <c r="C37" s="3" t="s">
        <v>137</v>
      </c>
      <c r="D37" s="4" t="n">
        <f aca="false">INDEX(datos_participantes!$D:$D,MATCH(C37,datos_participantes!$A:$A,0))</f>
        <v>80.2476666666667</v>
      </c>
      <c r="E37" s="4" t="n">
        <f aca="false">INDEX(datos_participantes!$F:$F,MATCH(C37,datos_participantes!$A:$A,0))</f>
        <v>0.0385972875321689</v>
      </c>
      <c r="F37" s="4" t="n">
        <f aca="false">IF(OR(NOT(ISNUMBER(D37)),NOT(ISNUMBER(INDEX(valor_asignado!$C:$C,MATCH(B37,valor_asignado!$B:$B,0)))),NOT(ISNUMBER(INDEX(valor_asignado!$D:$D,MATCH(B37,valor_asignado!$B:$B,0)))),INDEX(valor_asignado!$D:$D,MATCH(B37,valor_asignado!$B:$B,0))=0),"",(D37-INDEX(valor_asignado!$C:$C,MATCH(B37,valor_asignado!$B:$B,0)))/INDEX(valor_asignado!$D:$D,MATCH(B37,valor_asignado!$B:$B,0)))</f>
        <v>1.79072845256401</v>
      </c>
      <c r="G37" s="5" t="str">
        <f aca="false">IF(F37="","N/A",IF(ABS(F37)&lt;=2,"Satisfactorio",IF(ABS(F37)&lt;3,"Cuestionable","No satisfactorio")))</f>
        <v>Satisfactorio</v>
      </c>
      <c r="H37" s="4" t="n">
        <f aca="false">IF(OR(NOT(ISNUMBER(D37)),NOT(ISNUMBER(INDEX(valor_asignado!$C:$C,MATCH(B37,valor_asignado!$B:$B,0)))),NOT(ISNUMBER(SQRT(INDEX(valor_asignado!$D:$D,MATCH(B37,valor_asignado!$B:$B,0))^2+INDEX(valor_asignado!$H:$H,MATCH(B37,valor_asignado!$B:$B,0))^2))),SQRT(INDEX(valor_asignado!$D:$D,MATCH(B37,valor_asignado!$B:$B,0))^2+INDEX(valor_asignado!$H:$H,MATCH(B37,valor_asignado!$B:$B,0))^2)=0),"",(D37-INDEX(valor_asignado!$C:$C,MATCH(B37,valor_asignado!$B:$B,0)))/SQRT(INDEX(valor_asignado!$D:$D,MATCH(B37,valor_asignado!$B:$B,0))^2+INDEX(valor_asignado!$H:$H,MATCH(B37,valor_asignado!$B:$B,0))^2))</f>
        <v>0.683967098889762</v>
      </c>
      <c r="I37" s="5" t="str">
        <f aca="false">IF(H37="","N/A",IF(ABS(H37)&lt;=2,"Satisfactorio",IF(ABS(H37)&lt;3,"Cuestionable","No satisfactorio")))</f>
        <v>Satisfactorio</v>
      </c>
      <c r="J37" s="4" t="n">
        <f aca="false">IF(OR(NOT(ISNUMBER(D37)),NOT(ISNUMBER(INDEX(valor_asignado!$C:$C,MATCH(B37,valor_asignado!$B:$B,0)))),NOT(ISNUMBER(SQRT(E37^2+INDEX(valor_asignado!$H:$H,MATCH(B37,valor_asignado!$B:$B,0))^2))),SQRT(E37^2+INDEX(valor_asignado!$H:$H,MATCH(B37,valor_asignado!$B:$B,0))^2)=0),"",(D37-INDEX(valor_asignado!$C:$C,MATCH(B37,valor_asignado!$B:$B,0)))/SQRT(E37^2+INDEX(valor_asignado!$H:$H,MATCH(B37,valor_asignado!$B:$B,0))^2))</f>
        <v>0.73051829147825</v>
      </c>
      <c r="K37" s="5" t="str">
        <f aca="false">IF(J37="","N/A",IF(ABS(J37)&lt;=2,"Satisfactorio",IF(ABS(J37)&lt;3,"Cuestionable","No satisfactorio")))</f>
        <v>Satisfactorio</v>
      </c>
      <c r="L37" s="4" t="n">
        <f aca="false">IF(OR(NOT(ISNUMBER(D37)),NOT(ISNUMBER(INDEX(valor_asignado!$C:$C,MATCH(B37,valor_asignado!$B:$B,0)))),NOT(ISNUMBER(SQRT((2*E37)^2+(2*INDEX(valor_asignado!$H:$H,MATCH(B37,valor_asignado!$B:$B,0)))^2))),SQRT((2*E37)^2+(2*INDEX(valor_asignado!$H:$H,MATCH(B37,valor_asignado!$B:$B,0)))^2)=0),"",(D37-INDEX(valor_asignado!$C:$C,MATCH(B37,valor_asignado!$B:$B,0)))/SQRT((2*E37)^2+(2*INDEX(valor_asignado!$H:$H,MATCH(B37,valor_asignado!$B:$B,0)))^2))</f>
        <v>0.365259145739125</v>
      </c>
      <c r="M37" s="5" t="str">
        <f aca="false">IF(L37="","N/A",IF(ABS(L37)&lt;=1,"Satisfactorio","No satisfactorio"))</f>
        <v>Satisfactorio</v>
      </c>
      <c r="N37" s="5" t="str">
        <f aca="false">IF(AND(SUM(IF(AND(D37="",validacion_snapshot!$U$84=""),0,IFERROR(ABS(D37-validacion_snapshot!$U$84),1E+099)),IF(AND(E37="",validacion_snapshot!$V$84=""),0,IFERROR(ABS(E37-validacion_snapshot!$V$84),1E+099)),IF(AND(F37="",validacion_snapshot!$W$84=""),0,IFERROR(ABS(F37-validacion_snapshot!$W$84),1E+099)),IF(AND(H37="",validacion_snapshot!$Y$84=""),0,IFERROR(ABS(H37-validacion_snapshot!$Y$84),1E+099)),IF(AND(J37="",validacion_snapshot!$AA$84=""),0,IFERROR(ABS(J37-validacion_snapshot!$AA$84),1E+099)),IF(AND(L37="",validacion_snapshot!$AC$84=""),0,IFERROR(ABS(L37-validacion_snapshot!$AC$84),1E+099)))&lt;=0.00000001,G37=validacion_snapshot!$X$84,I37=validacion_snapshot!$Z$84,K37=validacion_snapshot!$AB$84,M37=validacion_snapshot!$AD$84),"OK","FALLA")</f>
        <v>OK</v>
      </c>
    </row>
    <row r="38" customFormat="false" ht="15" hidden="false" customHeight="false" outlineLevel="0" collapsed="false">
      <c r="A38" s="3"/>
      <c r="B38" s="3" t="s">
        <v>195</v>
      </c>
      <c r="C38" s="3" t="s">
        <v>126</v>
      </c>
      <c r="D38" s="4" t="n">
        <f aca="false">INDEX(datos_participantes!$D:$D,MATCH(C38,datos_participantes!$A:$A,0))</f>
        <v>80.2293333333333</v>
      </c>
      <c r="E38" s="4" t="n">
        <f aca="false">INDEX(datos_participantes!$F:$F,MATCH(C38,datos_participantes!$A:$A,0))</f>
        <v>0.0306434083253844</v>
      </c>
      <c r="F38" s="4" t="n">
        <f aca="false">IF(OR(NOT(ISNUMBER(D38)),NOT(ISNUMBER(INDEX(valor_asignado!$C:$C,MATCH(B38,valor_asignado!$B:$B,0)))),NOT(ISNUMBER(INDEX(valor_asignado!$D:$D,MATCH(B38,valor_asignado!$B:$B,0)))),INDEX(valor_asignado!$D:$D,MATCH(B38,valor_asignado!$B:$B,0))=0),"",(D38-INDEX(valor_asignado!$C:$C,MATCH(B38,valor_asignado!$B:$B,0)))/INDEX(valor_asignado!$D:$D,MATCH(B38,valor_asignado!$B:$B,0)))</f>
        <v>1.14068040223008</v>
      </c>
      <c r="G38" s="5" t="str">
        <f aca="false">IF(F38="","N/A",IF(ABS(F38)&lt;=2,"Satisfactorio",IF(ABS(F38)&lt;3,"Cuestionable","No satisfactorio")))</f>
        <v>Satisfactorio</v>
      </c>
      <c r="H38" s="4" t="n">
        <f aca="false">IF(OR(NOT(ISNUMBER(D38)),NOT(ISNUMBER(INDEX(valor_asignado!$C:$C,MATCH(B38,valor_asignado!$B:$B,0)))),NOT(ISNUMBER(SQRT(INDEX(valor_asignado!$D:$D,MATCH(B38,valor_asignado!$B:$B,0))^2+INDEX(valor_asignado!$H:$H,MATCH(B38,valor_asignado!$B:$B,0))^2))),SQRT(INDEX(valor_asignado!$D:$D,MATCH(B38,valor_asignado!$B:$B,0))^2+INDEX(valor_asignado!$H:$H,MATCH(B38,valor_asignado!$B:$B,0))^2)=0),"",(D38-INDEX(valor_asignado!$C:$C,MATCH(B38,valor_asignado!$B:$B,0)))/SQRT(INDEX(valor_asignado!$D:$D,MATCH(B38,valor_asignado!$B:$B,0))^2+INDEX(valor_asignado!$H:$H,MATCH(B38,valor_asignado!$B:$B,0))^2))</f>
        <v>0.479454599341574</v>
      </c>
      <c r="I38" s="5" t="str">
        <f aca="false">IF(H38="","N/A",IF(ABS(H38)&lt;=2,"Satisfactorio",IF(ABS(H38)&lt;3,"Cuestionable","No satisfactorio")))</f>
        <v>Satisfactorio</v>
      </c>
      <c r="J38" s="4" t="n">
        <f aca="false">IF(OR(NOT(ISNUMBER(D38)),NOT(ISNUMBER(INDEX(valor_asignado!$C:$C,MATCH(B38,valor_asignado!$B:$B,0)))),NOT(ISNUMBER(SQRT(E38^2+INDEX(valor_asignado!$H:$H,MATCH(B38,valor_asignado!$B:$B,0))^2))),SQRT(E38^2+INDEX(valor_asignado!$H:$H,MATCH(B38,valor_asignado!$B:$B,0))^2)=0),"",(D38-INDEX(valor_asignado!$C:$C,MATCH(B38,valor_asignado!$B:$B,0)))/SQRT(E38^2+INDEX(valor_asignado!$H:$H,MATCH(B38,valor_asignado!$B:$B,0))^2))</f>
        <v>0.524089937468942</v>
      </c>
      <c r="K38" s="5" t="str">
        <f aca="false">IF(J38="","N/A",IF(ABS(J38)&lt;=2,"Satisfactorio",IF(ABS(J38)&lt;3,"Cuestionable","No satisfactorio")))</f>
        <v>Satisfactorio</v>
      </c>
      <c r="L38" s="4" t="n">
        <f aca="false">IF(OR(NOT(ISNUMBER(D38)),NOT(ISNUMBER(INDEX(valor_asignado!$C:$C,MATCH(B38,valor_asignado!$B:$B,0)))),NOT(ISNUMBER(SQRT((2*E38)^2+(2*INDEX(valor_asignado!$H:$H,MATCH(B38,valor_asignado!$B:$B,0)))^2))),SQRT((2*E38)^2+(2*INDEX(valor_asignado!$H:$H,MATCH(B38,valor_asignado!$B:$B,0)))^2)=0),"",(D38-INDEX(valor_asignado!$C:$C,MATCH(B38,valor_asignado!$B:$B,0)))/SQRT((2*E38)^2+(2*INDEX(valor_asignado!$H:$H,MATCH(B38,valor_asignado!$B:$B,0)))^2))</f>
        <v>0.262044968734471</v>
      </c>
      <c r="M38" s="5" t="str">
        <f aca="false">IF(L38="","N/A",IF(ABS(L38)&lt;=1,"Satisfactorio","No satisfactorio"))</f>
        <v>Satisfactorio</v>
      </c>
      <c r="N38" s="5" t="str">
        <f aca="false">IF(AND(SUM(IF(AND(D38="",validacion_snapshot!$U$85=""),0,IFERROR(ABS(D38-validacion_snapshot!$U$85),1E+099)),IF(AND(E38="",validacion_snapshot!$V$85=""),0,IFERROR(ABS(E38-validacion_snapshot!$V$85),1E+099)),IF(AND(F38="",validacion_snapshot!$W$85=""),0,IFERROR(ABS(F38-validacion_snapshot!$W$85),1E+099)),IF(AND(H38="",validacion_snapshot!$Y$85=""),0,IFERROR(ABS(H38-validacion_snapshot!$Y$85),1E+099)),IF(AND(J38="",validacion_snapshot!$AA$85=""),0,IFERROR(ABS(J38-validacion_snapshot!$AA$85),1E+099)),IF(AND(L38="",validacion_snapshot!$AC$85=""),0,IFERROR(ABS(L38-validacion_snapshot!$AC$85),1E+099)))&lt;=0.00000001,G38=validacion_snapshot!$X$85,I38=validacion_snapshot!$Z$85,K38=validacion_snapshot!$AB$85,M38=validacion_snapshot!$AD$85),"OK","FALLA")</f>
        <v>OK</v>
      </c>
    </row>
    <row r="39" customFormat="false" ht="15" hidden="false" customHeight="false" outlineLevel="0" collapsed="false">
      <c r="A39" s="3"/>
      <c r="B39" s="3" t="s">
        <v>195</v>
      </c>
      <c r="C39" s="3" t="s">
        <v>127</v>
      </c>
      <c r="D39" s="4" t="n">
        <f aca="false">INDEX(datos_participantes!$D:$D,MATCH(C39,datos_participantes!$A:$A,0))</f>
        <v>80.086</v>
      </c>
      <c r="E39" s="4" t="n">
        <f aca="false">INDEX(datos_participantes!$F:$F,MATCH(C39,datos_participantes!$A:$A,0))</f>
        <v>0.0117087117022311</v>
      </c>
      <c r="F39" s="4" t="n">
        <f aca="false">IF(OR(NOT(ISNUMBER(D39)),NOT(ISNUMBER(INDEX(valor_asignado!$C:$C,MATCH(B39,valor_asignado!$B:$B,0)))),NOT(ISNUMBER(INDEX(valor_asignado!$D:$D,MATCH(B39,valor_asignado!$B:$B,0)))),INDEX(valor_asignado!$D:$D,MATCH(B39,valor_asignado!$B:$B,0))=0),"",(D39-INDEX(valor_asignado!$C:$C,MATCH(B39,valor_asignado!$B:$B,0)))/INDEX(valor_asignado!$D:$D,MATCH(B39,valor_asignado!$B:$B,0)))</f>
        <v>-0.156632993297336</v>
      </c>
      <c r="G39" s="5" t="str">
        <f aca="false">IF(F39="","N/A",IF(ABS(F39)&lt;=2,"Satisfactorio",IF(ABS(F39)&lt;3,"Cuestionable","No satisfactorio")))</f>
        <v>Satisfactorio</v>
      </c>
      <c r="H39" s="4" t="n">
        <f aca="false">IF(OR(NOT(ISNUMBER(D39)),NOT(ISNUMBER(INDEX(valor_asignado!$C:$C,MATCH(B39,valor_asignado!$B:$B,0)))),NOT(ISNUMBER(SQRT(INDEX(valor_asignado!$D:$D,MATCH(B39,valor_asignado!$B:$B,0))^2+INDEX(valor_asignado!$H:$H,MATCH(B39,valor_asignado!$B:$B,0))^2))),SQRT(INDEX(valor_asignado!$D:$D,MATCH(B39,valor_asignado!$B:$B,0))^2+INDEX(valor_asignado!$H:$H,MATCH(B39,valor_asignado!$B:$B,0))^2)=0),"",(D39-INDEX(valor_asignado!$C:$C,MATCH(B39,valor_asignado!$B:$B,0)))/SQRT(INDEX(valor_asignado!$D:$D,MATCH(B39,valor_asignado!$B:$B,0))^2+INDEX(valor_asignado!$H:$H,MATCH(B39,valor_asignado!$B:$B,0))^2))</f>
        <v>-0.0658365032819232</v>
      </c>
      <c r="I39" s="5" t="str">
        <f aca="false">IF(H39="","N/A",IF(ABS(H39)&lt;=2,"Satisfactorio",IF(ABS(H39)&lt;3,"Cuestionable","No satisfactorio")))</f>
        <v>Satisfactorio</v>
      </c>
      <c r="J39" s="4" t="n">
        <f aca="false">IF(OR(NOT(ISNUMBER(D39)),NOT(ISNUMBER(INDEX(valor_asignado!$C:$C,MATCH(B39,valor_asignado!$B:$B,0)))),NOT(ISNUMBER(SQRT(E39^2+INDEX(valor_asignado!$H:$H,MATCH(B39,valor_asignado!$B:$B,0))^2))),SQRT(E39^2+INDEX(valor_asignado!$H:$H,MATCH(B39,valor_asignado!$B:$B,0))^2)=0),"",(D39-INDEX(valor_asignado!$C:$C,MATCH(B39,valor_asignado!$B:$B,0)))/SQRT(E39^2+INDEX(valor_asignado!$H:$H,MATCH(B39,valor_asignado!$B:$B,0))^2))</f>
        <v>-0.0724698819782216</v>
      </c>
      <c r="K39" s="5" t="str">
        <f aca="false">IF(J39="","N/A",IF(ABS(J39)&lt;=2,"Satisfactorio",IF(ABS(J39)&lt;3,"Cuestionable","No satisfactorio")))</f>
        <v>Satisfactorio</v>
      </c>
      <c r="L39" s="4" t="n">
        <f aca="false">IF(OR(NOT(ISNUMBER(D39)),NOT(ISNUMBER(INDEX(valor_asignado!$C:$C,MATCH(B39,valor_asignado!$B:$B,0)))),NOT(ISNUMBER(SQRT((2*E39)^2+(2*INDEX(valor_asignado!$H:$H,MATCH(B39,valor_asignado!$B:$B,0)))^2))),SQRT((2*E39)^2+(2*INDEX(valor_asignado!$H:$H,MATCH(B39,valor_asignado!$B:$B,0)))^2)=0),"",(D39-INDEX(valor_asignado!$C:$C,MATCH(B39,valor_asignado!$B:$B,0)))/SQRT((2*E39)^2+(2*INDEX(valor_asignado!$H:$H,MATCH(B39,valor_asignado!$B:$B,0)))^2))</f>
        <v>-0.0362349409891108</v>
      </c>
      <c r="M39" s="5" t="str">
        <f aca="false">IF(L39="","N/A",IF(ABS(L39)&lt;=1,"Satisfactorio","No satisfactorio"))</f>
        <v>Satisfactorio</v>
      </c>
      <c r="N39" s="5" t="str">
        <f aca="false">IF(AND(SUM(IF(AND(D39="",validacion_snapshot!$U$86=""),0,IFERROR(ABS(D39-validacion_snapshot!$U$86),1E+099)),IF(AND(E39="",validacion_snapshot!$V$86=""),0,IFERROR(ABS(E39-validacion_snapshot!$V$86),1E+099)),IF(AND(F39="",validacion_snapshot!$W$86=""),0,IFERROR(ABS(F39-validacion_snapshot!$W$86),1E+099)),IF(AND(H39="",validacion_snapshot!$Y$86=""),0,IFERROR(ABS(H39-validacion_snapshot!$Y$86),1E+099)),IF(AND(J39="",validacion_snapshot!$AA$86=""),0,IFERROR(ABS(J39-validacion_snapshot!$AA$86),1E+099)),IF(AND(L39="",validacion_snapshot!$AC$86=""),0,IFERROR(ABS(L39-validacion_snapshot!$AC$86),1E+099)))&lt;=0.00000001,G39=validacion_snapshot!$X$86,I39=validacion_snapshot!$Z$86,K39=validacion_snapshot!$AB$86,M39=validacion_snapshot!$AD$86),"OK","FALLA")</f>
        <v>OK</v>
      </c>
    </row>
    <row r="40" customFormat="false" ht="15" hidden="false" customHeight="false" outlineLevel="0" collapsed="false">
      <c r="A40" s="3"/>
      <c r="B40" s="3" t="s">
        <v>195</v>
      </c>
      <c r="C40" s="3" t="s">
        <v>128</v>
      </c>
      <c r="D40" s="4" t="n">
        <f aca="false">INDEX(datos_participantes!$D:$D,MATCH(C40,datos_participantes!$A:$A,0))</f>
        <v>80.056</v>
      </c>
      <c r="E40" s="4" t="n">
        <f aca="false">INDEX(datos_participantes!$F:$F,MATCH(C40,datos_participantes!$A:$A,0))</f>
        <v>0.0942858874123054</v>
      </c>
      <c r="F40" s="4" t="n">
        <f aca="false">IF(OR(NOT(ISNUMBER(D40)),NOT(ISNUMBER(INDEX(valor_asignado!$C:$C,MATCH(B40,valor_asignado!$B:$B,0)))),NOT(ISNUMBER(INDEX(valor_asignado!$D:$D,MATCH(B40,valor_asignado!$B:$B,0)))),INDEX(valor_asignado!$D:$D,MATCH(B40,valor_asignado!$B:$B,0))=0),"",(D40-INDEX(valor_asignado!$C:$C,MATCH(B40,valor_asignado!$B:$B,0)))/INDEX(valor_asignado!$D:$D,MATCH(B40,valor_asignado!$B:$B,0)))</f>
        <v>-0.428163703989189</v>
      </c>
      <c r="G40" s="5" t="str">
        <f aca="false">IF(F40="","N/A",IF(ABS(F40)&lt;=2,"Satisfactorio",IF(ABS(F40)&lt;3,"Cuestionable","No satisfactorio")))</f>
        <v>Satisfactorio</v>
      </c>
      <c r="H40" s="4" t="n">
        <f aca="false">IF(OR(NOT(ISNUMBER(D40)),NOT(ISNUMBER(INDEX(valor_asignado!$C:$C,MATCH(B40,valor_asignado!$B:$B,0)))),NOT(ISNUMBER(SQRT(INDEX(valor_asignado!$D:$D,MATCH(B40,valor_asignado!$B:$B,0))^2+INDEX(valor_asignado!$H:$H,MATCH(B40,valor_asignado!$B:$B,0))^2))),SQRT(INDEX(valor_asignado!$D:$D,MATCH(B40,valor_asignado!$B:$B,0))^2+INDEX(valor_asignado!$H:$H,MATCH(B40,valor_asignado!$B:$B,0))^2)=0),"",(D40-INDEX(valor_asignado!$C:$C,MATCH(B40,valor_asignado!$B:$B,0)))/SQRT(INDEX(valor_asignado!$D:$D,MATCH(B40,valor_asignado!$B:$B,0))^2+INDEX(valor_asignado!$H:$H,MATCH(B40,valor_asignado!$B:$B,0))^2))</f>
        <v>-0.179967199179893</v>
      </c>
      <c r="I40" s="5" t="str">
        <f aca="false">IF(H40="","N/A",IF(ABS(H40)&lt;=2,"Satisfactorio",IF(ABS(H40)&lt;3,"Cuestionable","No satisfactorio")))</f>
        <v>Satisfactorio</v>
      </c>
      <c r="J40" s="4" t="n">
        <f aca="false">IF(OR(NOT(ISNUMBER(D40)),NOT(ISNUMBER(INDEX(valor_asignado!$C:$C,MATCH(B40,valor_asignado!$B:$B,0)))),NOT(ISNUMBER(SQRT(E40^2+INDEX(valor_asignado!$H:$H,MATCH(B40,valor_asignado!$B:$B,0))^2))),SQRT(E40^2+INDEX(valor_asignado!$H:$H,MATCH(B40,valor_asignado!$B:$B,0))^2)=0),"",(D40-INDEX(valor_asignado!$C:$C,MATCH(B40,valor_asignado!$B:$B,0)))/SQRT(E40^2+INDEX(valor_asignado!$H:$H,MATCH(B40,valor_asignado!$B:$B,0))^2))</f>
        <v>-0.184449179075156</v>
      </c>
      <c r="K40" s="5" t="str">
        <f aca="false">IF(J40="","N/A",IF(ABS(J40)&lt;=2,"Satisfactorio",IF(ABS(J40)&lt;3,"Cuestionable","No satisfactorio")))</f>
        <v>Satisfactorio</v>
      </c>
      <c r="L40" s="4" t="n">
        <f aca="false">IF(OR(NOT(ISNUMBER(D40)),NOT(ISNUMBER(INDEX(valor_asignado!$C:$C,MATCH(B40,valor_asignado!$B:$B,0)))),NOT(ISNUMBER(SQRT((2*E40)^2+(2*INDEX(valor_asignado!$H:$H,MATCH(B40,valor_asignado!$B:$B,0)))^2))),SQRT((2*E40)^2+(2*INDEX(valor_asignado!$H:$H,MATCH(B40,valor_asignado!$B:$B,0)))^2)=0),"",(D40-INDEX(valor_asignado!$C:$C,MATCH(B40,valor_asignado!$B:$B,0)))/SQRT((2*E40)^2+(2*INDEX(valor_asignado!$H:$H,MATCH(B40,valor_asignado!$B:$B,0)))^2))</f>
        <v>-0.0922245895375779</v>
      </c>
      <c r="M40" s="5" t="str">
        <f aca="false">IF(L40="","N/A",IF(ABS(L40)&lt;=1,"Satisfactorio","No satisfactorio"))</f>
        <v>Satisfactorio</v>
      </c>
      <c r="N40" s="5" t="str">
        <f aca="false">IF(AND(SUM(IF(AND(D40="",validacion_snapshot!$U$87=""),0,IFERROR(ABS(D40-validacion_snapshot!$U$87),1E+099)),IF(AND(E40="",validacion_snapshot!$V$87=""),0,IFERROR(ABS(E40-validacion_snapshot!$V$87),1E+099)),IF(AND(F40="",validacion_snapshot!$W$87=""),0,IFERROR(ABS(F40-validacion_snapshot!$W$87),1E+099)),IF(AND(H40="",validacion_snapshot!$Y$87=""),0,IFERROR(ABS(H40-validacion_snapshot!$Y$87),1E+099)),IF(AND(J40="",validacion_snapshot!$AA$87=""),0,IFERROR(ABS(J40-validacion_snapshot!$AA$87),1E+099)),IF(AND(L40="",validacion_snapshot!$AC$87=""),0,IFERROR(ABS(L40-validacion_snapshot!$AC$87),1E+099)))&lt;=0.00000001,G40=validacion_snapshot!$X$87,I40=validacion_snapshot!$Z$87,K40=validacion_snapshot!$AB$87,M40=validacion_snapshot!$AD$87),"OK","FALLA")</f>
        <v>OK</v>
      </c>
    </row>
    <row r="41" customFormat="false" ht="15" hidden="false" customHeight="false" outlineLevel="0" collapsed="false">
      <c r="A41" s="3"/>
      <c r="B41" s="3" t="s">
        <v>195</v>
      </c>
      <c r="C41" s="3" t="s">
        <v>129</v>
      </c>
      <c r="D41" s="4" t="n">
        <f aca="false">INDEX(datos_participantes!$D:$D,MATCH(C41,datos_participantes!$A:$A,0))</f>
        <v>80.031</v>
      </c>
      <c r="E41" s="4" t="n">
        <f aca="false">INDEX(datos_participantes!$F:$F,MATCH(C41,datos_participantes!$A:$A,0))</f>
        <v>0.0924819264641932</v>
      </c>
      <c r="F41" s="4" t="n">
        <f aca="false">IF(OR(NOT(ISNUMBER(D41)),NOT(ISNUMBER(INDEX(valor_asignado!$C:$C,MATCH(B41,valor_asignado!$B:$B,0)))),NOT(ISNUMBER(INDEX(valor_asignado!$D:$D,MATCH(B41,valor_asignado!$B:$B,0)))),INDEX(valor_asignado!$D:$D,MATCH(B41,valor_asignado!$B:$B,0))=0),"",(D41-INDEX(valor_asignado!$C:$C,MATCH(B41,valor_asignado!$B:$B,0)))/INDEX(valor_asignado!$D:$D,MATCH(B41,valor_asignado!$B:$B,0)))</f>
        <v>-0.654439296232314</v>
      </c>
      <c r="G41" s="5" t="str">
        <f aca="false">IF(F41="","N/A",IF(ABS(F41)&lt;=2,"Satisfactorio",IF(ABS(F41)&lt;3,"Cuestionable","No satisfactorio")))</f>
        <v>Satisfactorio</v>
      </c>
      <c r="H41" s="4" t="n">
        <f aca="false">IF(OR(NOT(ISNUMBER(D41)),NOT(ISNUMBER(INDEX(valor_asignado!$C:$C,MATCH(B41,valor_asignado!$B:$B,0)))),NOT(ISNUMBER(SQRT(INDEX(valor_asignado!$D:$D,MATCH(B41,valor_asignado!$B:$B,0))^2+INDEX(valor_asignado!$H:$H,MATCH(B41,valor_asignado!$B:$B,0))^2))),SQRT(INDEX(valor_asignado!$D:$D,MATCH(B41,valor_asignado!$B:$B,0))^2+INDEX(valor_asignado!$H:$H,MATCH(B41,valor_asignado!$B:$B,0))^2)=0),"",(D41-INDEX(valor_asignado!$C:$C,MATCH(B41,valor_asignado!$B:$B,0)))/SQRT(INDEX(valor_asignado!$D:$D,MATCH(B41,valor_asignado!$B:$B,0))^2+INDEX(valor_asignado!$H:$H,MATCH(B41,valor_asignado!$B:$B,0))^2))</f>
        <v>-0.275076112428166</v>
      </c>
      <c r="I41" s="5" t="str">
        <f aca="false">IF(H41="","N/A",IF(ABS(H41)&lt;=2,"Satisfactorio",IF(ABS(H41)&lt;3,"Cuestionable","No satisfactorio")))</f>
        <v>Satisfactorio</v>
      </c>
      <c r="J41" s="4" t="n">
        <f aca="false">IF(OR(NOT(ISNUMBER(D41)),NOT(ISNUMBER(INDEX(valor_asignado!$C:$C,MATCH(B41,valor_asignado!$B:$B,0)))),NOT(ISNUMBER(SQRT(E41^2+INDEX(valor_asignado!$H:$H,MATCH(B41,valor_asignado!$B:$B,0))^2))),SQRT(E41^2+INDEX(valor_asignado!$H:$H,MATCH(B41,valor_asignado!$B:$B,0))^2)=0),"",(D41-INDEX(valor_asignado!$C:$C,MATCH(B41,valor_asignado!$B:$B,0)))/SQRT(E41^2+INDEX(valor_asignado!$H:$H,MATCH(B41,valor_asignado!$B:$B,0))^2))</f>
        <v>-0.282651556539046</v>
      </c>
      <c r="K41" s="5" t="str">
        <f aca="false">IF(J41="","N/A",IF(ABS(J41)&lt;=2,"Satisfactorio",IF(ABS(J41)&lt;3,"Cuestionable","No satisfactorio")))</f>
        <v>Satisfactorio</v>
      </c>
      <c r="L41" s="4" t="n">
        <f aca="false">IF(OR(NOT(ISNUMBER(D41)),NOT(ISNUMBER(INDEX(valor_asignado!$C:$C,MATCH(B41,valor_asignado!$B:$B,0)))),NOT(ISNUMBER(SQRT((2*E41)^2+(2*INDEX(valor_asignado!$H:$H,MATCH(B41,valor_asignado!$B:$B,0)))^2))),SQRT((2*E41)^2+(2*INDEX(valor_asignado!$H:$H,MATCH(B41,valor_asignado!$B:$B,0)))^2)=0),"",(D41-INDEX(valor_asignado!$C:$C,MATCH(B41,valor_asignado!$B:$B,0)))/SQRT((2*E41)^2+(2*INDEX(valor_asignado!$H:$H,MATCH(B41,valor_asignado!$B:$B,0)))^2))</f>
        <v>-0.141325778269523</v>
      </c>
      <c r="M41" s="5" t="str">
        <f aca="false">IF(L41="","N/A",IF(ABS(L41)&lt;=1,"Satisfactorio","No satisfactorio"))</f>
        <v>Satisfactorio</v>
      </c>
      <c r="N41" s="5" t="str">
        <f aca="false">IF(AND(SUM(IF(AND(D41="",validacion_snapshot!$U$88=""),0,IFERROR(ABS(D41-validacion_snapshot!$U$88),1E+099)),IF(AND(E41="",validacion_snapshot!$V$88=""),0,IFERROR(ABS(E41-validacion_snapshot!$V$88),1E+099)),IF(AND(F41="",validacion_snapshot!$W$88=""),0,IFERROR(ABS(F41-validacion_snapshot!$W$88),1E+099)),IF(AND(H41="",validacion_snapshot!$Y$88=""),0,IFERROR(ABS(H41-validacion_snapshot!$Y$88),1E+099)),IF(AND(J41="",validacion_snapshot!$AA$88=""),0,IFERROR(ABS(J41-validacion_snapshot!$AA$88),1E+099)),IF(AND(L41="",validacion_snapshot!$AC$88=""),0,IFERROR(ABS(L41-validacion_snapshot!$AC$88),1E+099)))&lt;=0.00000001,G41=validacion_snapshot!$X$88,I41=validacion_snapshot!$Z$88,K41=validacion_snapshot!$AB$88,M41=validacion_snapshot!$AD$88),"OK","FALLA")</f>
        <v>OK</v>
      </c>
    </row>
    <row r="42" customFormat="false" ht="15" hidden="false" customHeight="false" outlineLevel="0" collapsed="false">
      <c r="A42" s="3"/>
      <c r="B42" s="3" t="s">
        <v>195</v>
      </c>
      <c r="C42" s="3" t="s">
        <v>130</v>
      </c>
      <c r="D42" s="4" t="n">
        <f aca="false">INDEX(datos_participantes!$D:$D,MATCH(C42,datos_participantes!$A:$A,0))</f>
        <v>80.0573333333333</v>
      </c>
      <c r="E42" s="4" t="n">
        <f aca="false">INDEX(datos_participantes!$F:$F,MATCH(C42,datos_participantes!$A:$A,0))</f>
        <v>0.147603994565192</v>
      </c>
      <c r="F42" s="4" t="n">
        <f aca="false">IF(OR(NOT(ISNUMBER(D42)),NOT(ISNUMBER(INDEX(valor_asignado!$C:$C,MATCH(B42,valor_asignado!$B:$B,0)))),NOT(ISNUMBER(INDEX(valor_asignado!$D:$D,MATCH(B42,valor_asignado!$B:$B,0)))),INDEX(valor_asignado!$D:$D,MATCH(B42,valor_asignado!$B:$B,0))=0),"",(D42-INDEX(valor_asignado!$C:$C,MATCH(B42,valor_asignado!$B:$B,0)))/INDEX(valor_asignado!$D:$D,MATCH(B42,valor_asignado!$B:$B,0)))</f>
        <v>-0.416095672403128</v>
      </c>
      <c r="G42" s="5" t="str">
        <f aca="false">IF(F42="","N/A",IF(ABS(F42)&lt;=2,"Satisfactorio",IF(ABS(F42)&lt;3,"Cuestionable","No satisfactorio")))</f>
        <v>Satisfactorio</v>
      </c>
      <c r="H42" s="4" t="n">
        <f aca="false">IF(OR(NOT(ISNUMBER(D42)),NOT(ISNUMBER(INDEX(valor_asignado!$C:$C,MATCH(B42,valor_asignado!$B:$B,0)))),NOT(ISNUMBER(SQRT(INDEX(valor_asignado!$D:$D,MATCH(B42,valor_asignado!$B:$B,0))^2+INDEX(valor_asignado!$H:$H,MATCH(B42,valor_asignado!$B:$B,0))^2))),SQRT(INDEX(valor_asignado!$D:$D,MATCH(B42,valor_asignado!$B:$B,0))^2+INDEX(valor_asignado!$H:$H,MATCH(B42,valor_asignado!$B:$B,0))^2)=0),"",(D42-INDEX(valor_asignado!$C:$C,MATCH(B42,valor_asignado!$B:$B,0)))/SQRT(INDEX(valor_asignado!$D:$D,MATCH(B42,valor_asignado!$B:$B,0))^2+INDEX(valor_asignado!$H:$H,MATCH(B42,valor_asignado!$B:$B,0))^2))</f>
        <v>-0.174894723806752</v>
      </c>
      <c r="I42" s="5" t="str">
        <f aca="false">IF(H42="","N/A",IF(ABS(H42)&lt;=2,"Satisfactorio",IF(ABS(H42)&lt;3,"Cuestionable","No satisfactorio")))</f>
        <v>Satisfactorio</v>
      </c>
      <c r="J42" s="4" t="n">
        <f aca="false">IF(OR(NOT(ISNUMBER(D42)),NOT(ISNUMBER(INDEX(valor_asignado!$C:$C,MATCH(B42,valor_asignado!$B:$B,0)))),NOT(ISNUMBER(SQRT(E42^2+INDEX(valor_asignado!$H:$H,MATCH(B42,valor_asignado!$B:$B,0))^2))),SQRT(E42^2+INDEX(valor_asignado!$H:$H,MATCH(B42,valor_asignado!$B:$B,0))^2)=0),"",(D42-INDEX(valor_asignado!$C:$C,MATCH(B42,valor_asignado!$B:$B,0)))/SQRT(E42^2+INDEX(valor_asignado!$H:$H,MATCH(B42,valor_asignado!$B:$B,0))^2))</f>
        <v>-0.163900743136772</v>
      </c>
      <c r="K42" s="5" t="str">
        <f aca="false">IF(J42="","N/A",IF(ABS(J42)&lt;=2,"Satisfactorio",IF(ABS(J42)&lt;3,"Cuestionable","No satisfactorio")))</f>
        <v>Satisfactorio</v>
      </c>
      <c r="L42" s="4" t="n">
        <f aca="false">IF(OR(NOT(ISNUMBER(D42)),NOT(ISNUMBER(INDEX(valor_asignado!$C:$C,MATCH(B42,valor_asignado!$B:$B,0)))),NOT(ISNUMBER(SQRT((2*E42)^2+(2*INDEX(valor_asignado!$H:$H,MATCH(B42,valor_asignado!$B:$B,0)))^2))),SQRT((2*E42)^2+(2*INDEX(valor_asignado!$H:$H,MATCH(B42,valor_asignado!$B:$B,0)))^2)=0),"",(D42-INDEX(valor_asignado!$C:$C,MATCH(B42,valor_asignado!$B:$B,0)))/SQRT((2*E42)^2+(2*INDEX(valor_asignado!$H:$H,MATCH(B42,valor_asignado!$B:$B,0)))^2))</f>
        <v>-0.0819503715683859</v>
      </c>
      <c r="M42" s="5" t="str">
        <f aca="false">IF(L42="","N/A",IF(ABS(L42)&lt;=1,"Satisfactorio","No satisfactorio"))</f>
        <v>Satisfactorio</v>
      </c>
      <c r="N42" s="5" t="str">
        <f aca="false">IF(AND(SUM(IF(AND(D42="",validacion_snapshot!$U$89=""),0,IFERROR(ABS(D42-validacion_snapshot!$U$89),1E+099)),IF(AND(E42="",validacion_snapshot!$V$89=""),0,IFERROR(ABS(E42-validacion_snapshot!$V$89),1E+099)),IF(AND(F42="",validacion_snapshot!$W$89=""),0,IFERROR(ABS(F42-validacion_snapshot!$W$89),1E+099)),IF(AND(H42="",validacion_snapshot!$Y$89=""),0,IFERROR(ABS(H42-validacion_snapshot!$Y$89),1E+099)),IF(AND(J42="",validacion_snapshot!$AA$89=""),0,IFERROR(ABS(J42-validacion_snapshot!$AA$89),1E+099)),IF(AND(L42="",validacion_snapshot!$AC$89=""),0,IFERROR(ABS(L42-validacion_snapshot!$AC$89),1E+099)))&lt;=0.00000001,G42=validacion_snapshot!$X$89,I42=validacion_snapshot!$Z$89,K42=validacion_snapshot!$AB$89,M42=validacion_snapshot!$AD$89),"OK","FALLA")</f>
        <v>OK</v>
      </c>
    </row>
    <row r="43" customFormat="false" ht="15" hidden="false" customHeight="false" outlineLevel="0" collapsed="false">
      <c r="A43" s="3"/>
      <c r="B43" s="3" t="s">
        <v>195</v>
      </c>
      <c r="C43" s="3" t="s">
        <v>131</v>
      </c>
      <c r="D43" s="4" t="n">
        <f aca="false">INDEX(datos_participantes!$D:$D,MATCH(C43,datos_participantes!$A:$A,0))</f>
        <v>79.9836666666667</v>
      </c>
      <c r="E43" s="4" t="n">
        <f aca="false">INDEX(datos_participantes!$F:$F,MATCH(C43,datos_participantes!$A:$A,0))</f>
        <v>0.0704138562754267</v>
      </c>
      <c r="F43" s="4" t="n">
        <f aca="false">IF(OR(NOT(ISNUMBER(D43)),NOT(ISNUMBER(INDEX(valor_asignado!$C:$C,MATCH(B43,valor_asignado!$B:$B,0)))),NOT(ISNUMBER(INDEX(valor_asignado!$D:$D,MATCH(B43,valor_asignado!$B:$B,0)))),INDEX(valor_asignado!$D:$D,MATCH(B43,valor_asignado!$B:$B,0))=0),"",(D43-INDEX(valor_asignado!$C:$C,MATCH(B43,valor_asignado!$B:$B,0)))/INDEX(valor_asignado!$D:$D,MATCH(B43,valor_asignado!$B:$B,0)))</f>
        <v>-1.0828544175458</v>
      </c>
      <c r="G43" s="5" t="str">
        <f aca="false">IF(F43="","N/A",IF(ABS(F43)&lt;=2,"Satisfactorio",IF(ABS(F43)&lt;3,"Cuestionable","No satisfactorio")))</f>
        <v>Satisfactorio</v>
      </c>
      <c r="H43" s="4" t="n">
        <f aca="false">IF(OR(NOT(ISNUMBER(D43)),NOT(ISNUMBER(INDEX(valor_asignado!$C:$C,MATCH(B43,valor_asignado!$B:$B,0)))),NOT(ISNUMBER(SQRT(INDEX(valor_asignado!$D:$D,MATCH(B43,valor_asignado!$B:$B,0))^2+INDEX(valor_asignado!$H:$H,MATCH(B43,valor_asignado!$B:$B,0))^2))),SQRT(INDEX(valor_asignado!$D:$D,MATCH(B43,valor_asignado!$B:$B,0))^2+INDEX(valor_asignado!$H:$H,MATCH(B43,valor_asignado!$B:$B,0))^2)=0),"",(D43-INDEX(valor_asignado!$C:$C,MATCH(B43,valor_asignado!$B:$B,0)))/SQRT(INDEX(valor_asignado!$D:$D,MATCH(B43,valor_asignado!$B:$B,0))^2+INDEX(valor_asignado!$H:$H,MATCH(B43,valor_asignado!$B:$B,0))^2))</f>
        <v>-0.455148988178159</v>
      </c>
      <c r="I43" s="5" t="str">
        <f aca="false">IF(H43="","N/A",IF(ABS(H43)&lt;=2,"Satisfactorio",IF(ABS(H43)&lt;3,"Cuestionable","No satisfactorio")))</f>
        <v>Satisfactorio</v>
      </c>
      <c r="J43" s="4" t="n">
        <f aca="false">IF(OR(NOT(ISNUMBER(D43)),NOT(ISNUMBER(INDEX(valor_asignado!$C:$C,MATCH(B43,valor_asignado!$B:$B,0)))),NOT(ISNUMBER(SQRT(E43^2+INDEX(valor_asignado!$H:$H,MATCH(B43,valor_asignado!$B:$B,0))^2))),SQRT(E43^2+INDEX(valor_asignado!$H:$H,MATCH(B43,valor_asignado!$B:$B,0))^2)=0),"",(D43-INDEX(valor_asignado!$C:$C,MATCH(B43,valor_asignado!$B:$B,0)))/SQRT(E43^2+INDEX(valor_asignado!$H:$H,MATCH(B43,valor_asignado!$B:$B,0))^2))</f>
        <v>-0.481083868652423</v>
      </c>
      <c r="K43" s="5" t="str">
        <f aca="false">IF(J43="","N/A",IF(ABS(J43)&lt;=2,"Satisfactorio",IF(ABS(J43)&lt;3,"Cuestionable","No satisfactorio")))</f>
        <v>Satisfactorio</v>
      </c>
      <c r="L43" s="4" t="n">
        <f aca="false">IF(OR(NOT(ISNUMBER(D43)),NOT(ISNUMBER(INDEX(valor_asignado!$C:$C,MATCH(B43,valor_asignado!$B:$B,0)))),NOT(ISNUMBER(SQRT((2*E43)^2+(2*INDEX(valor_asignado!$H:$H,MATCH(B43,valor_asignado!$B:$B,0)))^2))),SQRT((2*E43)^2+(2*INDEX(valor_asignado!$H:$H,MATCH(B43,valor_asignado!$B:$B,0)))^2)=0),"",(D43-INDEX(valor_asignado!$C:$C,MATCH(B43,valor_asignado!$B:$B,0)))/SQRT((2*E43)^2+(2*INDEX(valor_asignado!$H:$H,MATCH(B43,valor_asignado!$B:$B,0)))^2))</f>
        <v>-0.240541934326212</v>
      </c>
      <c r="M43" s="5" t="str">
        <f aca="false">IF(L43="","N/A",IF(ABS(L43)&lt;=1,"Satisfactorio","No satisfactorio"))</f>
        <v>Satisfactorio</v>
      </c>
      <c r="N43" s="5" t="str">
        <f aca="false">IF(AND(SUM(IF(AND(D43="",validacion_snapshot!$U$90=""),0,IFERROR(ABS(D43-validacion_snapshot!$U$90),1E+099)),IF(AND(E43="",validacion_snapshot!$V$90=""),0,IFERROR(ABS(E43-validacion_snapshot!$V$90),1E+099)),IF(AND(F43="",validacion_snapshot!$W$90=""),0,IFERROR(ABS(F43-validacion_snapshot!$W$90),1E+099)),IF(AND(H43="",validacion_snapshot!$Y$90=""),0,IFERROR(ABS(H43-validacion_snapshot!$Y$90),1E+099)),IF(AND(J43="",validacion_snapshot!$AA$90=""),0,IFERROR(ABS(J43-validacion_snapshot!$AA$90),1E+099)),IF(AND(L43="",validacion_snapshot!$AC$90=""),0,IFERROR(ABS(L43-validacion_snapshot!$AC$90),1E+099)))&lt;=0.00000001,G43=validacion_snapshot!$X$90,I43=validacion_snapshot!$Z$90,K43=validacion_snapshot!$AB$90,M43=validacion_snapshot!$AD$90),"OK","FALLA")</f>
        <v>OK</v>
      </c>
    </row>
    <row r="44" customFormat="false" ht="15" hidden="false" customHeight="false" outlineLevel="0" collapsed="false">
      <c r="A44" s="3"/>
      <c r="B44" s="3" t="s">
        <v>195</v>
      </c>
      <c r="C44" s="3" t="s">
        <v>132</v>
      </c>
      <c r="D44" s="4" t="n">
        <f aca="false">INDEX(datos_participantes!$D:$D,MATCH(C44,datos_participantes!$A:$A,0))</f>
        <v>80.091</v>
      </c>
      <c r="E44" s="4" t="n">
        <f aca="false">INDEX(datos_participantes!$F:$F,MATCH(C44,datos_participantes!$A:$A,0))</f>
        <v>0.131152103622788</v>
      </c>
      <c r="F44" s="4" t="n">
        <f aca="false">IF(OR(NOT(ISNUMBER(D44)),NOT(ISNUMBER(INDEX(valor_asignado!$C:$C,MATCH(B44,valor_asignado!$B:$B,0)))),NOT(ISNUMBER(INDEX(valor_asignado!$D:$D,MATCH(B44,valor_asignado!$B:$B,0)))),INDEX(valor_asignado!$D:$D,MATCH(B44,valor_asignado!$B:$B,0))=0),"",(D44-INDEX(valor_asignado!$C:$C,MATCH(B44,valor_asignado!$B:$B,0)))/INDEX(valor_asignado!$D:$D,MATCH(B44,valor_asignado!$B:$B,0)))</f>
        <v>-0.111377874848737</v>
      </c>
      <c r="G44" s="5" t="str">
        <f aca="false">IF(F44="","N/A",IF(ABS(F44)&lt;=2,"Satisfactorio",IF(ABS(F44)&lt;3,"Cuestionable","No satisfactorio")))</f>
        <v>Satisfactorio</v>
      </c>
      <c r="H44" s="4" t="n">
        <f aca="false">IF(OR(NOT(ISNUMBER(D44)),NOT(ISNUMBER(INDEX(valor_asignado!$C:$C,MATCH(B44,valor_asignado!$B:$B,0)))),NOT(ISNUMBER(SQRT(INDEX(valor_asignado!$D:$D,MATCH(B44,valor_asignado!$B:$B,0))^2+INDEX(valor_asignado!$H:$H,MATCH(B44,valor_asignado!$B:$B,0))^2))),SQRT(INDEX(valor_asignado!$D:$D,MATCH(B44,valor_asignado!$B:$B,0))^2+INDEX(valor_asignado!$H:$H,MATCH(B44,valor_asignado!$B:$B,0))^2)=0),"",(D44-INDEX(valor_asignado!$C:$C,MATCH(B44,valor_asignado!$B:$B,0)))/SQRT(INDEX(valor_asignado!$D:$D,MATCH(B44,valor_asignado!$B:$B,0))^2+INDEX(valor_asignado!$H:$H,MATCH(B44,valor_asignado!$B:$B,0))^2))</f>
        <v>-0.0468147206322795</v>
      </c>
      <c r="I44" s="5" t="str">
        <f aca="false">IF(H44="","N/A",IF(ABS(H44)&lt;=2,"Satisfactorio",IF(ABS(H44)&lt;3,"Cuestionable","No satisfactorio")))</f>
        <v>Satisfactorio</v>
      </c>
      <c r="J44" s="4" t="n">
        <f aca="false">IF(OR(NOT(ISNUMBER(D44)),NOT(ISNUMBER(INDEX(valor_asignado!$C:$C,MATCH(B44,valor_asignado!$B:$B,0)))),NOT(ISNUMBER(SQRT(E44^2+INDEX(valor_asignado!$H:$H,MATCH(B44,valor_asignado!$B:$B,0))^2))),SQRT(E44^2+INDEX(valor_asignado!$H:$H,MATCH(B44,valor_asignado!$B:$B,0))^2)=0),"",(D44-INDEX(valor_asignado!$C:$C,MATCH(B44,valor_asignado!$B:$B,0)))/SQRT(E44^2+INDEX(valor_asignado!$H:$H,MATCH(B44,valor_asignado!$B:$B,0))^2))</f>
        <v>-0.045209383590953</v>
      </c>
      <c r="K44" s="5" t="str">
        <f aca="false">IF(J44="","N/A",IF(ABS(J44)&lt;=2,"Satisfactorio",IF(ABS(J44)&lt;3,"Cuestionable","No satisfactorio")))</f>
        <v>Satisfactorio</v>
      </c>
      <c r="L44" s="4" t="n">
        <f aca="false">IF(OR(NOT(ISNUMBER(D44)),NOT(ISNUMBER(INDEX(valor_asignado!$C:$C,MATCH(B44,valor_asignado!$B:$B,0)))),NOT(ISNUMBER(SQRT((2*E44)^2+(2*INDEX(valor_asignado!$H:$H,MATCH(B44,valor_asignado!$B:$B,0)))^2))),SQRT((2*E44)^2+(2*INDEX(valor_asignado!$H:$H,MATCH(B44,valor_asignado!$B:$B,0)))^2)=0),"",(D44-INDEX(valor_asignado!$C:$C,MATCH(B44,valor_asignado!$B:$B,0)))/SQRT((2*E44)^2+(2*INDEX(valor_asignado!$H:$H,MATCH(B44,valor_asignado!$B:$B,0)))^2))</f>
        <v>-0.0226046917954765</v>
      </c>
      <c r="M44" s="5" t="str">
        <f aca="false">IF(L44="","N/A",IF(ABS(L44)&lt;=1,"Satisfactorio","No satisfactorio"))</f>
        <v>Satisfactorio</v>
      </c>
      <c r="N44" s="5" t="str">
        <f aca="false">IF(AND(SUM(IF(AND(D44="",validacion_snapshot!$U$91=""),0,IFERROR(ABS(D44-validacion_snapshot!$U$91),1E+099)),IF(AND(E44="",validacion_snapshot!$V$91=""),0,IFERROR(ABS(E44-validacion_snapshot!$V$91),1E+099)),IF(AND(F44="",validacion_snapshot!$W$91=""),0,IFERROR(ABS(F44-validacion_snapshot!$W$91),1E+099)),IF(AND(H44="",validacion_snapshot!$Y$91=""),0,IFERROR(ABS(H44-validacion_snapshot!$Y$91),1E+099)),IF(AND(J44="",validacion_snapshot!$AA$91=""),0,IFERROR(ABS(J44-validacion_snapshot!$AA$91),1E+099)),IF(AND(L44="",validacion_snapshot!$AC$91=""),0,IFERROR(ABS(L44-validacion_snapshot!$AC$91),1E+099)))&lt;=0.00000001,G44=validacion_snapshot!$X$91,I44=validacion_snapshot!$Z$91,K44=validacion_snapshot!$AB$91,M44=validacion_snapshot!$AD$91),"OK","FALLA")</f>
        <v>OK</v>
      </c>
    </row>
    <row r="45" customFormat="false" ht="15" hidden="false" customHeight="false" outlineLevel="0" collapsed="false">
      <c r="A45" s="3"/>
      <c r="B45" s="3" t="s">
        <v>195</v>
      </c>
      <c r="C45" s="3" t="s">
        <v>133</v>
      </c>
      <c r="D45" s="4" t="n">
        <f aca="false">INDEX(datos_participantes!$D:$D,MATCH(C45,datos_participantes!$A:$A,0))</f>
        <v>80.158</v>
      </c>
      <c r="E45" s="4" t="n">
        <f aca="false">INDEX(datos_participantes!$F:$F,MATCH(C45,datos_participantes!$A:$A,0))</f>
        <v>0.0953945351575979</v>
      </c>
      <c r="F45" s="4" t="n">
        <f aca="false">IF(OR(NOT(ISNUMBER(D45)),NOT(ISNUMBER(INDEX(valor_asignado!$C:$C,MATCH(B45,valor_asignado!$B:$B,0)))),NOT(ISNUMBER(INDEX(valor_asignado!$D:$D,MATCH(B45,valor_asignado!$B:$B,0)))),INDEX(valor_asignado!$D:$D,MATCH(B45,valor_asignado!$B:$B,0))=0),"",(D45-INDEX(valor_asignado!$C:$C,MATCH(B45,valor_asignado!$B:$B,0)))/INDEX(valor_asignado!$D:$D,MATCH(B45,valor_asignado!$B:$B,0)))</f>
        <v>0.49504071236311</v>
      </c>
      <c r="G45" s="5" t="str">
        <f aca="false">IF(F45="","N/A",IF(ABS(F45)&lt;=2,"Satisfactorio",IF(ABS(F45)&lt;3,"Cuestionable","No satisfactorio")))</f>
        <v>Satisfactorio</v>
      </c>
      <c r="H45" s="4" t="n">
        <f aca="false">IF(OR(NOT(ISNUMBER(D45)),NOT(ISNUMBER(INDEX(valor_asignado!$C:$C,MATCH(B45,valor_asignado!$B:$B,0)))),NOT(ISNUMBER(SQRT(INDEX(valor_asignado!$D:$D,MATCH(B45,valor_asignado!$B:$B,0))^2+INDEX(valor_asignado!$H:$H,MATCH(B45,valor_asignado!$B:$B,0))^2))),SQRT(INDEX(valor_asignado!$D:$D,MATCH(B45,valor_asignado!$B:$B,0))^2+INDEX(valor_asignado!$H:$H,MATCH(B45,valor_asignado!$B:$B,0))^2)=0),"",(D45-INDEX(valor_asignado!$C:$C,MATCH(B45,valor_asignado!$B:$B,0)))/SQRT(INDEX(valor_asignado!$D:$D,MATCH(B45,valor_asignado!$B:$B,0))^2+INDEX(valor_asignado!$H:$H,MATCH(B45,valor_asignado!$B:$B,0))^2))</f>
        <v>0.208077166873205</v>
      </c>
      <c r="I45" s="5" t="str">
        <f aca="false">IF(H45="","N/A",IF(ABS(H45)&lt;=2,"Satisfactorio",IF(ABS(H45)&lt;3,"Cuestionable","No satisfactorio")))</f>
        <v>Satisfactorio</v>
      </c>
      <c r="J45" s="4" t="n">
        <f aca="false">IF(OR(NOT(ISNUMBER(D45)),NOT(ISNUMBER(INDEX(valor_asignado!$C:$C,MATCH(B45,valor_asignado!$B:$B,0)))),NOT(ISNUMBER(SQRT(E45^2+INDEX(valor_asignado!$H:$H,MATCH(B45,valor_asignado!$B:$B,0))^2))),SQRT(E45^2+INDEX(valor_asignado!$H:$H,MATCH(B45,valor_asignado!$B:$B,0))^2)=0),"",(D45-INDEX(valor_asignado!$C:$C,MATCH(B45,valor_asignado!$B:$B,0)))/SQRT(E45^2+INDEX(valor_asignado!$H:$H,MATCH(B45,valor_asignado!$B:$B,0))^2))</f>
        <v>0.212919127719019</v>
      </c>
      <c r="K45" s="5" t="str">
        <f aca="false">IF(J45="","N/A",IF(ABS(J45)&lt;=2,"Satisfactorio",IF(ABS(J45)&lt;3,"Cuestionable","No satisfactorio")))</f>
        <v>Satisfactorio</v>
      </c>
      <c r="L45" s="4" t="n">
        <f aca="false">IF(OR(NOT(ISNUMBER(D45)),NOT(ISNUMBER(INDEX(valor_asignado!$C:$C,MATCH(B45,valor_asignado!$B:$B,0)))),NOT(ISNUMBER(SQRT((2*E45)^2+(2*INDEX(valor_asignado!$H:$H,MATCH(B45,valor_asignado!$B:$B,0)))^2))),SQRT((2*E45)^2+(2*INDEX(valor_asignado!$H:$H,MATCH(B45,valor_asignado!$B:$B,0)))^2)=0),"",(D45-INDEX(valor_asignado!$C:$C,MATCH(B45,valor_asignado!$B:$B,0)))/SQRT((2*E45)^2+(2*INDEX(valor_asignado!$H:$H,MATCH(B45,valor_asignado!$B:$B,0)))^2))</f>
        <v>0.10645956385951</v>
      </c>
      <c r="M45" s="5" t="str">
        <f aca="false">IF(L45="","N/A",IF(ABS(L45)&lt;=1,"Satisfactorio","No satisfactorio"))</f>
        <v>Satisfactorio</v>
      </c>
      <c r="N45" s="5" t="str">
        <f aca="false">IF(AND(SUM(IF(AND(D45="",validacion_snapshot!$U$92=""),0,IFERROR(ABS(D45-validacion_snapshot!$U$92),1E+099)),IF(AND(E45="",validacion_snapshot!$V$92=""),0,IFERROR(ABS(E45-validacion_snapshot!$V$92),1E+099)),IF(AND(F45="",validacion_snapshot!$W$92=""),0,IFERROR(ABS(F45-validacion_snapshot!$W$92),1E+099)),IF(AND(H45="",validacion_snapshot!$Y$92=""),0,IFERROR(ABS(H45-validacion_snapshot!$Y$92),1E+099)),IF(AND(J45="",validacion_snapshot!$AA$92=""),0,IFERROR(ABS(J45-validacion_snapshot!$AA$92),1E+099)),IF(AND(L45="",validacion_snapshot!$AC$92=""),0,IFERROR(ABS(L45-validacion_snapshot!$AC$92),1E+099)))&lt;=0.00000001,G45=validacion_snapshot!$X$92,I45=validacion_snapshot!$Z$92,K45=validacion_snapshot!$AB$92,M45=validacion_snapshot!$AD$92),"OK","FALLA")</f>
        <v>OK</v>
      </c>
    </row>
    <row r="46" customFormat="false" ht="15" hidden="false" customHeight="false" outlineLevel="0" collapsed="false">
      <c r="A46" s="3"/>
      <c r="B46" s="3" t="s">
        <v>195</v>
      </c>
      <c r="C46" s="3" t="s">
        <v>134</v>
      </c>
      <c r="D46" s="4" t="n">
        <f aca="false">INDEX(datos_participantes!$D:$D,MATCH(C46,datos_participantes!$A:$A,0))</f>
        <v>80.2606666666667</v>
      </c>
      <c r="E46" s="4" t="n">
        <f aca="false">INDEX(datos_participantes!$F:$F,MATCH(C46,datos_participantes!$A:$A,0))</f>
        <v>0.0427293036158302</v>
      </c>
      <c r="F46" s="4" t="n">
        <f aca="false">IF(OR(NOT(ISNUMBER(D46)),NOT(ISNUMBER(INDEX(valor_asignado!$C:$C,MATCH(B46,valor_asignado!$B:$B,0)))),NOT(ISNUMBER(INDEX(valor_asignado!$D:$D,MATCH(B46,valor_asignado!$B:$B,0)))),INDEX(valor_asignado!$D:$D,MATCH(B46,valor_asignado!$B:$B,0))=0),"",(D46-INDEX(valor_asignado!$C:$C,MATCH(B46,valor_asignado!$B:$B,0)))/INDEX(valor_asignado!$D:$D,MATCH(B46,valor_asignado!$B:$B,0)))</f>
        <v>1.42427914450876</v>
      </c>
      <c r="G46" s="5" t="str">
        <f aca="false">IF(F46="","N/A",IF(ABS(F46)&lt;=2,"Satisfactorio",IF(ABS(F46)&lt;3,"Cuestionable","No satisfactorio")))</f>
        <v>Satisfactorio</v>
      </c>
      <c r="H46" s="4" t="n">
        <f aca="false">IF(OR(NOT(ISNUMBER(D46)),NOT(ISNUMBER(INDEX(valor_asignado!$C:$C,MATCH(B46,valor_asignado!$B:$B,0)))),NOT(ISNUMBER(SQRT(INDEX(valor_asignado!$D:$D,MATCH(B46,valor_asignado!$B:$B,0))^2+INDEX(valor_asignado!$H:$H,MATCH(B46,valor_asignado!$B:$B,0))^2))),SQRT(INDEX(valor_asignado!$D:$D,MATCH(B46,valor_asignado!$B:$B,0))^2+INDEX(valor_asignado!$H:$H,MATCH(B46,valor_asignado!$B:$B,0))^2)=0),"",(D46-INDEX(valor_asignado!$C:$C,MATCH(B46,valor_asignado!$B:$B,0)))/SQRT(INDEX(valor_asignado!$D:$D,MATCH(B46,valor_asignado!$B:$B,0))^2+INDEX(valor_asignado!$H:$H,MATCH(B46,valor_asignado!$B:$B,0))^2))</f>
        <v>0.59865777061301</v>
      </c>
      <c r="I46" s="5" t="str">
        <f aca="false">IF(H46="","N/A",IF(ABS(H46)&lt;=2,"Satisfactorio",IF(ABS(H46)&lt;3,"Cuestionable","No satisfactorio")))</f>
        <v>Satisfactorio</v>
      </c>
      <c r="J46" s="4" t="n">
        <f aca="false">IF(OR(NOT(ISNUMBER(D46)),NOT(ISNUMBER(INDEX(valor_asignado!$C:$C,MATCH(B46,valor_asignado!$B:$B,0)))),NOT(ISNUMBER(SQRT(E46^2+INDEX(valor_asignado!$H:$H,MATCH(B46,valor_asignado!$B:$B,0))^2))),SQRT(E46^2+INDEX(valor_asignado!$H:$H,MATCH(B46,valor_asignado!$B:$B,0))^2)=0),"",(D46-INDEX(valor_asignado!$C:$C,MATCH(B46,valor_asignado!$B:$B,0)))/SQRT(E46^2+INDEX(valor_asignado!$H:$H,MATCH(B46,valor_asignado!$B:$B,0))^2))</f>
        <v>0.649429798476021</v>
      </c>
      <c r="K46" s="5" t="str">
        <f aca="false">IF(J46="","N/A",IF(ABS(J46)&lt;=2,"Satisfactorio",IF(ABS(J46)&lt;3,"Cuestionable","No satisfactorio")))</f>
        <v>Satisfactorio</v>
      </c>
      <c r="L46" s="4" t="n">
        <f aca="false">IF(OR(NOT(ISNUMBER(D46)),NOT(ISNUMBER(INDEX(valor_asignado!$C:$C,MATCH(B46,valor_asignado!$B:$B,0)))),NOT(ISNUMBER(SQRT((2*E46)^2+(2*INDEX(valor_asignado!$H:$H,MATCH(B46,valor_asignado!$B:$B,0)))^2))),SQRT((2*E46)^2+(2*INDEX(valor_asignado!$H:$H,MATCH(B46,valor_asignado!$B:$B,0)))^2)=0),"",(D46-INDEX(valor_asignado!$C:$C,MATCH(B46,valor_asignado!$B:$B,0)))/SQRT((2*E46)^2+(2*INDEX(valor_asignado!$H:$H,MATCH(B46,valor_asignado!$B:$B,0)))^2))</f>
        <v>0.32471489923801</v>
      </c>
      <c r="M46" s="5" t="str">
        <f aca="false">IF(L46="","N/A",IF(ABS(L46)&lt;=1,"Satisfactorio","No satisfactorio"))</f>
        <v>Satisfactorio</v>
      </c>
      <c r="N46" s="5" t="str">
        <f aca="false">IF(AND(SUM(IF(AND(D46="",validacion_snapshot!$U$93=""),0,IFERROR(ABS(D46-validacion_snapshot!$U$93),1E+099)),IF(AND(E46="",validacion_snapshot!$V$93=""),0,IFERROR(ABS(E46-validacion_snapshot!$V$93),1E+099)),IF(AND(F46="",validacion_snapshot!$W$93=""),0,IFERROR(ABS(F46-validacion_snapshot!$W$93),1E+099)),IF(AND(H46="",validacion_snapshot!$Y$93=""),0,IFERROR(ABS(H46-validacion_snapshot!$Y$93),1E+099)),IF(AND(J46="",validacion_snapshot!$AA$93=""),0,IFERROR(ABS(J46-validacion_snapshot!$AA$93),1E+099)),IF(AND(L46="",validacion_snapshot!$AC$93=""),0,IFERROR(ABS(L46-validacion_snapshot!$AC$93),1E+099)))&lt;=0.00000001,G46=validacion_snapshot!$X$93,I46=validacion_snapshot!$Z$93,K46=validacion_snapshot!$AB$93,M46=validacion_snapshot!$AD$93),"OK","FALLA")</f>
        <v>OK</v>
      </c>
    </row>
    <row r="47" customFormat="false" ht="15" hidden="false" customHeight="false" outlineLevel="0" collapsed="false">
      <c r="A47" s="3"/>
      <c r="B47" s="3" t="s">
        <v>195</v>
      </c>
      <c r="C47" s="3" t="s">
        <v>135</v>
      </c>
      <c r="D47" s="4" t="n">
        <f aca="false">INDEX(datos_participantes!$D:$D,MATCH(C47,datos_participantes!$A:$A,0))</f>
        <v>79.9916666666667</v>
      </c>
      <c r="E47" s="4" t="n">
        <f aca="false">INDEX(datos_participantes!$F:$F,MATCH(C47,datos_participantes!$A:$A,0))</f>
        <v>0.00466154333165642</v>
      </c>
      <c r="F47" s="4" t="n">
        <f aca="false">IF(OR(NOT(ISNUMBER(D47)),NOT(ISNUMBER(INDEX(valor_asignado!$C:$C,MATCH(B47,valor_asignado!$B:$B,0)))),NOT(ISNUMBER(INDEX(valor_asignado!$D:$D,MATCH(B47,valor_asignado!$B:$B,0)))),INDEX(valor_asignado!$D:$D,MATCH(B47,valor_asignado!$B:$B,0))=0),"",(D47-INDEX(valor_asignado!$C:$C,MATCH(B47,valor_asignado!$B:$B,0)))/INDEX(valor_asignado!$D:$D,MATCH(B47,valor_asignado!$B:$B,0)))</f>
        <v>-1.01044622802801</v>
      </c>
      <c r="G47" s="5" t="str">
        <f aca="false">IF(F47="","N/A",IF(ABS(F47)&lt;=2,"Satisfactorio",IF(ABS(F47)&lt;3,"Cuestionable","No satisfactorio")))</f>
        <v>Satisfactorio</v>
      </c>
      <c r="H47" s="4" t="n">
        <f aca="false">IF(OR(NOT(ISNUMBER(D47)),NOT(ISNUMBER(INDEX(valor_asignado!$C:$C,MATCH(B47,valor_asignado!$B:$B,0)))),NOT(ISNUMBER(SQRT(INDEX(valor_asignado!$D:$D,MATCH(B47,valor_asignado!$B:$B,0))^2+INDEX(valor_asignado!$H:$H,MATCH(B47,valor_asignado!$B:$B,0))^2))),SQRT(INDEX(valor_asignado!$D:$D,MATCH(B47,valor_asignado!$B:$B,0))^2+INDEX(valor_asignado!$H:$H,MATCH(B47,valor_asignado!$B:$B,0))^2)=0),"",(D47-INDEX(valor_asignado!$C:$C,MATCH(B47,valor_asignado!$B:$B,0)))/SQRT(INDEX(valor_asignado!$D:$D,MATCH(B47,valor_asignado!$B:$B,0))^2+INDEX(valor_asignado!$H:$H,MATCH(B47,valor_asignado!$B:$B,0))^2))</f>
        <v>-0.424714135938718</v>
      </c>
      <c r="I47" s="5" t="str">
        <f aca="false">IF(H47="","N/A",IF(ABS(H47)&lt;=2,"Satisfactorio",IF(ABS(H47)&lt;3,"Cuestionable","No satisfactorio")))</f>
        <v>Satisfactorio</v>
      </c>
      <c r="J47" s="4" t="n">
        <f aca="false">IF(OR(NOT(ISNUMBER(D47)),NOT(ISNUMBER(INDEX(valor_asignado!$C:$C,MATCH(B47,valor_asignado!$B:$B,0)))),NOT(ISNUMBER(SQRT(E47^2+INDEX(valor_asignado!$H:$H,MATCH(B47,valor_asignado!$B:$B,0))^2))),SQRT(E47^2+INDEX(valor_asignado!$H:$H,MATCH(B47,valor_asignado!$B:$B,0))^2)=0),"",(D47-INDEX(valor_asignado!$C:$C,MATCH(B47,valor_asignado!$B:$B,0)))/SQRT(E47^2+INDEX(valor_asignado!$H:$H,MATCH(B47,valor_asignado!$B:$B,0))^2))</f>
        <v>-0.467979970662704</v>
      </c>
      <c r="K47" s="5" t="str">
        <f aca="false">IF(J47="","N/A",IF(ABS(J47)&lt;=2,"Satisfactorio",IF(ABS(J47)&lt;3,"Cuestionable","No satisfactorio")))</f>
        <v>Satisfactorio</v>
      </c>
      <c r="L47" s="4" t="n">
        <f aca="false">IF(OR(NOT(ISNUMBER(D47)),NOT(ISNUMBER(INDEX(valor_asignado!$C:$C,MATCH(B47,valor_asignado!$B:$B,0)))),NOT(ISNUMBER(SQRT((2*E47)^2+(2*INDEX(valor_asignado!$H:$H,MATCH(B47,valor_asignado!$B:$B,0)))^2))),SQRT((2*E47)^2+(2*INDEX(valor_asignado!$H:$H,MATCH(B47,valor_asignado!$B:$B,0)))^2)=0),"",(D47-INDEX(valor_asignado!$C:$C,MATCH(B47,valor_asignado!$B:$B,0)))/SQRT((2*E47)^2+(2*INDEX(valor_asignado!$H:$H,MATCH(B47,valor_asignado!$B:$B,0)))^2))</f>
        <v>-0.233989985331352</v>
      </c>
      <c r="M47" s="5" t="str">
        <f aca="false">IF(L47="","N/A",IF(ABS(L47)&lt;=1,"Satisfactorio","No satisfactorio"))</f>
        <v>Satisfactorio</v>
      </c>
      <c r="N47" s="5" t="str">
        <f aca="false">IF(AND(SUM(IF(AND(D47="",validacion_snapshot!$U$94=""),0,IFERROR(ABS(D47-validacion_snapshot!$U$94),1E+099)),IF(AND(E47="",validacion_snapshot!$V$94=""),0,IFERROR(ABS(E47-validacion_snapshot!$V$94),1E+099)),IF(AND(F47="",validacion_snapshot!$W$94=""),0,IFERROR(ABS(F47-validacion_snapshot!$W$94),1E+099)),IF(AND(H47="",validacion_snapshot!$Y$94=""),0,IFERROR(ABS(H47-validacion_snapshot!$Y$94),1E+099)),IF(AND(J47="",validacion_snapshot!$AA$94=""),0,IFERROR(ABS(J47-validacion_snapshot!$AA$94),1E+099)),IF(AND(L47="",validacion_snapshot!$AC$94=""),0,IFERROR(ABS(L47-validacion_snapshot!$AC$94),1E+099)))&lt;=0.00000001,G47=validacion_snapshot!$X$94,I47=validacion_snapshot!$Z$94,K47=validacion_snapshot!$AB$94,M47=validacion_snapshot!$AD$94),"OK","FALLA")</f>
        <v>OK</v>
      </c>
    </row>
    <row r="48" customFormat="false" ht="15" hidden="false" customHeight="false" outlineLevel="0" collapsed="false">
      <c r="A48" s="3"/>
      <c r="B48" s="3" t="s">
        <v>195</v>
      </c>
      <c r="C48" s="3" t="s">
        <v>136</v>
      </c>
      <c r="D48" s="4" t="n">
        <f aca="false">INDEX(datos_participantes!$D:$D,MATCH(C48,datos_participantes!$A:$A,0))</f>
        <v>80.0473333333333</v>
      </c>
      <c r="E48" s="4" t="n">
        <f aca="false">INDEX(datos_participantes!$F:$F,MATCH(C48,datos_participantes!$A:$A,0))</f>
        <v>0.100944697094177</v>
      </c>
      <c r="F48" s="4" t="n">
        <f aca="false">IF(OR(NOT(ISNUMBER(D48)),NOT(ISNUMBER(INDEX(valor_asignado!$C:$C,MATCH(B48,valor_asignado!$B:$B,0)))),NOT(ISNUMBER(INDEX(valor_asignado!$D:$D,MATCH(B48,valor_asignado!$B:$B,0)))),INDEX(valor_asignado!$D:$D,MATCH(B48,valor_asignado!$B:$B,0))=0),"",(D48-INDEX(valor_asignado!$C:$C,MATCH(B48,valor_asignado!$B:$B,0)))/INDEX(valor_asignado!$D:$D,MATCH(B48,valor_asignado!$B:$B,0)))</f>
        <v>-0.506605909300455</v>
      </c>
      <c r="G48" s="5" t="str">
        <f aca="false">IF(F48="","N/A",IF(ABS(F48)&lt;=2,"Satisfactorio",IF(ABS(F48)&lt;3,"Cuestionable","No satisfactorio")))</f>
        <v>Satisfactorio</v>
      </c>
      <c r="H48" s="4" t="n">
        <f aca="false">IF(OR(NOT(ISNUMBER(D48)),NOT(ISNUMBER(INDEX(valor_asignado!$C:$C,MATCH(B48,valor_asignado!$B:$B,0)))),NOT(ISNUMBER(SQRT(INDEX(valor_asignado!$D:$D,MATCH(B48,valor_asignado!$B:$B,0))^2+INDEX(valor_asignado!$H:$H,MATCH(B48,valor_asignado!$B:$B,0))^2))),SQRT(INDEX(valor_asignado!$D:$D,MATCH(B48,valor_asignado!$B:$B,0))^2+INDEX(valor_asignado!$H:$H,MATCH(B48,valor_asignado!$B:$B,0))^2)=0),"",(D48-INDEX(valor_asignado!$C:$C,MATCH(B48,valor_asignado!$B:$B,0)))/SQRT(INDEX(valor_asignado!$D:$D,MATCH(B48,valor_asignado!$B:$B,0))^2+INDEX(valor_asignado!$H:$H,MATCH(B48,valor_asignado!$B:$B,0))^2))</f>
        <v>-0.212938289106094</v>
      </c>
      <c r="I48" s="5" t="str">
        <f aca="false">IF(H48="","N/A",IF(ABS(H48)&lt;=2,"Satisfactorio",IF(ABS(H48)&lt;3,"Cuestionable","No satisfactorio")))</f>
        <v>Satisfactorio</v>
      </c>
      <c r="J48" s="4" t="n">
        <f aca="false">IF(OR(NOT(ISNUMBER(D48)),NOT(ISNUMBER(INDEX(valor_asignado!$C:$C,MATCH(B48,valor_asignado!$B:$B,0)))),NOT(ISNUMBER(SQRT(E48^2+INDEX(valor_asignado!$H:$H,MATCH(B48,valor_asignado!$B:$B,0))^2))),SQRT(E48^2+INDEX(valor_asignado!$H:$H,MATCH(B48,valor_asignado!$B:$B,0))^2)=0),"",(D48-INDEX(valor_asignado!$C:$C,MATCH(B48,valor_asignado!$B:$B,0)))/SQRT(E48^2+INDEX(valor_asignado!$H:$H,MATCH(B48,valor_asignado!$B:$B,0))^2))</f>
        <v>-0.216116190174389</v>
      </c>
      <c r="K48" s="5" t="str">
        <f aca="false">IF(J48="","N/A",IF(ABS(J48)&lt;=2,"Satisfactorio",IF(ABS(J48)&lt;3,"Cuestionable","No satisfactorio")))</f>
        <v>Satisfactorio</v>
      </c>
      <c r="L48" s="4" t="n">
        <f aca="false">IF(OR(NOT(ISNUMBER(D48)),NOT(ISNUMBER(INDEX(valor_asignado!$C:$C,MATCH(B48,valor_asignado!$B:$B,0)))),NOT(ISNUMBER(SQRT((2*E48)^2+(2*INDEX(valor_asignado!$H:$H,MATCH(B48,valor_asignado!$B:$B,0)))^2))),SQRT((2*E48)^2+(2*INDEX(valor_asignado!$H:$H,MATCH(B48,valor_asignado!$B:$B,0)))^2)=0),"",(D48-INDEX(valor_asignado!$C:$C,MATCH(B48,valor_asignado!$B:$B,0)))/SQRT((2*E48)^2+(2*INDEX(valor_asignado!$H:$H,MATCH(B48,valor_asignado!$B:$B,0)))^2))</f>
        <v>-0.108058095087194</v>
      </c>
      <c r="M48" s="5" t="str">
        <f aca="false">IF(L48="","N/A",IF(ABS(L48)&lt;=1,"Satisfactorio","No satisfactorio"))</f>
        <v>Satisfactorio</v>
      </c>
      <c r="N48" s="5" t="str">
        <f aca="false">IF(AND(SUM(IF(AND(D48="",validacion_snapshot!$U$95=""),0,IFERROR(ABS(D48-validacion_snapshot!$U$95),1E+099)),IF(AND(E48="",validacion_snapshot!$V$95=""),0,IFERROR(ABS(E48-validacion_snapshot!$V$95),1E+099)),IF(AND(F48="",validacion_snapshot!$W$95=""),0,IFERROR(ABS(F48-validacion_snapshot!$W$95),1E+099)),IF(AND(H48="",validacion_snapshot!$Y$95=""),0,IFERROR(ABS(H48-validacion_snapshot!$Y$95),1E+099)),IF(AND(J48="",validacion_snapshot!$AA$95=""),0,IFERROR(ABS(J48-validacion_snapshot!$AA$95),1E+099)),IF(AND(L48="",validacion_snapshot!$AC$95=""),0,IFERROR(ABS(L48-validacion_snapshot!$AC$95),1E+099)))&lt;=0.00000001,G48=validacion_snapshot!$X$95,I48=validacion_snapshot!$Z$95,K48=validacion_snapshot!$AB$95,M48=validacion_snapshot!$AD$95),"OK","FALLA")</f>
        <v>OK</v>
      </c>
    </row>
    <row r="49" customFormat="false" ht="15" hidden="false" customHeight="false" outlineLevel="0" collapsed="false">
      <c r="A49" s="3"/>
      <c r="B49" s="3" t="s">
        <v>195</v>
      </c>
      <c r="C49" s="3" t="s">
        <v>137</v>
      </c>
      <c r="D49" s="4" t="n">
        <f aca="false">INDEX(datos_participantes!$D:$D,MATCH(C49,datos_participantes!$A:$A,0))</f>
        <v>80.2476666666667</v>
      </c>
      <c r="E49" s="4" t="n">
        <f aca="false">INDEX(datos_participantes!$F:$F,MATCH(C49,datos_participantes!$A:$A,0))</f>
        <v>0.0385972875321689</v>
      </c>
      <c r="F49" s="4" t="n">
        <f aca="false">IF(OR(NOT(ISNUMBER(D49)),NOT(ISNUMBER(INDEX(valor_asignado!$C:$C,MATCH(B49,valor_asignado!$B:$B,0)))),NOT(ISNUMBER(INDEX(valor_asignado!$D:$D,MATCH(B49,valor_asignado!$B:$B,0)))),INDEX(valor_asignado!$D:$D,MATCH(B49,valor_asignado!$B:$B,0))=0),"",(D49-INDEX(valor_asignado!$C:$C,MATCH(B49,valor_asignado!$B:$B,0)))/INDEX(valor_asignado!$D:$D,MATCH(B49,valor_asignado!$B:$B,0)))</f>
        <v>1.30661583654238</v>
      </c>
      <c r="G49" s="5" t="str">
        <f aca="false">IF(F49="","N/A",IF(ABS(F49)&lt;=2,"Satisfactorio",IF(ABS(F49)&lt;3,"Cuestionable","No satisfactorio")))</f>
        <v>Satisfactorio</v>
      </c>
      <c r="H49" s="4" t="n">
        <f aca="false">IF(OR(NOT(ISNUMBER(D49)),NOT(ISNUMBER(INDEX(valor_asignado!$C:$C,MATCH(B49,valor_asignado!$B:$B,0)))),NOT(ISNUMBER(SQRT(INDEX(valor_asignado!$D:$D,MATCH(B49,valor_asignado!$B:$B,0))^2+INDEX(valor_asignado!$H:$H,MATCH(B49,valor_asignado!$B:$B,0))^2))),SQRT(INDEX(valor_asignado!$D:$D,MATCH(B49,valor_asignado!$B:$B,0))^2+INDEX(valor_asignado!$H:$H,MATCH(B49,valor_asignado!$B:$B,0))^2)=0),"",(D49-INDEX(valor_asignado!$C:$C,MATCH(B49,valor_asignado!$B:$B,0)))/SQRT(INDEX(valor_asignado!$D:$D,MATCH(B49,valor_asignado!$B:$B,0))^2+INDEX(valor_asignado!$H:$H,MATCH(B49,valor_asignado!$B:$B,0))^2))</f>
        <v>0.549201135723926</v>
      </c>
      <c r="I49" s="5" t="str">
        <f aca="false">IF(H49="","N/A",IF(ABS(H49)&lt;=2,"Satisfactorio",IF(ABS(H49)&lt;3,"Cuestionable","No satisfactorio")))</f>
        <v>Satisfactorio</v>
      </c>
      <c r="J49" s="4" t="n">
        <f aca="false">IF(OR(NOT(ISNUMBER(D49)),NOT(ISNUMBER(INDEX(valor_asignado!$C:$C,MATCH(B49,valor_asignado!$B:$B,0)))),NOT(ISNUMBER(SQRT(E49^2+INDEX(valor_asignado!$H:$H,MATCH(B49,valor_asignado!$B:$B,0))^2))),SQRT(E49^2+INDEX(valor_asignado!$H:$H,MATCH(B49,valor_asignado!$B:$B,0))^2)=0),"",(D49-INDEX(valor_asignado!$C:$C,MATCH(B49,valor_asignado!$B:$B,0)))/SQRT(E49^2+INDEX(valor_asignado!$H:$H,MATCH(B49,valor_asignado!$B:$B,0))^2))</f>
        <v>0.59749109132307</v>
      </c>
      <c r="K49" s="5" t="str">
        <f aca="false">IF(J49="","N/A",IF(ABS(J49)&lt;=2,"Satisfactorio",IF(ABS(J49)&lt;3,"Cuestionable","No satisfactorio")))</f>
        <v>Satisfactorio</v>
      </c>
      <c r="L49" s="4" t="n">
        <f aca="false">IF(OR(NOT(ISNUMBER(D49)),NOT(ISNUMBER(INDEX(valor_asignado!$C:$C,MATCH(B49,valor_asignado!$B:$B,0)))),NOT(ISNUMBER(SQRT((2*E49)^2+(2*INDEX(valor_asignado!$H:$H,MATCH(B49,valor_asignado!$B:$B,0)))^2))),SQRT((2*E49)^2+(2*INDEX(valor_asignado!$H:$H,MATCH(B49,valor_asignado!$B:$B,0)))^2)=0),"",(D49-INDEX(valor_asignado!$C:$C,MATCH(B49,valor_asignado!$B:$B,0)))/SQRT((2*E49)^2+(2*INDEX(valor_asignado!$H:$H,MATCH(B49,valor_asignado!$B:$B,0)))^2))</f>
        <v>0.298745545661535</v>
      </c>
      <c r="M49" s="5" t="str">
        <f aca="false">IF(L49="","N/A",IF(ABS(L49)&lt;=1,"Satisfactorio","No satisfactorio"))</f>
        <v>Satisfactorio</v>
      </c>
      <c r="N49" s="5" t="str">
        <f aca="false">IF(AND(SUM(IF(AND(D49="",validacion_snapshot!$U$96=""),0,IFERROR(ABS(D49-validacion_snapshot!$U$96),1E+099)),IF(AND(E49="",validacion_snapshot!$V$96=""),0,IFERROR(ABS(E49-validacion_snapshot!$V$96),1E+099)),IF(AND(F49="",validacion_snapshot!$W$96=""),0,IFERROR(ABS(F49-validacion_snapshot!$W$96),1E+099)),IF(AND(H49="",validacion_snapshot!$Y$96=""),0,IFERROR(ABS(H49-validacion_snapshot!$Y$96),1E+099)),IF(AND(J49="",validacion_snapshot!$AA$96=""),0,IFERROR(ABS(J49-validacion_snapshot!$AA$96),1E+099)),IF(AND(L49="",validacion_snapshot!$AC$96=""),0,IFERROR(ABS(L49-validacion_snapshot!$AC$96),1E+099)))&lt;=0.00000001,G49=validacion_snapshot!$X$96,I49=validacion_snapshot!$Z$96,K49=validacion_snapshot!$AB$96,M49=validacion_snapshot!$AD$96),"OK","FALLA")</f>
        <v>OK</v>
      </c>
    </row>
    <row r="50" customFormat="false" ht="15" hidden="false" customHeight="false" outlineLevel="0" collapsed="false">
      <c r="A50" s="3"/>
      <c r="B50" s="3" t="s">
        <v>197</v>
      </c>
      <c r="C50" s="3" t="s">
        <v>126</v>
      </c>
      <c r="D50" s="4" t="n">
        <f aca="false">INDEX(datos_participantes!$D:$D,MATCH(C50,datos_participantes!$A:$A,0))</f>
        <v>80.2293333333333</v>
      </c>
      <c r="E50" s="4" t="n">
        <f aca="false">INDEX(datos_participantes!$F:$F,MATCH(C50,datos_participantes!$A:$A,0))</f>
        <v>0.0306434083253844</v>
      </c>
      <c r="F50" s="4" t="n">
        <f aca="false">IF(OR(NOT(ISNUMBER(D50)),NOT(ISNUMBER(INDEX(valor_asignado!$C:$C,MATCH(B50,valor_asignado!$B:$B,0)))),NOT(ISNUMBER(INDEX(valor_asignado!$D:$D,MATCH(B50,valor_asignado!$B:$B,0)))),INDEX(valor_asignado!$D:$D,MATCH(B50,valor_asignado!$B:$B,0))=0),"",(D50-INDEX(valor_asignado!$C:$C,MATCH(B50,valor_asignado!$B:$B,0)))/INDEX(valor_asignado!$D:$D,MATCH(B50,valor_asignado!$B:$B,0)))</f>
        <v>0.128179137722645</v>
      </c>
      <c r="G50" s="5" t="str">
        <f aca="false">IF(F50="","N/A",IF(ABS(F50)&lt;=2,"Satisfactorio",IF(ABS(F50)&lt;3,"Cuestionable","No satisfactorio")))</f>
        <v>Satisfactorio</v>
      </c>
      <c r="H50" s="4" t="n">
        <f aca="false">IF(OR(NOT(ISNUMBER(D50)),NOT(ISNUMBER(INDEX(valor_asignado!$C:$C,MATCH(B50,valor_asignado!$B:$B,0)))),NOT(ISNUMBER(SQRT(INDEX(valor_asignado!$D:$D,MATCH(B50,valor_asignado!$B:$B,0))^2+INDEX(valor_asignado!$H:$H,MATCH(B50,valor_asignado!$B:$B,0))^2))),SQRT(INDEX(valor_asignado!$D:$D,MATCH(B50,valor_asignado!$B:$B,0))^2+INDEX(valor_asignado!$H:$H,MATCH(B50,valor_asignado!$B:$B,0))^2)=0),"",(D50-INDEX(valor_asignado!$C:$C,MATCH(B50,valor_asignado!$B:$B,0)))/SQRT(INDEX(valor_asignado!$D:$D,MATCH(B50,valor_asignado!$B:$B,0))^2+INDEX(valor_asignado!$H:$H,MATCH(B50,valor_asignado!$B:$B,0))^2))</f>
        <v>0.124711226358526</v>
      </c>
      <c r="I50" s="5" t="str">
        <f aca="false">IF(H50="","N/A",IF(ABS(H50)&lt;=2,"Satisfactorio",IF(ABS(H50)&lt;3,"Cuestionable","No satisfactorio")))</f>
        <v>Satisfactorio</v>
      </c>
      <c r="J50" s="4" t="n">
        <f aca="false">IF(OR(NOT(ISNUMBER(D50)),NOT(ISNUMBER(INDEX(valor_asignado!$C:$C,MATCH(B50,valor_asignado!$B:$B,0)))),NOT(ISNUMBER(SQRT(E50^2+INDEX(valor_asignado!$H:$H,MATCH(B50,valor_asignado!$B:$B,0))^2))),SQRT(E50^2+INDEX(valor_asignado!$H:$H,MATCH(B50,valor_asignado!$B:$B,0))^2)=0),"",(D50-INDEX(valor_asignado!$C:$C,MATCH(B50,valor_asignado!$B:$B,0)))/SQRT(E50^2+INDEX(valor_asignado!$H:$H,MATCH(B50,valor_asignado!$B:$B,0))^2))</f>
        <v>0.539122728665109</v>
      </c>
      <c r="K50" s="5" t="str">
        <f aca="false">IF(J50="","N/A",IF(ABS(J50)&lt;=2,"Satisfactorio",IF(ABS(J50)&lt;3,"Cuestionable","No satisfactorio")))</f>
        <v>Satisfactorio</v>
      </c>
      <c r="L50" s="4" t="n">
        <f aca="false">IF(OR(NOT(ISNUMBER(D50)),NOT(ISNUMBER(INDEX(valor_asignado!$C:$C,MATCH(B50,valor_asignado!$B:$B,0)))),NOT(ISNUMBER(SQRT((2*E50)^2+(2*INDEX(valor_asignado!$H:$H,MATCH(B50,valor_asignado!$B:$B,0)))^2))),SQRT((2*E50)^2+(2*INDEX(valor_asignado!$H:$H,MATCH(B50,valor_asignado!$B:$B,0)))^2)=0),"",(D50-INDEX(valor_asignado!$C:$C,MATCH(B50,valor_asignado!$B:$B,0)))/SQRT((2*E50)^2+(2*INDEX(valor_asignado!$H:$H,MATCH(B50,valor_asignado!$B:$B,0)))^2))</f>
        <v>0.269561364332555</v>
      </c>
      <c r="M50" s="5" t="str">
        <f aca="false">IF(L50="","N/A",IF(ABS(L50)&lt;=1,"Satisfactorio","No satisfactorio"))</f>
        <v>Satisfactorio</v>
      </c>
      <c r="N50" s="5" t="str">
        <f aca="false">IF(AND(SUM(IF(AND(D50="",validacion_snapshot!$U$97=""),0,IFERROR(ABS(D50-validacion_snapshot!$U$97),1E+099)),IF(AND(E50="",validacion_snapshot!$V$97=""),0,IFERROR(ABS(E50-validacion_snapshot!$V$97),1E+099)),IF(AND(F50="",validacion_snapshot!$W$97=""),0,IFERROR(ABS(F50-validacion_snapshot!$W$97),1E+099)),IF(AND(H50="",validacion_snapshot!$Y$97=""),0,IFERROR(ABS(H50-validacion_snapshot!$Y$97),1E+099)),IF(AND(J50="",validacion_snapshot!$AA$97=""),0,IFERROR(ABS(J50-validacion_snapshot!$AA$97),1E+099)),IF(AND(L50="",validacion_snapshot!$AC$97=""),0,IFERROR(ABS(L50-validacion_snapshot!$AC$97),1E+099)))&lt;=0.00000001,G50=validacion_snapshot!$X$97,I50=validacion_snapshot!$Z$97,K50=validacion_snapshot!$AB$97,M50=validacion_snapshot!$AD$97),"OK","FALLA")</f>
        <v>OK</v>
      </c>
    </row>
    <row r="51" customFormat="false" ht="15" hidden="false" customHeight="false" outlineLevel="0" collapsed="false">
      <c r="A51" s="3"/>
      <c r="B51" s="3" t="s">
        <v>197</v>
      </c>
      <c r="C51" s="3" t="s">
        <v>127</v>
      </c>
      <c r="D51" s="4" t="n">
        <f aca="false">INDEX(datos_participantes!$D:$D,MATCH(C51,datos_participantes!$A:$A,0))</f>
        <v>80.086</v>
      </c>
      <c r="E51" s="4" t="n">
        <f aca="false">INDEX(datos_participantes!$F:$F,MATCH(C51,datos_participantes!$A:$A,0))</f>
        <v>0.0117087117022311</v>
      </c>
      <c r="F51" s="4" t="n">
        <f aca="false">IF(OR(NOT(ISNUMBER(D51)),NOT(ISNUMBER(INDEX(valor_asignado!$C:$C,MATCH(B51,valor_asignado!$B:$B,0)))),NOT(ISNUMBER(INDEX(valor_asignado!$D:$D,MATCH(B51,valor_asignado!$B:$B,0)))),INDEX(valor_asignado!$D:$D,MATCH(B51,valor_asignado!$B:$B,0))=0),"",(D51-INDEX(valor_asignado!$C:$C,MATCH(B51,valor_asignado!$B:$B,0)))/INDEX(valor_asignado!$D:$D,MATCH(B51,valor_asignado!$B:$B,0)))</f>
        <v>0.0730069363004971</v>
      </c>
      <c r="G51" s="5" t="str">
        <f aca="false">IF(F51="","N/A",IF(ABS(F51)&lt;=2,"Satisfactorio",IF(ABS(F51)&lt;3,"Cuestionable","No satisfactorio")))</f>
        <v>Satisfactorio</v>
      </c>
      <c r="H51" s="4" t="n">
        <f aca="false">IF(OR(NOT(ISNUMBER(D51)),NOT(ISNUMBER(INDEX(valor_asignado!$C:$C,MATCH(B51,valor_asignado!$B:$B,0)))),NOT(ISNUMBER(SQRT(INDEX(valor_asignado!$D:$D,MATCH(B51,valor_asignado!$B:$B,0))^2+INDEX(valor_asignado!$H:$H,MATCH(B51,valor_asignado!$B:$B,0))^2))),SQRT(INDEX(valor_asignado!$D:$D,MATCH(B51,valor_asignado!$B:$B,0))^2+INDEX(valor_asignado!$H:$H,MATCH(B51,valor_asignado!$B:$B,0))^2)=0),"",(D51-INDEX(valor_asignado!$C:$C,MATCH(B51,valor_asignado!$B:$B,0)))/SQRT(INDEX(valor_asignado!$D:$D,MATCH(B51,valor_asignado!$B:$B,0))^2+INDEX(valor_asignado!$H:$H,MATCH(B51,valor_asignado!$B:$B,0))^2))</f>
        <v>0.07103171951753</v>
      </c>
      <c r="I51" s="5" t="str">
        <f aca="false">IF(H51="","N/A",IF(ABS(H51)&lt;=2,"Satisfactorio",IF(ABS(H51)&lt;3,"Cuestionable","No satisfactorio")))</f>
        <v>Satisfactorio</v>
      </c>
      <c r="J51" s="4" t="n">
        <f aca="false">IF(OR(NOT(ISNUMBER(D51)),NOT(ISNUMBER(INDEX(valor_asignado!$C:$C,MATCH(B51,valor_asignado!$B:$B,0)))),NOT(ISNUMBER(SQRT(E51^2+INDEX(valor_asignado!$H:$H,MATCH(B51,valor_asignado!$B:$B,0))^2))),SQRT(E51^2+INDEX(valor_asignado!$H:$H,MATCH(B51,valor_asignado!$B:$B,0))^2)=0),"",(D51-INDEX(valor_asignado!$C:$C,MATCH(B51,valor_asignado!$B:$B,0)))/SQRT(E51^2+INDEX(valor_asignado!$H:$H,MATCH(B51,valor_asignado!$B:$B,0))^2))</f>
        <v>0.307391129312557</v>
      </c>
      <c r="K51" s="5" t="str">
        <f aca="false">IF(J51="","N/A",IF(ABS(J51)&lt;=2,"Satisfactorio",IF(ABS(J51)&lt;3,"Cuestionable","No satisfactorio")))</f>
        <v>Satisfactorio</v>
      </c>
      <c r="L51" s="4" t="n">
        <f aca="false">IF(OR(NOT(ISNUMBER(D51)),NOT(ISNUMBER(INDEX(valor_asignado!$C:$C,MATCH(B51,valor_asignado!$B:$B,0)))),NOT(ISNUMBER(SQRT((2*E51)^2+(2*INDEX(valor_asignado!$H:$H,MATCH(B51,valor_asignado!$B:$B,0)))^2))),SQRT((2*E51)^2+(2*INDEX(valor_asignado!$H:$H,MATCH(B51,valor_asignado!$B:$B,0)))^2)=0),"",(D51-INDEX(valor_asignado!$C:$C,MATCH(B51,valor_asignado!$B:$B,0)))/SQRT((2*E51)^2+(2*INDEX(valor_asignado!$H:$H,MATCH(B51,valor_asignado!$B:$B,0)))^2))</f>
        <v>0.153695564656279</v>
      </c>
      <c r="M51" s="5" t="str">
        <f aca="false">IF(L51="","N/A",IF(ABS(L51)&lt;=1,"Satisfactorio","No satisfactorio"))</f>
        <v>Satisfactorio</v>
      </c>
      <c r="N51" s="5" t="str">
        <f aca="false">IF(AND(SUM(IF(AND(D51="",validacion_snapshot!$U$98=""),0,IFERROR(ABS(D51-validacion_snapshot!$U$98),1E+099)),IF(AND(E51="",validacion_snapshot!$V$98=""),0,IFERROR(ABS(E51-validacion_snapshot!$V$98),1E+099)),IF(AND(F51="",validacion_snapshot!$W$98=""),0,IFERROR(ABS(F51-validacion_snapshot!$W$98),1E+099)),IF(AND(H51="",validacion_snapshot!$Y$98=""),0,IFERROR(ABS(H51-validacion_snapshot!$Y$98),1E+099)),IF(AND(J51="",validacion_snapshot!$AA$98=""),0,IFERROR(ABS(J51-validacion_snapshot!$AA$98),1E+099)),IF(AND(L51="",validacion_snapshot!$AC$98=""),0,IFERROR(ABS(L51-validacion_snapshot!$AC$98),1E+099)))&lt;=0.00000001,G51=validacion_snapshot!$X$98,I51=validacion_snapshot!$Z$98,K51=validacion_snapshot!$AB$98,M51=validacion_snapshot!$AD$98),"OK","FALLA")</f>
        <v>OK</v>
      </c>
    </row>
    <row r="52" customFormat="false" ht="15" hidden="false" customHeight="false" outlineLevel="0" collapsed="false">
      <c r="A52" s="3"/>
      <c r="B52" s="3" t="s">
        <v>197</v>
      </c>
      <c r="C52" s="3" t="s">
        <v>128</v>
      </c>
      <c r="D52" s="4" t="n">
        <f aca="false">INDEX(datos_participantes!$D:$D,MATCH(C52,datos_participantes!$A:$A,0))</f>
        <v>80.056</v>
      </c>
      <c r="E52" s="4" t="n">
        <f aca="false">INDEX(datos_participantes!$F:$F,MATCH(C52,datos_participantes!$A:$A,0))</f>
        <v>0.0942858874123054</v>
      </c>
      <c r="F52" s="4" t="n">
        <f aca="false">IF(OR(NOT(ISNUMBER(D52)),NOT(ISNUMBER(INDEX(valor_asignado!$C:$C,MATCH(B52,valor_asignado!$B:$B,0)))),NOT(ISNUMBER(INDEX(valor_asignado!$D:$D,MATCH(B52,valor_asignado!$B:$B,0)))),INDEX(valor_asignado!$D:$D,MATCH(B52,valor_asignado!$B:$B,0))=0),"",(D52-INDEX(valor_asignado!$C:$C,MATCH(B52,valor_asignado!$B:$B,0)))/INDEX(valor_asignado!$D:$D,MATCH(B52,valor_asignado!$B:$B,0)))</f>
        <v>0.0614592662353934</v>
      </c>
      <c r="G52" s="5" t="str">
        <f aca="false">IF(F52="","N/A",IF(ABS(F52)&lt;=2,"Satisfactorio",IF(ABS(F52)&lt;3,"Cuestionable","No satisfactorio")))</f>
        <v>Satisfactorio</v>
      </c>
      <c r="H52" s="4" t="n">
        <f aca="false">IF(OR(NOT(ISNUMBER(D52)),NOT(ISNUMBER(INDEX(valor_asignado!$C:$C,MATCH(B52,valor_asignado!$B:$B,0)))),NOT(ISNUMBER(SQRT(INDEX(valor_asignado!$D:$D,MATCH(B52,valor_asignado!$B:$B,0))^2+INDEX(valor_asignado!$H:$H,MATCH(B52,valor_asignado!$B:$B,0))^2))),SQRT(INDEX(valor_asignado!$D:$D,MATCH(B52,valor_asignado!$B:$B,0))^2+INDEX(valor_asignado!$H:$H,MATCH(B52,valor_asignado!$B:$B,0))^2)=0),"",(D52-INDEX(valor_asignado!$C:$C,MATCH(B52,valor_asignado!$B:$B,0)))/SQRT(INDEX(valor_asignado!$D:$D,MATCH(B52,valor_asignado!$B:$B,0))^2+INDEX(valor_asignado!$H:$H,MATCH(B52,valor_asignado!$B:$B,0))^2))</f>
        <v>0.0597964738996443</v>
      </c>
      <c r="I52" s="5" t="str">
        <f aca="false">IF(H52="","N/A",IF(ABS(H52)&lt;=2,"Satisfactorio",IF(ABS(H52)&lt;3,"Cuestionable","No satisfactorio")))</f>
        <v>Satisfactorio</v>
      </c>
      <c r="J52" s="4" t="n">
        <f aca="false">IF(OR(NOT(ISNUMBER(D52)),NOT(ISNUMBER(INDEX(valor_asignado!$C:$C,MATCH(B52,valor_asignado!$B:$B,0)))),NOT(ISNUMBER(SQRT(E52^2+INDEX(valor_asignado!$H:$H,MATCH(B52,valor_asignado!$B:$B,0))^2))),SQRT(E52^2+INDEX(valor_asignado!$H:$H,MATCH(B52,valor_asignado!$B:$B,0))^2)=0),"",(D52-INDEX(valor_asignado!$C:$C,MATCH(B52,valor_asignado!$B:$B,0)))/SQRT(E52^2+INDEX(valor_asignado!$H:$H,MATCH(B52,valor_asignado!$B:$B,0))^2))</f>
        <v>0.255846112453598</v>
      </c>
      <c r="K52" s="5" t="str">
        <f aca="false">IF(J52="","N/A",IF(ABS(J52)&lt;=2,"Satisfactorio",IF(ABS(J52)&lt;3,"Cuestionable","No satisfactorio")))</f>
        <v>Satisfactorio</v>
      </c>
      <c r="L52" s="4" t="n">
        <f aca="false">IF(OR(NOT(ISNUMBER(D52)),NOT(ISNUMBER(INDEX(valor_asignado!$C:$C,MATCH(B52,valor_asignado!$B:$B,0)))),NOT(ISNUMBER(SQRT((2*E52)^2+(2*INDEX(valor_asignado!$H:$H,MATCH(B52,valor_asignado!$B:$B,0)))^2))),SQRT((2*E52)^2+(2*INDEX(valor_asignado!$H:$H,MATCH(B52,valor_asignado!$B:$B,0)))^2)=0),"",(D52-INDEX(valor_asignado!$C:$C,MATCH(B52,valor_asignado!$B:$B,0)))/SQRT((2*E52)^2+(2*INDEX(valor_asignado!$H:$H,MATCH(B52,valor_asignado!$B:$B,0)))^2))</f>
        <v>0.127923056226799</v>
      </c>
      <c r="M52" s="5" t="str">
        <f aca="false">IF(L52="","N/A",IF(ABS(L52)&lt;=1,"Satisfactorio","No satisfactorio"))</f>
        <v>Satisfactorio</v>
      </c>
      <c r="N52" s="5" t="str">
        <f aca="false">IF(AND(SUM(IF(AND(D52="",validacion_snapshot!$U$99=""),0,IFERROR(ABS(D52-validacion_snapshot!$U$99),1E+099)),IF(AND(E52="",validacion_snapshot!$V$99=""),0,IFERROR(ABS(E52-validacion_snapshot!$V$99),1E+099)),IF(AND(F52="",validacion_snapshot!$W$99=""),0,IFERROR(ABS(F52-validacion_snapshot!$W$99),1E+099)),IF(AND(H52="",validacion_snapshot!$Y$99=""),0,IFERROR(ABS(H52-validacion_snapshot!$Y$99),1E+099)),IF(AND(J52="",validacion_snapshot!$AA$99=""),0,IFERROR(ABS(J52-validacion_snapshot!$AA$99),1E+099)),IF(AND(L52="",validacion_snapshot!$AC$99=""),0,IFERROR(ABS(L52-validacion_snapshot!$AC$99),1E+099)))&lt;=0.00000001,G52=validacion_snapshot!$X$99,I52=validacion_snapshot!$Z$99,K52=validacion_snapshot!$AB$99,M52=validacion_snapshot!$AD$99),"OK","FALLA")</f>
        <v>OK</v>
      </c>
    </row>
    <row r="53" customFormat="false" ht="15" hidden="false" customHeight="false" outlineLevel="0" collapsed="false">
      <c r="A53" s="3"/>
      <c r="B53" s="3" t="s">
        <v>197</v>
      </c>
      <c r="C53" s="3" t="s">
        <v>129</v>
      </c>
      <c r="D53" s="4" t="n">
        <f aca="false">INDEX(datos_participantes!$D:$D,MATCH(C53,datos_participantes!$A:$A,0))</f>
        <v>80.031</v>
      </c>
      <c r="E53" s="4" t="n">
        <f aca="false">INDEX(datos_participantes!$F:$F,MATCH(C53,datos_participantes!$A:$A,0))</f>
        <v>0.0924819264641932</v>
      </c>
      <c r="F53" s="4" t="n">
        <f aca="false">IF(OR(NOT(ISNUMBER(D53)),NOT(ISNUMBER(INDEX(valor_asignado!$C:$C,MATCH(B53,valor_asignado!$B:$B,0)))),NOT(ISNUMBER(INDEX(valor_asignado!$D:$D,MATCH(B53,valor_asignado!$B:$B,0)))),INDEX(valor_asignado!$D:$D,MATCH(B53,valor_asignado!$B:$B,0))=0),"",(D53-INDEX(valor_asignado!$C:$C,MATCH(B53,valor_asignado!$B:$B,0)))/INDEX(valor_asignado!$D:$D,MATCH(B53,valor_asignado!$B:$B,0)))</f>
        <v>0.0518362078478107</v>
      </c>
      <c r="G53" s="5" t="str">
        <f aca="false">IF(F53="","N/A",IF(ABS(F53)&lt;=2,"Satisfactorio",IF(ABS(F53)&lt;3,"Cuestionable","No satisfactorio")))</f>
        <v>Satisfactorio</v>
      </c>
      <c r="H53" s="4" t="n">
        <f aca="false">IF(OR(NOT(ISNUMBER(D53)),NOT(ISNUMBER(INDEX(valor_asignado!$C:$C,MATCH(B53,valor_asignado!$B:$B,0)))),NOT(ISNUMBER(SQRT(INDEX(valor_asignado!$D:$D,MATCH(B53,valor_asignado!$B:$B,0))^2+INDEX(valor_asignado!$H:$H,MATCH(B53,valor_asignado!$B:$B,0))^2))),SQRT(INDEX(valor_asignado!$D:$D,MATCH(B53,valor_asignado!$B:$B,0))^2+INDEX(valor_asignado!$H:$H,MATCH(B53,valor_asignado!$B:$B,0))^2)=0),"",(D53-INDEX(valor_asignado!$C:$C,MATCH(B53,valor_asignado!$B:$B,0)))/SQRT(INDEX(valor_asignado!$D:$D,MATCH(B53,valor_asignado!$B:$B,0))^2+INDEX(valor_asignado!$H:$H,MATCH(B53,valor_asignado!$B:$B,0))^2))</f>
        <v>0.0504337692180765</v>
      </c>
      <c r="I53" s="5" t="str">
        <f aca="false">IF(H53="","N/A",IF(ABS(H53)&lt;=2,"Satisfactorio",IF(ABS(H53)&lt;3,"Cuestionable","No satisfactorio")))</f>
        <v>Satisfactorio</v>
      </c>
      <c r="J53" s="4" t="n">
        <f aca="false">IF(OR(NOT(ISNUMBER(D53)),NOT(ISNUMBER(INDEX(valor_asignado!$C:$C,MATCH(B53,valor_asignado!$B:$B,0)))),NOT(ISNUMBER(SQRT(E53^2+INDEX(valor_asignado!$H:$H,MATCH(B53,valor_asignado!$B:$B,0))^2))),SQRT(E53^2+INDEX(valor_asignado!$H:$H,MATCH(B53,valor_asignado!$B:$B,0))^2)=0),"",(D53-INDEX(valor_asignado!$C:$C,MATCH(B53,valor_asignado!$B:$B,0)))/SQRT(E53^2+INDEX(valor_asignado!$H:$H,MATCH(B53,valor_asignado!$B:$B,0))^2))</f>
        <v>0.215880097689937</v>
      </c>
      <c r="K53" s="5" t="str">
        <f aca="false">IF(J53="","N/A",IF(ABS(J53)&lt;=2,"Satisfactorio",IF(ABS(J53)&lt;3,"Cuestionable","No satisfactorio")))</f>
        <v>Satisfactorio</v>
      </c>
      <c r="L53" s="4" t="n">
        <f aca="false">IF(OR(NOT(ISNUMBER(D53)),NOT(ISNUMBER(INDEX(valor_asignado!$C:$C,MATCH(B53,valor_asignado!$B:$B,0)))),NOT(ISNUMBER(SQRT((2*E53)^2+(2*INDEX(valor_asignado!$H:$H,MATCH(B53,valor_asignado!$B:$B,0)))^2))),SQRT((2*E53)^2+(2*INDEX(valor_asignado!$H:$H,MATCH(B53,valor_asignado!$B:$B,0)))^2)=0),"",(D53-INDEX(valor_asignado!$C:$C,MATCH(B53,valor_asignado!$B:$B,0)))/SQRT((2*E53)^2+(2*INDEX(valor_asignado!$H:$H,MATCH(B53,valor_asignado!$B:$B,0)))^2))</f>
        <v>0.107940048844969</v>
      </c>
      <c r="M53" s="5" t="str">
        <f aca="false">IF(L53="","N/A",IF(ABS(L53)&lt;=1,"Satisfactorio","No satisfactorio"))</f>
        <v>Satisfactorio</v>
      </c>
      <c r="N53" s="5" t="str">
        <f aca="false">IF(AND(SUM(IF(AND(D53="",validacion_snapshot!$U$100=""),0,IFERROR(ABS(D53-validacion_snapshot!$U$100),1E+099)),IF(AND(E53="",validacion_snapshot!$V$100=""),0,IFERROR(ABS(E53-validacion_snapshot!$V$100),1E+099)),IF(AND(F53="",validacion_snapshot!$W$100=""),0,IFERROR(ABS(F53-validacion_snapshot!$W$100),1E+099)),IF(AND(H53="",validacion_snapshot!$Y$100=""),0,IFERROR(ABS(H53-validacion_snapshot!$Y$100),1E+099)),IF(AND(J53="",validacion_snapshot!$AA$100=""),0,IFERROR(ABS(J53-validacion_snapshot!$AA$100),1E+099)),IF(AND(L53="",validacion_snapshot!$AC$100=""),0,IFERROR(ABS(L53-validacion_snapshot!$AC$100),1E+099)))&lt;=0.00000001,G53=validacion_snapshot!$X$100,I53=validacion_snapshot!$Z$100,K53=validacion_snapshot!$AB$100,M53=validacion_snapshot!$AD$100),"OK","FALLA")</f>
        <v>OK</v>
      </c>
    </row>
    <row r="54" customFormat="false" ht="15" hidden="false" customHeight="false" outlineLevel="0" collapsed="false">
      <c r="A54" s="3"/>
      <c r="B54" s="3" t="s">
        <v>197</v>
      </c>
      <c r="C54" s="3" t="s">
        <v>130</v>
      </c>
      <c r="D54" s="4" t="n">
        <f aca="false">INDEX(datos_participantes!$D:$D,MATCH(C54,datos_participantes!$A:$A,0))</f>
        <v>80.0573333333333</v>
      </c>
      <c r="E54" s="4" t="n">
        <f aca="false">INDEX(datos_participantes!$F:$F,MATCH(C54,datos_participantes!$A:$A,0))</f>
        <v>0.147603994565192</v>
      </c>
      <c r="F54" s="4" t="n">
        <f aca="false">IF(OR(NOT(ISNUMBER(D54)),NOT(ISNUMBER(INDEX(valor_asignado!$C:$C,MATCH(B54,valor_asignado!$B:$B,0)))),NOT(ISNUMBER(INDEX(valor_asignado!$D:$D,MATCH(B54,valor_asignado!$B:$B,0)))),INDEX(valor_asignado!$D:$D,MATCH(B54,valor_asignado!$B:$B,0))=0),"",(D54-INDEX(valor_asignado!$C:$C,MATCH(B54,valor_asignado!$B:$B,0)))/INDEX(valor_asignado!$D:$D,MATCH(B54,valor_asignado!$B:$B,0)))</f>
        <v>0.0619724960160544</v>
      </c>
      <c r="G54" s="5" t="str">
        <f aca="false">IF(F54="","N/A",IF(ABS(F54)&lt;=2,"Satisfactorio",IF(ABS(F54)&lt;3,"Cuestionable","No satisfactorio")))</f>
        <v>Satisfactorio</v>
      </c>
      <c r="H54" s="4" t="n">
        <f aca="false">IF(OR(NOT(ISNUMBER(D54)),NOT(ISNUMBER(INDEX(valor_asignado!$C:$C,MATCH(B54,valor_asignado!$B:$B,0)))),NOT(ISNUMBER(SQRT(INDEX(valor_asignado!$D:$D,MATCH(B54,valor_asignado!$B:$B,0))^2+INDEX(valor_asignado!$H:$H,MATCH(B54,valor_asignado!$B:$B,0))^2))),SQRT(INDEX(valor_asignado!$D:$D,MATCH(B54,valor_asignado!$B:$B,0))^2+INDEX(valor_asignado!$H:$H,MATCH(B54,valor_asignado!$B:$B,0))^2)=0),"",(D54-INDEX(valor_asignado!$C:$C,MATCH(B54,valor_asignado!$B:$B,0)))/SQRT(INDEX(valor_asignado!$D:$D,MATCH(B54,valor_asignado!$B:$B,0))^2+INDEX(valor_asignado!$H:$H,MATCH(B54,valor_asignado!$B:$B,0))^2))</f>
        <v>0.0602958181493181</v>
      </c>
      <c r="I54" s="5" t="str">
        <f aca="false">IF(H54="","N/A",IF(ABS(H54)&lt;=2,"Satisfactorio",IF(ABS(H54)&lt;3,"Cuestionable","No satisfactorio")))</f>
        <v>Satisfactorio</v>
      </c>
      <c r="J54" s="4" t="n">
        <f aca="false">IF(OR(NOT(ISNUMBER(D54)),NOT(ISNUMBER(INDEX(valor_asignado!$C:$C,MATCH(B54,valor_asignado!$B:$B,0)))),NOT(ISNUMBER(SQRT(E54^2+INDEX(valor_asignado!$H:$H,MATCH(B54,valor_asignado!$B:$B,0))^2))),SQRT(E54^2+INDEX(valor_asignado!$H:$H,MATCH(B54,valor_asignado!$B:$B,0))^2)=0),"",(D54-INDEX(valor_asignado!$C:$C,MATCH(B54,valor_asignado!$B:$B,0)))/SQRT(E54^2+INDEX(valor_asignado!$H:$H,MATCH(B54,valor_asignado!$B:$B,0))^2))</f>
        <v>0.25381434129894</v>
      </c>
      <c r="K54" s="5" t="str">
        <f aca="false">IF(J54="","N/A",IF(ABS(J54)&lt;=2,"Satisfactorio",IF(ABS(J54)&lt;3,"Cuestionable","No satisfactorio")))</f>
        <v>Satisfactorio</v>
      </c>
      <c r="L54" s="4" t="n">
        <f aca="false">IF(OR(NOT(ISNUMBER(D54)),NOT(ISNUMBER(INDEX(valor_asignado!$C:$C,MATCH(B54,valor_asignado!$B:$B,0)))),NOT(ISNUMBER(SQRT((2*E54)^2+(2*INDEX(valor_asignado!$H:$H,MATCH(B54,valor_asignado!$B:$B,0)))^2))),SQRT((2*E54)^2+(2*INDEX(valor_asignado!$H:$H,MATCH(B54,valor_asignado!$B:$B,0)))^2)=0),"",(D54-INDEX(valor_asignado!$C:$C,MATCH(B54,valor_asignado!$B:$B,0)))/SQRT((2*E54)^2+(2*INDEX(valor_asignado!$H:$H,MATCH(B54,valor_asignado!$B:$B,0)))^2))</f>
        <v>0.12690717064947</v>
      </c>
      <c r="M54" s="5" t="str">
        <f aca="false">IF(L54="","N/A",IF(ABS(L54)&lt;=1,"Satisfactorio","No satisfactorio"))</f>
        <v>Satisfactorio</v>
      </c>
      <c r="N54" s="5" t="str">
        <f aca="false">IF(AND(SUM(IF(AND(D54="",validacion_snapshot!$U$101=""),0,IFERROR(ABS(D54-validacion_snapshot!$U$101),1E+099)),IF(AND(E54="",validacion_snapshot!$V$101=""),0,IFERROR(ABS(E54-validacion_snapshot!$V$101),1E+099)),IF(AND(F54="",validacion_snapshot!$W$101=""),0,IFERROR(ABS(F54-validacion_snapshot!$W$101),1E+099)),IF(AND(H54="",validacion_snapshot!$Y$101=""),0,IFERROR(ABS(H54-validacion_snapshot!$Y$101),1E+099)),IF(AND(J54="",validacion_snapshot!$AA$101=""),0,IFERROR(ABS(J54-validacion_snapshot!$AA$101),1E+099)),IF(AND(L54="",validacion_snapshot!$AC$101=""),0,IFERROR(ABS(L54-validacion_snapshot!$AC$101),1E+099)))&lt;=0.00000001,G54=validacion_snapshot!$X$101,I54=validacion_snapshot!$Z$101,K54=validacion_snapshot!$AB$101,M54=validacion_snapshot!$AD$101),"OK","FALLA")</f>
        <v>OK</v>
      </c>
    </row>
    <row r="55" customFormat="false" ht="15" hidden="false" customHeight="false" outlineLevel="0" collapsed="false">
      <c r="A55" s="3"/>
      <c r="B55" s="3" t="s">
        <v>197</v>
      </c>
      <c r="C55" s="3" t="s">
        <v>131</v>
      </c>
      <c r="D55" s="4" t="n">
        <f aca="false">INDEX(datos_participantes!$D:$D,MATCH(C55,datos_participantes!$A:$A,0))</f>
        <v>79.9836666666667</v>
      </c>
      <c r="E55" s="4" t="n">
        <f aca="false">INDEX(datos_participantes!$F:$F,MATCH(C55,datos_participantes!$A:$A,0))</f>
        <v>0.0704138562754267</v>
      </c>
      <c r="F55" s="4" t="n">
        <f aca="false">IF(OR(NOT(ISNUMBER(D55)),NOT(ISNUMBER(INDEX(valor_asignado!$C:$C,MATCH(B55,valor_asignado!$B:$B,0)))),NOT(ISNUMBER(INDEX(valor_asignado!$D:$D,MATCH(B55,valor_asignado!$B:$B,0)))),INDEX(valor_asignado!$D:$D,MATCH(B55,valor_asignado!$B:$B,0))=0),"",(D55-INDEX(valor_asignado!$C:$C,MATCH(B55,valor_asignado!$B:$B,0)))/INDEX(valor_asignado!$D:$D,MATCH(B55,valor_asignado!$B:$B,0)))</f>
        <v>0.0336165506339945</v>
      </c>
      <c r="G55" s="5" t="str">
        <f aca="false">IF(F55="","N/A",IF(ABS(F55)&lt;=2,"Satisfactorio",IF(ABS(F55)&lt;3,"Cuestionable","No satisfactorio")))</f>
        <v>Satisfactorio</v>
      </c>
      <c r="H55" s="4" t="n">
        <f aca="false">IF(OR(NOT(ISNUMBER(D55)),NOT(ISNUMBER(INDEX(valor_asignado!$C:$C,MATCH(B55,valor_asignado!$B:$B,0)))),NOT(ISNUMBER(SQRT(INDEX(valor_asignado!$D:$D,MATCH(B55,valor_asignado!$B:$B,0))^2+INDEX(valor_asignado!$H:$H,MATCH(B55,valor_asignado!$B:$B,0))^2))),SQRT(INDEX(valor_asignado!$D:$D,MATCH(B55,valor_asignado!$B:$B,0))^2+INDEX(valor_asignado!$H:$H,MATCH(B55,valor_asignado!$B:$B,0))^2)=0),"",(D55-INDEX(valor_asignado!$C:$C,MATCH(B55,valor_asignado!$B:$B,0)))/SQRT(INDEX(valor_asignado!$D:$D,MATCH(B55,valor_asignado!$B:$B,0))^2+INDEX(valor_asignado!$H:$H,MATCH(B55,valor_asignado!$B:$B,0))^2))</f>
        <v>0.0327070483543149</v>
      </c>
      <c r="I55" s="5" t="str">
        <f aca="false">IF(H55="","N/A",IF(ABS(H55)&lt;=2,"Satisfactorio",IF(ABS(H55)&lt;3,"Cuestionable","No satisfactorio")))</f>
        <v>Satisfactorio</v>
      </c>
      <c r="J55" s="4" t="n">
        <f aca="false">IF(OR(NOT(ISNUMBER(D55)),NOT(ISNUMBER(INDEX(valor_asignado!$C:$C,MATCH(B55,valor_asignado!$B:$B,0)))),NOT(ISNUMBER(SQRT(E55^2+INDEX(valor_asignado!$H:$H,MATCH(B55,valor_asignado!$B:$B,0))^2))),SQRT(E55^2+INDEX(valor_asignado!$H:$H,MATCH(B55,valor_asignado!$B:$B,0))^2)=0),"",(D55-INDEX(valor_asignado!$C:$C,MATCH(B55,valor_asignado!$B:$B,0)))/SQRT(E55^2+INDEX(valor_asignado!$H:$H,MATCH(B55,valor_asignado!$B:$B,0))^2))</f>
        <v>0.140652633248517</v>
      </c>
      <c r="K55" s="5" t="str">
        <f aca="false">IF(J55="","N/A",IF(ABS(J55)&lt;=2,"Satisfactorio",IF(ABS(J55)&lt;3,"Cuestionable","No satisfactorio")))</f>
        <v>Satisfactorio</v>
      </c>
      <c r="L55" s="4" t="n">
        <f aca="false">IF(OR(NOT(ISNUMBER(D55)),NOT(ISNUMBER(INDEX(valor_asignado!$C:$C,MATCH(B55,valor_asignado!$B:$B,0)))),NOT(ISNUMBER(SQRT((2*E55)^2+(2*INDEX(valor_asignado!$H:$H,MATCH(B55,valor_asignado!$B:$B,0)))^2))),SQRT((2*E55)^2+(2*INDEX(valor_asignado!$H:$H,MATCH(B55,valor_asignado!$B:$B,0)))^2)=0),"",(D55-INDEX(valor_asignado!$C:$C,MATCH(B55,valor_asignado!$B:$B,0)))/SQRT((2*E55)^2+(2*INDEX(valor_asignado!$H:$H,MATCH(B55,valor_asignado!$B:$B,0)))^2))</f>
        <v>0.0703263166242583</v>
      </c>
      <c r="M55" s="5" t="str">
        <f aca="false">IF(L55="","N/A",IF(ABS(L55)&lt;=1,"Satisfactorio","No satisfactorio"))</f>
        <v>Satisfactorio</v>
      </c>
      <c r="N55" s="5" t="str">
        <f aca="false">IF(AND(SUM(IF(AND(D55="",validacion_snapshot!$U$102=""),0,IFERROR(ABS(D55-validacion_snapshot!$U$102),1E+099)),IF(AND(E55="",validacion_snapshot!$V$102=""),0,IFERROR(ABS(E55-validacion_snapshot!$V$102),1E+099)),IF(AND(F55="",validacion_snapshot!$W$102=""),0,IFERROR(ABS(F55-validacion_snapshot!$W$102),1E+099)),IF(AND(H55="",validacion_snapshot!$Y$102=""),0,IFERROR(ABS(H55-validacion_snapshot!$Y$102),1E+099)),IF(AND(J55="",validacion_snapshot!$AA$102=""),0,IFERROR(ABS(J55-validacion_snapshot!$AA$102),1E+099)),IF(AND(L55="",validacion_snapshot!$AC$102=""),0,IFERROR(ABS(L55-validacion_snapshot!$AC$102),1E+099)))&lt;=0.00000001,G55=validacion_snapshot!$X$102,I55=validacion_snapshot!$Z$102,K55=validacion_snapshot!$AB$102,M55=validacion_snapshot!$AD$102),"OK","FALLA")</f>
        <v>OK</v>
      </c>
    </row>
    <row r="56" customFormat="false" ht="15" hidden="false" customHeight="false" outlineLevel="0" collapsed="false">
      <c r="A56" s="3"/>
      <c r="B56" s="3" t="s">
        <v>197</v>
      </c>
      <c r="C56" s="3" t="s">
        <v>132</v>
      </c>
      <c r="D56" s="4" t="n">
        <f aca="false">INDEX(datos_participantes!$D:$D,MATCH(C56,datos_participantes!$A:$A,0))</f>
        <v>80.091</v>
      </c>
      <c r="E56" s="4" t="n">
        <f aca="false">INDEX(datos_participantes!$F:$F,MATCH(C56,datos_participantes!$A:$A,0))</f>
        <v>0.131152103622788</v>
      </c>
      <c r="F56" s="4" t="n">
        <f aca="false">IF(OR(NOT(ISNUMBER(D56)),NOT(ISNUMBER(INDEX(valor_asignado!$C:$C,MATCH(B56,valor_asignado!$B:$B,0)))),NOT(ISNUMBER(INDEX(valor_asignado!$D:$D,MATCH(B56,valor_asignado!$B:$B,0)))),INDEX(valor_asignado!$D:$D,MATCH(B56,valor_asignado!$B:$B,0))=0),"",(D56-INDEX(valor_asignado!$C:$C,MATCH(B56,valor_asignado!$B:$B,0)))/INDEX(valor_asignado!$D:$D,MATCH(B56,valor_asignado!$B:$B,0)))</f>
        <v>0.0749315479780125</v>
      </c>
      <c r="G56" s="5" t="str">
        <f aca="false">IF(F56="","N/A",IF(ABS(F56)&lt;=2,"Satisfactorio",IF(ABS(F56)&lt;3,"Cuestionable","No satisfactorio")))</f>
        <v>Satisfactorio</v>
      </c>
      <c r="H56" s="4" t="n">
        <f aca="false">IF(OR(NOT(ISNUMBER(D56)),NOT(ISNUMBER(INDEX(valor_asignado!$C:$C,MATCH(B56,valor_asignado!$B:$B,0)))),NOT(ISNUMBER(SQRT(INDEX(valor_asignado!$D:$D,MATCH(B56,valor_asignado!$B:$B,0))^2+INDEX(valor_asignado!$H:$H,MATCH(B56,valor_asignado!$B:$B,0))^2))),SQRT(INDEX(valor_asignado!$D:$D,MATCH(B56,valor_asignado!$B:$B,0))^2+INDEX(valor_asignado!$H:$H,MATCH(B56,valor_asignado!$B:$B,0))^2)=0),"",(D56-INDEX(valor_asignado!$C:$C,MATCH(B56,valor_asignado!$B:$B,0)))/SQRT(INDEX(valor_asignado!$D:$D,MATCH(B56,valor_asignado!$B:$B,0))^2+INDEX(valor_asignado!$H:$H,MATCH(B56,valor_asignado!$B:$B,0))^2))</f>
        <v>0.0729042604538425</v>
      </c>
      <c r="I56" s="5" t="str">
        <f aca="false">IF(H56="","N/A",IF(ABS(H56)&lt;=2,"Satisfactorio",IF(ABS(H56)&lt;3,"Cuestionable","No satisfactorio")))</f>
        <v>Satisfactorio</v>
      </c>
      <c r="J56" s="4" t="n">
        <f aca="false">IF(OR(NOT(ISNUMBER(D56)),NOT(ISNUMBER(INDEX(valor_asignado!$C:$C,MATCH(B56,valor_asignado!$B:$B,0)))),NOT(ISNUMBER(SQRT(E56^2+INDEX(valor_asignado!$H:$H,MATCH(B56,valor_asignado!$B:$B,0))^2))),SQRT(E56^2+INDEX(valor_asignado!$H:$H,MATCH(B56,valor_asignado!$B:$B,0))^2)=0),"",(D56-INDEX(valor_asignado!$C:$C,MATCH(B56,valor_asignado!$B:$B,0)))/SQRT(E56^2+INDEX(valor_asignado!$H:$H,MATCH(B56,valor_asignado!$B:$B,0))^2))</f>
        <v>0.308653414645754</v>
      </c>
      <c r="K56" s="5" t="str">
        <f aca="false">IF(J56="","N/A",IF(ABS(J56)&lt;=2,"Satisfactorio",IF(ABS(J56)&lt;3,"Cuestionable","No satisfactorio")))</f>
        <v>Satisfactorio</v>
      </c>
      <c r="L56" s="4" t="n">
        <f aca="false">IF(OR(NOT(ISNUMBER(D56)),NOT(ISNUMBER(INDEX(valor_asignado!$C:$C,MATCH(B56,valor_asignado!$B:$B,0)))),NOT(ISNUMBER(SQRT((2*E56)^2+(2*INDEX(valor_asignado!$H:$H,MATCH(B56,valor_asignado!$B:$B,0)))^2))),SQRT((2*E56)^2+(2*INDEX(valor_asignado!$H:$H,MATCH(B56,valor_asignado!$B:$B,0)))^2)=0),"",(D56-INDEX(valor_asignado!$C:$C,MATCH(B56,valor_asignado!$B:$B,0)))/SQRT((2*E56)^2+(2*INDEX(valor_asignado!$H:$H,MATCH(B56,valor_asignado!$B:$B,0)))^2))</f>
        <v>0.154326707322877</v>
      </c>
      <c r="M56" s="5" t="str">
        <f aca="false">IF(L56="","N/A",IF(ABS(L56)&lt;=1,"Satisfactorio","No satisfactorio"))</f>
        <v>Satisfactorio</v>
      </c>
      <c r="N56" s="5" t="str">
        <f aca="false">IF(AND(SUM(IF(AND(D56="",validacion_snapshot!$U$103=""),0,IFERROR(ABS(D56-validacion_snapshot!$U$103),1E+099)),IF(AND(E56="",validacion_snapshot!$V$103=""),0,IFERROR(ABS(E56-validacion_snapshot!$V$103),1E+099)),IF(AND(F56="",validacion_snapshot!$W$103=""),0,IFERROR(ABS(F56-validacion_snapshot!$W$103),1E+099)),IF(AND(H56="",validacion_snapshot!$Y$103=""),0,IFERROR(ABS(H56-validacion_snapshot!$Y$103),1E+099)),IF(AND(J56="",validacion_snapshot!$AA$103=""),0,IFERROR(ABS(J56-validacion_snapshot!$AA$103),1E+099)),IF(AND(L56="",validacion_snapshot!$AC$103=""),0,IFERROR(ABS(L56-validacion_snapshot!$AC$103),1E+099)))&lt;=0.00000001,G56=validacion_snapshot!$X$103,I56=validacion_snapshot!$Z$103,K56=validacion_snapshot!$AB$103,M56=validacion_snapshot!$AD$103),"OK","FALLA")</f>
        <v>OK</v>
      </c>
    </row>
    <row r="57" customFormat="false" ht="15" hidden="false" customHeight="false" outlineLevel="0" collapsed="false">
      <c r="A57" s="3"/>
      <c r="B57" s="3" t="s">
        <v>197</v>
      </c>
      <c r="C57" s="3" t="s">
        <v>133</v>
      </c>
      <c r="D57" s="4" t="n">
        <f aca="false">INDEX(datos_participantes!$D:$D,MATCH(C57,datos_participantes!$A:$A,0))</f>
        <v>80.158</v>
      </c>
      <c r="E57" s="4" t="n">
        <f aca="false">INDEX(datos_participantes!$F:$F,MATCH(C57,datos_participantes!$A:$A,0))</f>
        <v>0.0953945351575979</v>
      </c>
      <c r="F57" s="4" t="n">
        <f aca="false">IF(OR(NOT(ISNUMBER(D57)),NOT(ISNUMBER(INDEX(valor_asignado!$C:$C,MATCH(B57,valor_asignado!$B:$B,0)))),NOT(ISNUMBER(INDEX(valor_asignado!$D:$D,MATCH(B57,valor_asignado!$B:$B,0)))),INDEX(valor_asignado!$D:$D,MATCH(B57,valor_asignado!$B:$B,0))=0),"",(D57-INDEX(valor_asignado!$C:$C,MATCH(B57,valor_asignado!$B:$B,0)))/INDEX(valor_asignado!$D:$D,MATCH(B57,valor_asignado!$B:$B,0)))</f>
        <v>0.100721344456746</v>
      </c>
      <c r="G57" s="5" t="str">
        <f aca="false">IF(F57="","N/A",IF(ABS(F57)&lt;=2,"Satisfactorio",IF(ABS(F57)&lt;3,"Cuestionable","No satisfactorio")))</f>
        <v>Satisfactorio</v>
      </c>
      <c r="H57" s="4" t="n">
        <f aca="false">IF(OR(NOT(ISNUMBER(D57)),NOT(ISNUMBER(INDEX(valor_asignado!$C:$C,MATCH(B57,valor_asignado!$B:$B,0)))),NOT(ISNUMBER(SQRT(INDEX(valor_asignado!$D:$D,MATCH(B57,valor_asignado!$B:$B,0))^2+INDEX(valor_asignado!$H:$H,MATCH(B57,valor_asignado!$B:$B,0))^2))),SQRT(INDEX(valor_asignado!$D:$D,MATCH(B57,valor_asignado!$B:$B,0))^2+INDEX(valor_asignado!$H:$H,MATCH(B57,valor_asignado!$B:$B,0))^2)=0),"",(D57-INDEX(valor_asignado!$C:$C,MATCH(B57,valor_asignado!$B:$B,0)))/SQRT(INDEX(valor_asignado!$D:$D,MATCH(B57,valor_asignado!$B:$B,0))^2+INDEX(valor_asignado!$H:$H,MATCH(B57,valor_asignado!$B:$B,0))^2))</f>
        <v>0.0979963090004557</v>
      </c>
      <c r="I57" s="5" t="str">
        <f aca="false">IF(H57="","N/A",IF(ABS(H57)&lt;=2,"Satisfactorio",IF(ABS(H57)&lt;3,"Cuestionable","No satisfactorio")))</f>
        <v>Satisfactorio</v>
      </c>
      <c r="J57" s="4" t="n">
        <f aca="false">IF(OR(NOT(ISNUMBER(D57)),NOT(ISNUMBER(INDEX(valor_asignado!$C:$C,MATCH(B57,valor_asignado!$B:$B,0)))),NOT(ISNUMBER(SQRT(E57^2+INDEX(valor_asignado!$H:$H,MATCH(B57,valor_asignado!$B:$B,0))^2))),SQRT(E57^2+INDEX(valor_asignado!$H:$H,MATCH(B57,valor_asignado!$B:$B,0))^2)=0),"",(D57-INDEX(valor_asignado!$C:$C,MATCH(B57,valor_asignado!$B:$B,0)))/SQRT(E57^2+INDEX(valor_asignado!$H:$H,MATCH(B57,valor_asignado!$B:$B,0))^2))</f>
        <v>0.419175364719606</v>
      </c>
      <c r="K57" s="5" t="str">
        <f aca="false">IF(J57="","N/A",IF(ABS(J57)&lt;=2,"Satisfactorio",IF(ABS(J57)&lt;3,"Cuestionable","No satisfactorio")))</f>
        <v>Satisfactorio</v>
      </c>
      <c r="L57" s="4" t="n">
        <f aca="false">IF(OR(NOT(ISNUMBER(D57)),NOT(ISNUMBER(INDEX(valor_asignado!$C:$C,MATCH(B57,valor_asignado!$B:$B,0)))),NOT(ISNUMBER(SQRT((2*E57)^2+(2*INDEX(valor_asignado!$H:$H,MATCH(B57,valor_asignado!$B:$B,0)))^2))),SQRT((2*E57)^2+(2*INDEX(valor_asignado!$H:$H,MATCH(B57,valor_asignado!$B:$B,0)))^2)=0),"",(D57-INDEX(valor_asignado!$C:$C,MATCH(B57,valor_asignado!$B:$B,0)))/SQRT((2*E57)^2+(2*INDEX(valor_asignado!$H:$H,MATCH(B57,valor_asignado!$B:$B,0)))^2))</f>
        <v>0.209587682359803</v>
      </c>
      <c r="M57" s="5" t="str">
        <f aca="false">IF(L57="","N/A",IF(ABS(L57)&lt;=1,"Satisfactorio","No satisfactorio"))</f>
        <v>Satisfactorio</v>
      </c>
      <c r="N57" s="5" t="str">
        <f aca="false">IF(AND(SUM(IF(AND(D57="",validacion_snapshot!$U$104=""),0,IFERROR(ABS(D57-validacion_snapshot!$U$104),1E+099)),IF(AND(E57="",validacion_snapshot!$V$104=""),0,IFERROR(ABS(E57-validacion_snapshot!$V$104),1E+099)),IF(AND(F57="",validacion_snapshot!$W$104=""),0,IFERROR(ABS(F57-validacion_snapshot!$W$104),1E+099)),IF(AND(H57="",validacion_snapshot!$Y$104=""),0,IFERROR(ABS(H57-validacion_snapshot!$Y$104),1E+099)),IF(AND(J57="",validacion_snapshot!$AA$104=""),0,IFERROR(ABS(J57-validacion_snapshot!$AA$104),1E+099)),IF(AND(L57="",validacion_snapshot!$AC$104=""),0,IFERROR(ABS(L57-validacion_snapshot!$AC$104),1E+099)))&lt;=0.00000001,G57=validacion_snapshot!$X$104,I57=validacion_snapshot!$Z$104,K57=validacion_snapshot!$AB$104,M57=validacion_snapshot!$AD$104),"OK","FALLA")</f>
        <v>OK</v>
      </c>
    </row>
    <row r="58" customFormat="false" ht="15" hidden="false" customHeight="false" outlineLevel="0" collapsed="false">
      <c r="A58" s="3"/>
      <c r="B58" s="3" t="s">
        <v>197</v>
      </c>
      <c r="C58" s="3" t="s">
        <v>134</v>
      </c>
      <c r="D58" s="4" t="n">
        <f aca="false">INDEX(datos_participantes!$D:$D,MATCH(C58,datos_participantes!$A:$A,0))</f>
        <v>80.2606666666667</v>
      </c>
      <c r="E58" s="4" t="n">
        <f aca="false">INDEX(datos_participantes!$F:$F,MATCH(C58,datos_participantes!$A:$A,0))</f>
        <v>0.0427293036158302</v>
      </c>
      <c r="F58" s="4" t="n">
        <f aca="false">IF(OR(NOT(ISNUMBER(D58)),NOT(ISNUMBER(INDEX(valor_asignado!$C:$C,MATCH(B58,valor_asignado!$B:$B,0)))),NOT(ISNUMBER(INDEX(valor_asignado!$D:$D,MATCH(B58,valor_asignado!$B:$B,0)))),INDEX(valor_asignado!$D:$D,MATCH(B58,valor_asignado!$B:$B,0))=0),"",(D58-INDEX(valor_asignado!$C:$C,MATCH(B58,valor_asignado!$B:$B,0)))/INDEX(valor_asignado!$D:$D,MATCH(B58,valor_asignado!$B:$B,0)))</f>
        <v>0.140240037568442</v>
      </c>
      <c r="G58" s="5" t="str">
        <f aca="false">IF(F58="","N/A",IF(ABS(F58)&lt;=2,"Satisfactorio",IF(ABS(F58)&lt;3,"Cuestionable","No satisfactorio")))</f>
        <v>Satisfactorio</v>
      </c>
      <c r="H58" s="4" t="n">
        <f aca="false">IF(OR(NOT(ISNUMBER(D58)),NOT(ISNUMBER(INDEX(valor_asignado!$C:$C,MATCH(B58,valor_asignado!$B:$B,0)))),NOT(ISNUMBER(SQRT(INDEX(valor_asignado!$D:$D,MATCH(B58,valor_asignado!$B:$B,0))^2+INDEX(valor_asignado!$H:$H,MATCH(B58,valor_asignado!$B:$B,0))^2))),SQRT(INDEX(valor_asignado!$D:$D,MATCH(B58,valor_asignado!$B:$B,0))^2+INDEX(valor_asignado!$H:$H,MATCH(B58,valor_asignado!$B:$B,0))^2)=0),"",(D58-INDEX(valor_asignado!$C:$C,MATCH(B58,valor_asignado!$B:$B,0)))/SQRT(INDEX(valor_asignado!$D:$D,MATCH(B58,valor_asignado!$B:$B,0))^2+INDEX(valor_asignado!$H:$H,MATCH(B58,valor_asignado!$B:$B,0))^2))</f>
        <v>0.136445816226117</v>
      </c>
      <c r="I58" s="5" t="str">
        <f aca="false">IF(H58="","N/A",IF(ABS(H58)&lt;=2,"Satisfactorio",IF(ABS(H58)&lt;3,"Cuestionable","No satisfactorio")))</f>
        <v>Satisfactorio</v>
      </c>
      <c r="J58" s="4" t="n">
        <f aca="false">IF(OR(NOT(ISNUMBER(D58)),NOT(ISNUMBER(INDEX(valor_asignado!$C:$C,MATCH(B58,valor_asignado!$B:$B,0)))),NOT(ISNUMBER(SQRT(E58^2+INDEX(valor_asignado!$H:$H,MATCH(B58,valor_asignado!$B:$B,0))^2))),SQRT(E58^2+INDEX(valor_asignado!$H:$H,MATCH(B58,valor_asignado!$B:$B,0))^2)=0),"",(D58-INDEX(valor_asignado!$C:$C,MATCH(B58,valor_asignado!$B:$B,0)))/SQRT(E58^2+INDEX(valor_asignado!$H:$H,MATCH(B58,valor_asignado!$B:$B,0))^2))</f>
        <v>0.589166678120725</v>
      </c>
      <c r="K58" s="5" t="str">
        <f aca="false">IF(J58="","N/A",IF(ABS(J58)&lt;=2,"Satisfactorio",IF(ABS(J58)&lt;3,"Cuestionable","No satisfactorio")))</f>
        <v>Satisfactorio</v>
      </c>
      <c r="L58" s="4" t="n">
        <f aca="false">IF(OR(NOT(ISNUMBER(D58)),NOT(ISNUMBER(INDEX(valor_asignado!$C:$C,MATCH(B58,valor_asignado!$B:$B,0)))),NOT(ISNUMBER(SQRT((2*E58)^2+(2*INDEX(valor_asignado!$H:$H,MATCH(B58,valor_asignado!$B:$B,0)))^2))),SQRT((2*E58)^2+(2*INDEX(valor_asignado!$H:$H,MATCH(B58,valor_asignado!$B:$B,0)))^2)=0),"",(D58-INDEX(valor_asignado!$C:$C,MATCH(B58,valor_asignado!$B:$B,0)))/SQRT((2*E58)^2+(2*INDEX(valor_asignado!$H:$H,MATCH(B58,valor_asignado!$B:$B,0)))^2))</f>
        <v>0.294583339060362</v>
      </c>
      <c r="M58" s="5" t="str">
        <f aca="false">IF(L58="","N/A",IF(ABS(L58)&lt;=1,"Satisfactorio","No satisfactorio"))</f>
        <v>Satisfactorio</v>
      </c>
      <c r="N58" s="5" t="str">
        <f aca="false">IF(AND(SUM(IF(AND(D58="",validacion_snapshot!$U$105=""),0,IFERROR(ABS(D58-validacion_snapshot!$U$105),1E+099)),IF(AND(E58="",validacion_snapshot!$V$105=""),0,IFERROR(ABS(E58-validacion_snapshot!$V$105),1E+099)),IF(AND(F58="",validacion_snapshot!$W$105=""),0,IFERROR(ABS(F58-validacion_snapshot!$W$105),1E+099)),IF(AND(H58="",validacion_snapshot!$Y$105=""),0,IFERROR(ABS(H58-validacion_snapshot!$Y$105),1E+099)),IF(AND(J58="",validacion_snapshot!$AA$105=""),0,IFERROR(ABS(J58-validacion_snapshot!$AA$105),1E+099)),IF(AND(L58="",validacion_snapshot!$AC$105=""),0,IFERROR(ABS(L58-validacion_snapshot!$AC$105),1E+099)))&lt;=0.00000001,G58=validacion_snapshot!$X$105,I58=validacion_snapshot!$Z$105,K58=validacion_snapshot!$AB$105,M58=validacion_snapshot!$AD$105),"OK","FALLA")</f>
        <v>OK</v>
      </c>
    </row>
    <row r="59" customFormat="false" ht="15" hidden="false" customHeight="false" outlineLevel="0" collapsed="false">
      <c r="A59" s="3"/>
      <c r="B59" s="3" t="s">
        <v>197</v>
      </c>
      <c r="C59" s="3" t="s">
        <v>135</v>
      </c>
      <c r="D59" s="4" t="n">
        <f aca="false">INDEX(datos_participantes!$D:$D,MATCH(C59,datos_participantes!$A:$A,0))</f>
        <v>79.9916666666667</v>
      </c>
      <c r="E59" s="4" t="n">
        <f aca="false">INDEX(datos_participantes!$F:$F,MATCH(C59,datos_participantes!$A:$A,0))</f>
        <v>0.00466154333165642</v>
      </c>
      <c r="F59" s="4" t="n">
        <f aca="false">IF(OR(NOT(ISNUMBER(D59)),NOT(ISNUMBER(INDEX(valor_asignado!$C:$C,MATCH(B59,valor_asignado!$B:$B,0)))),NOT(ISNUMBER(INDEX(valor_asignado!$D:$D,MATCH(B59,valor_asignado!$B:$B,0)))),INDEX(valor_asignado!$D:$D,MATCH(B59,valor_asignado!$B:$B,0))=0),"",(D59-INDEX(valor_asignado!$C:$C,MATCH(B59,valor_asignado!$B:$B,0)))/INDEX(valor_asignado!$D:$D,MATCH(B59,valor_asignado!$B:$B,0)))</f>
        <v>0.0366959293180203</v>
      </c>
      <c r="G59" s="5" t="str">
        <f aca="false">IF(F59="","N/A",IF(ABS(F59)&lt;=2,"Satisfactorio",IF(ABS(F59)&lt;3,"Cuestionable","No satisfactorio")))</f>
        <v>Satisfactorio</v>
      </c>
      <c r="H59" s="4" t="n">
        <f aca="false">IF(OR(NOT(ISNUMBER(D59)),NOT(ISNUMBER(INDEX(valor_asignado!$C:$C,MATCH(B59,valor_asignado!$B:$B,0)))),NOT(ISNUMBER(SQRT(INDEX(valor_asignado!$D:$D,MATCH(B59,valor_asignado!$B:$B,0))^2+INDEX(valor_asignado!$H:$H,MATCH(B59,valor_asignado!$B:$B,0))^2))),SQRT(INDEX(valor_asignado!$D:$D,MATCH(B59,valor_asignado!$B:$B,0))^2+INDEX(valor_asignado!$H:$H,MATCH(B59,valor_asignado!$B:$B,0))^2)=0),"",(D59-INDEX(valor_asignado!$C:$C,MATCH(B59,valor_asignado!$B:$B,0)))/SQRT(INDEX(valor_asignado!$D:$D,MATCH(B59,valor_asignado!$B:$B,0))^2+INDEX(valor_asignado!$H:$H,MATCH(B59,valor_asignado!$B:$B,0))^2))</f>
        <v>0.035703113852416</v>
      </c>
      <c r="I59" s="5" t="str">
        <f aca="false">IF(H59="","N/A",IF(ABS(H59)&lt;=2,"Satisfactorio",IF(ABS(H59)&lt;3,"Cuestionable","No satisfactorio")))</f>
        <v>Satisfactorio</v>
      </c>
      <c r="J59" s="4" t="n">
        <f aca="false">IF(OR(NOT(ISNUMBER(D59)),NOT(ISNUMBER(INDEX(valor_asignado!$C:$C,MATCH(B59,valor_asignado!$B:$B,0)))),NOT(ISNUMBER(SQRT(E59^2+INDEX(valor_asignado!$H:$H,MATCH(B59,valor_asignado!$B:$B,0))^2))),SQRT(E59^2+INDEX(valor_asignado!$H:$H,MATCH(B59,valor_asignado!$B:$B,0))^2)=0),"",(D59-INDEX(valor_asignado!$C:$C,MATCH(B59,valor_asignado!$B:$B,0)))/SQRT(E59^2+INDEX(valor_asignado!$H:$H,MATCH(B59,valor_asignado!$B:$B,0))^2))</f>
        <v>0.154529324821507</v>
      </c>
      <c r="K59" s="5" t="str">
        <f aca="false">IF(J59="","N/A",IF(ABS(J59)&lt;=2,"Satisfactorio",IF(ABS(J59)&lt;3,"Cuestionable","No satisfactorio")))</f>
        <v>Satisfactorio</v>
      </c>
      <c r="L59" s="4" t="n">
        <f aca="false">IF(OR(NOT(ISNUMBER(D59)),NOT(ISNUMBER(INDEX(valor_asignado!$C:$C,MATCH(B59,valor_asignado!$B:$B,0)))),NOT(ISNUMBER(SQRT((2*E59)^2+(2*INDEX(valor_asignado!$H:$H,MATCH(B59,valor_asignado!$B:$B,0)))^2))),SQRT((2*E59)^2+(2*INDEX(valor_asignado!$H:$H,MATCH(B59,valor_asignado!$B:$B,0)))^2)=0),"",(D59-INDEX(valor_asignado!$C:$C,MATCH(B59,valor_asignado!$B:$B,0)))/SQRT((2*E59)^2+(2*INDEX(valor_asignado!$H:$H,MATCH(B59,valor_asignado!$B:$B,0)))^2))</f>
        <v>0.0772646624107535</v>
      </c>
      <c r="M59" s="5" t="str">
        <f aca="false">IF(L59="","N/A",IF(ABS(L59)&lt;=1,"Satisfactorio","No satisfactorio"))</f>
        <v>Satisfactorio</v>
      </c>
      <c r="N59" s="5" t="str">
        <f aca="false">IF(AND(SUM(IF(AND(D59="",validacion_snapshot!$U$106=""),0,IFERROR(ABS(D59-validacion_snapshot!$U$106),1E+099)),IF(AND(E59="",validacion_snapshot!$V$106=""),0,IFERROR(ABS(E59-validacion_snapshot!$V$106),1E+099)),IF(AND(F59="",validacion_snapshot!$W$106=""),0,IFERROR(ABS(F59-validacion_snapshot!$W$106),1E+099)),IF(AND(H59="",validacion_snapshot!$Y$106=""),0,IFERROR(ABS(H59-validacion_snapshot!$Y$106),1E+099)),IF(AND(J59="",validacion_snapshot!$AA$106=""),0,IFERROR(ABS(J59-validacion_snapshot!$AA$106),1E+099)),IF(AND(L59="",validacion_snapshot!$AC$106=""),0,IFERROR(ABS(L59-validacion_snapshot!$AC$106),1E+099)))&lt;=0.00000001,G59=validacion_snapshot!$X$106,I59=validacion_snapshot!$Z$106,K59=validacion_snapshot!$AB$106,M59=validacion_snapshot!$AD$106),"OK","FALLA")</f>
        <v>OK</v>
      </c>
    </row>
    <row r="60" customFormat="false" ht="15" hidden="false" customHeight="false" outlineLevel="0" collapsed="false">
      <c r="A60" s="3"/>
      <c r="B60" s="3" t="s">
        <v>197</v>
      </c>
      <c r="C60" s="3" t="s">
        <v>136</v>
      </c>
      <c r="D60" s="4" t="n">
        <f aca="false">INDEX(datos_participantes!$D:$D,MATCH(C60,datos_participantes!$A:$A,0))</f>
        <v>80.0473333333333</v>
      </c>
      <c r="E60" s="4" t="n">
        <f aca="false">INDEX(datos_participantes!$F:$F,MATCH(C60,datos_participantes!$A:$A,0))</f>
        <v>0.100944697094177</v>
      </c>
      <c r="F60" s="4" t="n">
        <f aca="false">IF(OR(NOT(ISNUMBER(D60)),NOT(ISNUMBER(INDEX(valor_asignado!$C:$C,MATCH(B60,valor_asignado!$B:$B,0)))),NOT(ISNUMBER(INDEX(valor_asignado!$D:$D,MATCH(B60,valor_asignado!$B:$B,0)))),INDEX(valor_asignado!$D:$D,MATCH(B60,valor_asignado!$B:$B,0))=0),"",(D60-INDEX(valor_asignado!$C:$C,MATCH(B60,valor_asignado!$B:$B,0)))/INDEX(valor_asignado!$D:$D,MATCH(B60,valor_asignado!$B:$B,0)))</f>
        <v>0.058123272661018</v>
      </c>
      <c r="G60" s="5" t="str">
        <f aca="false">IF(F60="","N/A",IF(ABS(F60)&lt;=2,"Satisfactorio",IF(ABS(F60)&lt;3,"Cuestionable","No satisfactorio")))</f>
        <v>Satisfactorio</v>
      </c>
      <c r="H60" s="4" t="n">
        <f aca="false">IF(OR(NOT(ISNUMBER(D60)),NOT(ISNUMBER(INDEX(valor_asignado!$C:$C,MATCH(B60,valor_asignado!$B:$B,0)))),NOT(ISNUMBER(SQRT(INDEX(valor_asignado!$D:$D,MATCH(B60,valor_asignado!$B:$B,0))^2+INDEX(valor_asignado!$H:$H,MATCH(B60,valor_asignado!$B:$B,0))^2))),SQRT(INDEX(valor_asignado!$D:$D,MATCH(B60,valor_asignado!$B:$B,0))^2+INDEX(valor_asignado!$H:$H,MATCH(B60,valor_asignado!$B:$B,0))^2)=0),"",(D60-INDEX(valor_asignado!$C:$C,MATCH(B60,valor_asignado!$B:$B,0)))/SQRT(INDEX(valor_asignado!$D:$D,MATCH(B60,valor_asignado!$B:$B,0))^2+INDEX(valor_asignado!$H:$H,MATCH(B60,valor_asignado!$B:$B,0))^2))</f>
        <v>0.0565507362766878</v>
      </c>
      <c r="I60" s="5" t="str">
        <f aca="false">IF(H60="","N/A",IF(ABS(H60)&lt;=2,"Satisfactorio",IF(ABS(H60)&lt;3,"Cuestionable","No satisfactorio")))</f>
        <v>Satisfactorio</v>
      </c>
      <c r="J60" s="4" t="n">
        <f aca="false">IF(OR(NOT(ISNUMBER(D60)),NOT(ISNUMBER(INDEX(valor_asignado!$C:$C,MATCH(B60,valor_asignado!$B:$B,0)))),NOT(ISNUMBER(SQRT(E60^2+INDEX(valor_asignado!$H:$H,MATCH(B60,valor_asignado!$B:$B,0))^2))),SQRT(E60^2+INDEX(valor_asignado!$H:$H,MATCH(B60,valor_asignado!$B:$B,0))^2)=0),"",(D60-INDEX(valor_asignado!$C:$C,MATCH(B60,valor_asignado!$B:$B,0)))/SQRT(E60^2+INDEX(valor_asignado!$H:$H,MATCH(B60,valor_asignado!$B:$B,0))^2))</f>
        <v>0.241556040222071</v>
      </c>
      <c r="K60" s="5" t="str">
        <f aca="false">IF(J60="","N/A",IF(ABS(J60)&lt;=2,"Satisfactorio",IF(ABS(J60)&lt;3,"Cuestionable","No satisfactorio")))</f>
        <v>Satisfactorio</v>
      </c>
      <c r="L60" s="4" t="n">
        <f aca="false">IF(OR(NOT(ISNUMBER(D60)),NOT(ISNUMBER(INDEX(valor_asignado!$C:$C,MATCH(B60,valor_asignado!$B:$B,0)))),NOT(ISNUMBER(SQRT((2*E60)^2+(2*INDEX(valor_asignado!$H:$H,MATCH(B60,valor_asignado!$B:$B,0)))^2))),SQRT((2*E60)^2+(2*INDEX(valor_asignado!$H:$H,MATCH(B60,valor_asignado!$B:$B,0)))^2)=0),"",(D60-INDEX(valor_asignado!$C:$C,MATCH(B60,valor_asignado!$B:$B,0)))/SQRT((2*E60)^2+(2*INDEX(valor_asignado!$H:$H,MATCH(B60,valor_asignado!$B:$B,0)))^2))</f>
        <v>0.120778020111035</v>
      </c>
      <c r="M60" s="5" t="str">
        <f aca="false">IF(L60="","N/A",IF(ABS(L60)&lt;=1,"Satisfactorio","No satisfactorio"))</f>
        <v>Satisfactorio</v>
      </c>
      <c r="N60" s="5" t="str">
        <f aca="false">IF(AND(SUM(IF(AND(D60="",validacion_snapshot!$U$107=""),0,IFERROR(ABS(D60-validacion_snapshot!$U$107),1E+099)),IF(AND(E60="",validacion_snapshot!$V$107=""),0,IFERROR(ABS(E60-validacion_snapshot!$V$107),1E+099)),IF(AND(F60="",validacion_snapshot!$W$107=""),0,IFERROR(ABS(F60-validacion_snapshot!$W$107),1E+099)),IF(AND(H60="",validacion_snapshot!$Y$107=""),0,IFERROR(ABS(H60-validacion_snapshot!$Y$107),1E+099)),IF(AND(J60="",validacion_snapshot!$AA$107=""),0,IFERROR(ABS(J60-validacion_snapshot!$AA$107),1E+099)),IF(AND(L60="",validacion_snapshot!$AC$107=""),0,IFERROR(ABS(L60-validacion_snapshot!$AC$107),1E+099)))&lt;=0.00000001,G60=validacion_snapshot!$X$107,I60=validacion_snapshot!$Z$107,K60=validacion_snapshot!$AB$107,M60=validacion_snapshot!$AD$107),"OK","FALLA")</f>
        <v>OK</v>
      </c>
    </row>
    <row r="61" customFormat="false" ht="15" hidden="false" customHeight="false" outlineLevel="0" collapsed="false">
      <c r="A61" s="3"/>
      <c r="B61" s="3" t="s">
        <v>197</v>
      </c>
      <c r="C61" s="3" t="s">
        <v>137</v>
      </c>
      <c r="D61" s="4" t="n">
        <f aca="false">INDEX(datos_participantes!$D:$D,MATCH(C61,datos_participantes!$A:$A,0))</f>
        <v>80.2476666666667</v>
      </c>
      <c r="E61" s="4" t="n">
        <f aca="false">INDEX(datos_participantes!$F:$F,MATCH(C61,datos_participantes!$A:$A,0))</f>
        <v>0.0385972875321689</v>
      </c>
      <c r="F61" s="4" t="n">
        <f aca="false">IF(OR(NOT(ISNUMBER(D61)),NOT(ISNUMBER(INDEX(valor_asignado!$C:$C,MATCH(B61,valor_asignado!$B:$B,0)))),NOT(ISNUMBER(INDEX(valor_asignado!$D:$D,MATCH(B61,valor_asignado!$B:$B,0)))),INDEX(valor_asignado!$D:$D,MATCH(B61,valor_asignado!$B:$B,0))=0),"",(D61-INDEX(valor_asignado!$C:$C,MATCH(B61,valor_asignado!$B:$B,0)))/INDEX(valor_asignado!$D:$D,MATCH(B61,valor_asignado!$B:$B,0)))</f>
        <v>0.135236047206901</v>
      </c>
      <c r="G61" s="5" t="str">
        <f aca="false">IF(F61="","N/A",IF(ABS(F61)&lt;=2,"Satisfactorio",IF(ABS(F61)&lt;3,"Cuestionable","No satisfactorio")))</f>
        <v>Satisfactorio</v>
      </c>
      <c r="H61" s="4" t="n">
        <f aca="false">IF(OR(NOT(ISNUMBER(D61)),NOT(ISNUMBER(INDEX(valor_asignado!$C:$C,MATCH(B61,valor_asignado!$B:$B,0)))),NOT(ISNUMBER(SQRT(INDEX(valor_asignado!$D:$D,MATCH(B61,valor_asignado!$B:$B,0))^2+INDEX(valor_asignado!$H:$H,MATCH(B61,valor_asignado!$B:$B,0))^2))),SQRT(INDEX(valor_asignado!$D:$D,MATCH(B61,valor_asignado!$B:$B,0))^2+INDEX(valor_asignado!$H:$H,MATCH(B61,valor_asignado!$B:$B,0))^2)=0),"",(D61-INDEX(valor_asignado!$C:$C,MATCH(B61,valor_asignado!$B:$B,0)))/SQRT(INDEX(valor_asignado!$D:$D,MATCH(B61,valor_asignado!$B:$B,0))^2+INDEX(valor_asignado!$H:$H,MATCH(B61,valor_asignado!$B:$B,0))^2))</f>
        <v>0.131577209791704</v>
      </c>
      <c r="I61" s="5" t="str">
        <f aca="false">IF(H61="","N/A",IF(ABS(H61)&lt;=2,"Satisfactorio",IF(ABS(H61)&lt;3,"Cuestionable","No satisfactorio")))</f>
        <v>Satisfactorio</v>
      </c>
      <c r="J61" s="4" t="n">
        <f aca="false">IF(OR(NOT(ISNUMBER(D61)),NOT(ISNUMBER(INDEX(valor_asignado!$C:$C,MATCH(B61,valor_asignado!$B:$B,0)))),NOT(ISNUMBER(SQRT(E61^2+INDEX(valor_asignado!$H:$H,MATCH(B61,valor_asignado!$B:$B,0))^2))),SQRT(E61^2+INDEX(valor_asignado!$H:$H,MATCH(B61,valor_asignado!$B:$B,0))^2)=0),"",(D61-INDEX(valor_asignado!$C:$C,MATCH(B61,valor_asignado!$B:$B,0)))/SQRT(E61^2+INDEX(valor_asignado!$H:$H,MATCH(B61,valor_asignado!$B:$B,0))^2))</f>
        <v>0.568394059841364</v>
      </c>
      <c r="K61" s="5" t="str">
        <f aca="false">IF(J61="","N/A",IF(ABS(J61)&lt;=2,"Satisfactorio",IF(ABS(J61)&lt;3,"Cuestionable","No satisfactorio")))</f>
        <v>Satisfactorio</v>
      </c>
      <c r="L61" s="4" t="n">
        <f aca="false">IF(OR(NOT(ISNUMBER(D61)),NOT(ISNUMBER(INDEX(valor_asignado!$C:$C,MATCH(B61,valor_asignado!$B:$B,0)))),NOT(ISNUMBER(SQRT((2*E61)^2+(2*INDEX(valor_asignado!$H:$H,MATCH(B61,valor_asignado!$B:$B,0)))^2))),SQRT((2*E61)^2+(2*INDEX(valor_asignado!$H:$H,MATCH(B61,valor_asignado!$B:$B,0)))^2)=0),"",(D61-INDEX(valor_asignado!$C:$C,MATCH(B61,valor_asignado!$B:$B,0)))/SQRT((2*E61)^2+(2*INDEX(valor_asignado!$H:$H,MATCH(B61,valor_asignado!$B:$B,0)))^2))</f>
        <v>0.284197029920682</v>
      </c>
      <c r="M61" s="5" t="str">
        <f aca="false">IF(L61="","N/A",IF(ABS(L61)&lt;=1,"Satisfactorio","No satisfactorio"))</f>
        <v>Satisfactorio</v>
      </c>
      <c r="N61" s="5" t="str">
        <f aca="false">IF(AND(SUM(IF(AND(D61="",validacion_snapshot!$U$108=""),0,IFERROR(ABS(D61-validacion_snapshot!$U$108),1E+099)),IF(AND(E61="",validacion_snapshot!$V$108=""),0,IFERROR(ABS(E61-validacion_snapshot!$V$108),1E+099)),IF(AND(F61="",validacion_snapshot!$W$108=""),0,IFERROR(ABS(F61-validacion_snapshot!$W$108),1E+099)),IF(AND(H61="",validacion_snapshot!$Y$108=""),0,IFERROR(ABS(H61-validacion_snapshot!$Y$108),1E+099)),IF(AND(J61="",validacion_snapshot!$AA$108=""),0,IFERROR(ABS(J61-validacion_snapshot!$AA$108),1E+099)),IF(AND(L61="",validacion_snapshot!$AC$108=""),0,IFERROR(ABS(L61-validacion_snapshot!$AC$108),1E+099)))&lt;=0.00000001,G61=validacion_snapshot!$X$108,I61=validacion_snapshot!$Z$108,K61=validacion_snapshot!$AB$108,M61=validacion_snapshot!$AD$108),"OK","FALLA")</f>
        <v>OK</v>
      </c>
    </row>
  </sheetData>
  <conditionalFormatting sqref="N2:N61">
    <cfRule type="expression" priority="2" aboveAverage="0" equalAverage="0" bottom="0" percent="0" rank="0" text="" dxfId="0">
      <formula>N2="FALLA"</formula>
    </cfRule>
    <cfRule type="expression" priority="3" aboveAverage="0" equalAverage="0" bottom="0" percent="0" rank="0" text="" dxfId="1">
      <formula>N2="OK"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33.71"/>
    <col collapsed="false" customWidth="true" hidden="false" outlineLevel="0" max="2" min="2" style="0" width="32.71"/>
    <col collapsed="false" customWidth="true" hidden="false" outlineLevel="0" max="3" min="3" style="0" width="14.71"/>
    <col collapsed="false" customWidth="true" hidden="false" outlineLevel="0" max="4" min="4" style="0" width="18.71"/>
    <col collapsed="false" customWidth="true" hidden="false" outlineLevel="0" max="5" min="5" style="0" width="4.71"/>
    <col collapsed="false" customWidth="true" hidden="false" outlineLevel="0" max="6" min="6" style="0" width="8.71"/>
    <col collapsed="false" customWidth="true" hidden="false" outlineLevel="0" max="8" min="7" style="0" width="5.71"/>
    <col collapsed="false" customWidth="true" hidden="false" outlineLevel="0" max="9" min="9" style="0" width="6.71"/>
    <col collapsed="false" customWidth="true" hidden="false" outlineLevel="0" max="10" min="10" style="0" width="9.71"/>
    <col collapsed="false" customWidth="true" hidden="false" outlineLevel="0" max="11" min="11" style="0" width="5.71"/>
    <col collapsed="false" customWidth="true" hidden="false" outlineLevel="0" max="12" min="12" style="0" width="14.71"/>
    <col collapsed="false" customWidth="true" hidden="false" outlineLevel="0" max="13" min="13" style="0" width="7.71"/>
    <col collapsed="false" customWidth="true" hidden="false" outlineLevel="0" max="14" min="14" style="0" width="3.71"/>
    <col collapsed="false" customWidth="true" hidden="false" outlineLevel="0" max="15" min="15" style="0" width="13.71"/>
    <col collapsed="false" customWidth="true" hidden="false" outlineLevel="0" max="16" min="16" style="0" width="12.71"/>
    <col collapsed="false" customWidth="true" hidden="false" outlineLevel="0" max="17" min="17" style="0" width="16.72"/>
    <col collapsed="false" customWidth="true" hidden="false" outlineLevel="0" max="18" min="18" style="0" width="6.71"/>
  </cols>
  <sheetData>
    <row r="1" customFormat="false" ht="15" hidden="false" customHeight="false" outlineLevel="0" collapsed="false">
      <c r="A1" s="2" t="s">
        <v>64</v>
      </c>
      <c r="B1" s="2" t="s">
        <v>1</v>
      </c>
      <c r="C1" s="2" t="s">
        <v>180</v>
      </c>
      <c r="D1" s="2" t="s">
        <v>181</v>
      </c>
      <c r="E1" s="2" t="s">
        <v>34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232</v>
      </c>
      <c r="N1" s="2" t="s">
        <v>233</v>
      </c>
      <c r="O1" s="2" t="s">
        <v>234</v>
      </c>
      <c r="P1" s="2" t="s">
        <v>235</v>
      </c>
      <c r="Q1" s="2" t="s">
        <v>236</v>
      </c>
      <c r="R1" s="2" t="s">
        <v>69</v>
      </c>
    </row>
    <row r="2" customFormat="false" ht="15" hidden="false" customHeight="false" outlineLevel="0" collapsed="false">
      <c r="A2" s="3" t="s">
        <v>237</v>
      </c>
      <c r="B2" s="3" t="s">
        <v>238</v>
      </c>
      <c r="C2" s="3" t="s">
        <v>140</v>
      </c>
      <c r="D2" s="3" t="s">
        <v>189</v>
      </c>
      <c r="E2" s="4" t="n">
        <f aca="false">INDEX(valor_asignado!$C:$C,MATCH(D2,valor_asignado!$B:$B,0))</f>
        <v>79.8963333333333</v>
      </c>
      <c r="F2" s="4" t="n">
        <f aca="false">INDEX(valor_asignado!$D:$D,MATCH(D2,valor_asignado!$B:$B,0))</f>
        <v>2.59792666666667</v>
      </c>
      <c r="G2" s="4" t="n">
        <f aca="false">INDEX(valor_asignado!$E:$E,MATCH(D2,valor_asignado!$B:$B,0))</f>
        <v>0.570333333333333</v>
      </c>
      <c r="H2" s="4" t="n">
        <f aca="false">INDEX(valor_asignado!$F:$F,MATCH(D2,valor_asignado!$B:$B,0))</f>
        <v>0.199307899715207</v>
      </c>
      <c r="I2" s="4" t="n">
        <f aca="false">INDEX(valor_asignado!$G:$G,MATCH(D2,valor_asignado!$B:$B,0))</f>
        <v>0.124794260685337</v>
      </c>
      <c r="J2" s="4" t="n">
        <f aca="false">INDEX(valor_asignado!$H:$H,MATCH(D2,valor_asignado!$B:$B,0))</f>
        <v>0.616909521323831</v>
      </c>
      <c r="K2" s="4" t="n">
        <f aca="false">INDEX(valor_asignado!$I:$I,MATCH(D2,valor_asignado!$B:$B,0))</f>
        <v>1.23381904264766</v>
      </c>
      <c r="L2" s="4" t="n">
        <f aca="false">INDEX(valor_asignado!$J:$J,MATCH(D2,valor_asignado!$B:$B,0))</f>
        <v>12</v>
      </c>
      <c r="M2" s="3"/>
      <c r="N2" s="3"/>
      <c r="O2" s="3"/>
      <c r="P2" s="3"/>
      <c r="Q2" s="3"/>
      <c r="R2" s="5" t="str">
        <f aca="false">IF(SUM(ABS(E2-validacion_snapshot!$K$109),ABS(F2-validacion_snapshot!$L$109),ABS(G2-validacion_snapshot!$M$109),ABS(H2-validacion_snapshot!$N$109),ABS(I2-validacion_snapshot!$O$109),ABS(J2-validacion_snapshot!$P$109),ABS(K2-validacion_snapshot!$Q$109),ABS(L2-validacion_snapshot!$R$109))&lt;=0.00000001,"OK","FALLA")</f>
        <v>OK</v>
      </c>
    </row>
    <row r="3" customFormat="false" ht="26.85" hidden="false" customHeight="false" outlineLevel="0" collapsed="false">
      <c r="A3" s="3" t="s">
        <v>237</v>
      </c>
      <c r="B3" s="3" t="s">
        <v>238</v>
      </c>
      <c r="C3" s="3" t="s">
        <v>190</v>
      </c>
      <c r="D3" s="3" t="s">
        <v>191</v>
      </c>
      <c r="E3" s="4" t="n">
        <f aca="false">INDEX(valor_asignado!$C:$C,MATCH(D3,valor_asignado!$B:$B,0))</f>
        <v>80.0716666666667</v>
      </c>
      <c r="F3" s="4" t="n">
        <f aca="false">INDEX(valor_asignado!$D:$D,MATCH(D3,valor_asignado!$B:$B,0))</f>
        <v>0.0894743333332899</v>
      </c>
      <c r="G3" s="4" t="n">
        <f aca="false">INDEX(valor_asignado!$E:$E,MATCH(D3,valor_asignado!$B:$B,0))</f>
        <v>0.0322862690222108</v>
      </c>
      <c r="H3" s="4" t="n">
        <f aca="false">INDEX(valor_asignado!$F:$F,MATCH(D3,valor_asignado!$B:$B,0))</f>
        <v>0.199307899715207</v>
      </c>
      <c r="I3" s="4" t="n">
        <f aca="false">INDEX(valor_asignado!$G:$G,MATCH(D3,valor_asignado!$B:$B,0))</f>
        <v>0.124794260685337</v>
      </c>
      <c r="J3" s="4" t="n">
        <f aca="false">INDEX(valor_asignado!$H:$H,MATCH(D3,valor_asignado!$B:$B,0))</f>
        <v>0.237359747127143</v>
      </c>
      <c r="K3" s="4" t="n">
        <f aca="false">INDEX(valor_asignado!$I:$I,MATCH(D3,valor_asignado!$B:$B,0))</f>
        <v>0.474719494254287</v>
      </c>
      <c r="L3" s="4" t="n">
        <f aca="false">INDEX(valor_asignado!$J:$J,MATCH(D3,valor_asignado!$B:$B,0))</f>
        <v>12</v>
      </c>
      <c r="M3" s="3"/>
      <c r="N3" s="3"/>
      <c r="O3" s="3"/>
      <c r="P3" s="3"/>
      <c r="Q3" s="3"/>
      <c r="R3" s="5" t="str">
        <f aca="false">IF(SUM(ABS(E3-validacion_snapshot!$K$110),ABS(F3-validacion_snapshot!$L$110),ABS(G3-validacion_snapshot!$M$110),ABS(H3-validacion_snapshot!$N$110),ABS(I3-validacion_snapshot!$O$110),ABS(J3-validacion_snapshot!$P$110),ABS(K3-validacion_snapshot!$Q$110),ABS(L3-validacion_snapshot!$R$110))&lt;=0.00000001,"OK","FALLA")</f>
        <v>OK</v>
      </c>
    </row>
    <row r="4" customFormat="false" ht="15" hidden="false" customHeight="false" outlineLevel="0" collapsed="false">
      <c r="A4" s="3" t="s">
        <v>237</v>
      </c>
      <c r="B4" s="3" t="s">
        <v>238</v>
      </c>
      <c r="C4" s="3" t="s">
        <v>192</v>
      </c>
      <c r="D4" s="3" t="s">
        <v>193</v>
      </c>
      <c r="E4" s="4" t="n">
        <f aca="false">INDEX(valor_asignado!$C:$C,MATCH(D4,valor_asignado!$B:$B,0))</f>
        <v>80.0716666666667</v>
      </c>
      <c r="F4" s="4" t="n">
        <f aca="false">INDEX(valor_asignado!$D:$D,MATCH(D4,valor_asignado!$B:$B,0))</f>
        <v>0.0982840250000181</v>
      </c>
      <c r="G4" s="4" t="n">
        <f aca="false">INDEX(valor_asignado!$E:$E,MATCH(D4,valor_asignado!$B:$B,0))</f>
        <v>0.0354651926817502</v>
      </c>
      <c r="H4" s="4" t="n">
        <f aca="false">INDEX(valor_asignado!$F:$F,MATCH(D4,valor_asignado!$B:$B,0))</f>
        <v>0.199307899715207</v>
      </c>
      <c r="I4" s="4" t="n">
        <f aca="false">INDEX(valor_asignado!$G:$G,MATCH(D4,valor_asignado!$B:$B,0))</f>
        <v>0.124794260685337</v>
      </c>
      <c r="J4" s="4" t="n">
        <f aca="false">INDEX(valor_asignado!$H:$H,MATCH(D4,valor_asignado!$B:$B,0))</f>
        <v>0.237813006963119</v>
      </c>
      <c r="K4" s="4" t="n">
        <f aca="false">INDEX(valor_asignado!$I:$I,MATCH(D4,valor_asignado!$B:$B,0))</f>
        <v>0.475626013926238</v>
      </c>
      <c r="L4" s="4" t="n">
        <f aca="false">INDEX(valor_asignado!$J:$J,MATCH(D4,valor_asignado!$B:$B,0))</f>
        <v>12</v>
      </c>
      <c r="M4" s="3"/>
      <c r="N4" s="3"/>
      <c r="O4" s="3"/>
      <c r="P4" s="3"/>
      <c r="Q4" s="3"/>
      <c r="R4" s="5" t="str">
        <f aca="false">IF(SUM(ABS(E4-validacion_snapshot!$K$111),ABS(F4-validacion_snapshot!$L$111),ABS(G4-validacion_snapshot!$M$111),ABS(H4-validacion_snapshot!$N$111),ABS(I4-validacion_snapshot!$O$111),ABS(J4-validacion_snapshot!$P$111),ABS(K4-validacion_snapshot!$Q$111),ABS(L4-validacion_snapshot!$R$111))&lt;=0.00000001,"OK","FALLA")</f>
        <v>OK</v>
      </c>
    </row>
    <row r="5" customFormat="false" ht="15" hidden="false" customHeight="false" outlineLevel="0" collapsed="false">
      <c r="A5" s="3" t="s">
        <v>237</v>
      </c>
      <c r="B5" s="3" t="s">
        <v>238</v>
      </c>
      <c r="C5" s="3" t="s">
        <v>194</v>
      </c>
      <c r="D5" s="3" t="s">
        <v>195</v>
      </c>
      <c r="E5" s="4" t="n">
        <f aca="false">INDEX(valor_asignado!$C:$C,MATCH(D5,valor_asignado!$B:$B,0))</f>
        <v>80.1033055555556</v>
      </c>
      <c r="F5" s="4" t="n">
        <f aca="false">INDEX(valor_asignado!$D:$D,MATCH(D5,valor_asignado!$B:$B,0))</f>
        <v>0.11048474010016</v>
      </c>
      <c r="G5" s="4" t="n">
        <f aca="false">INDEX(valor_asignado!$E:$E,MATCH(D5,valor_asignado!$B:$B,0))</f>
        <v>0.0398677465238583</v>
      </c>
      <c r="H5" s="4" t="n">
        <f aca="false">INDEX(valor_asignado!$F:$F,MATCH(D5,valor_asignado!$B:$B,0))</f>
        <v>0.199307899715207</v>
      </c>
      <c r="I5" s="4" t="n">
        <f aca="false">INDEX(valor_asignado!$G:$G,MATCH(D5,valor_asignado!$B:$B,0))</f>
        <v>0.124794260685337</v>
      </c>
      <c r="J5" s="4" t="n">
        <f aca="false">INDEX(valor_asignado!$H:$H,MATCH(D5,valor_asignado!$B:$B,0))</f>
        <v>0.238509294581527</v>
      </c>
      <c r="K5" s="4" t="n">
        <f aca="false">INDEX(valor_asignado!$I:$I,MATCH(D5,valor_asignado!$B:$B,0))</f>
        <v>0.477018589163054</v>
      </c>
      <c r="L5" s="4" t="n">
        <f aca="false">INDEX(valor_asignado!$J:$J,MATCH(D5,valor_asignado!$B:$B,0))</f>
        <v>12</v>
      </c>
      <c r="M5" s="3"/>
      <c r="N5" s="3"/>
      <c r="O5" s="3"/>
      <c r="P5" s="3"/>
      <c r="Q5" s="3"/>
      <c r="R5" s="5" t="str">
        <f aca="false">IF(SUM(ABS(E5-validacion_snapshot!$K$112),ABS(F5-validacion_snapshot!$L$112),ABS(G5-validacion_snapshot!$M$112),ABS(H5-validacion_snapshot!$N$112),ABS(I5-validacion_snapshot!$O$112),ABS(J5-validacion_snapshot!$P$112),ABS(K5-validacion_snapshot!$Q$112),ABS(L5-validacion_snapshot!$R$112))&lt;=0.00000001,"OK","FALLA")</f>
        <v>OK</v>
      </c>
    </row>
    <row r="6" customFormat="false" ht="15" hidden="false" customHeight="false" outlineLevel="0" collapsed="false">
      <c r="A6" s="3" t="s">
        <v>237</v>
      </c>
      <c r="B6" s="3" t="s">
        <v>238</v>
      </c>
      <c r="C6" s="3" t="s">
        <v>196</v>
      </c>
      <c r="D6" s="3" t="s">
        <v>197</v>
      </c>
      <c r="E6" s="4" t="n">
        <f aca="false">INDEX(valor_asignado!$C:$C,MATCH(D6,valor_asignado!$B:$B,0))</f>
        <v>79.8963333333333</v>
      </c>
      <c r="F6" s="4" t="n">
        <f aca="false">INDEX(valor_asignado!$D:$D,MATCH(D6,valor_asignado!$B:$B,0))</f>
        <v>2.59792666666667</v>
      </c>
      <c r="G6" s="4" t="n">
        <f aca="false">INDEX(valor_asignado!$E:$E,MATCH(D6,valor_asignado!$B:$B,0))</f>
        <v>0.570333333333333</v>
      </c>
      <c r="H6" s="4" t="n">
        <f aca="false">INDEX(valor_asignado!$F:$F,MATCH(D6,valor_asignado!$B:$B,0))</f>
        <v>0.199307899715207</v>
      </c>
      <c r="I6" s="4" t="n">
        <f aca="false">INDEX(valor_asignado!$G:$G,MATCH(D6,valor_asignado!$B:$B,0))</f>
        <v>0.124794260685337</v>
      </c>
      <c r="J6" s="4" t="n">
        <f aca="false">INDEX(valor_asignado!$H:$H,MATCH(D6,valor_asignado!$B:$B,0))</f>
        <v>0.616909521323831</v>
      </c>
      <c r="K6" s="4" t="n">
        <f aca="false">INDEX(valor_asignado!$I:$I,MATCH(D6,valor_asignado!$B:$B,0))</f>
        <v>1.23381904264766</v>
      </c>
      <c r="L6" s="4" t="n">
        <f aca="false">INDEX(valor_asignado!$J:$J,MATCH(D6,valor_asignado!$B:$B,0))</f>
        <v>12</v>
      </c>
      <c r="M6" s="3"/>
      <c r="N6" s="3"/>
      <c r="O6" s="3"/>
      <c r="P6" s="3"/>
      <c r="Q6" s="3"/>
      <c r="R6" s="5" t="str">
        <f aca="false">IF(SUM(ABS(E6-validacion_snapshot!$K$113),ABS(F6-validacion_snapshot!$L$113),ABS(G6-validacion_snapshot!$M$113),ABS(H6-validacion_snapshot!$N$113),ABS(I6-validacion_snapshot!$O$113),ABS(J6-validacion_snapshot!$P$113),ABS(K6-validacion_snapshot!$Q$113),ABS(L6-validacion_snapshot!$R$113))&lt;=0.00000001,"OK","FALLA")</f>
        <v>OK</v>
      </c>
    </row>
    <row r="7" customFormat="false" ht="15" hidden="false" customHeight="false" outlineLevel="0" collapsed="false">
      <c r="A7" s="3" t="s">
        <v>239</v>
      </c>
      <c r="B7" s="3" t="s">
        <v>240</v>
      </c>
      <c r="C7" s="3"/>
      <c r="D7" s="3" t="s">
        <v>195</v>
      </c>
      <c r="E7" s="3"/>
      <c r="F7" s="3"/>
      <c r="G7" s="3"/>
      <c r="H7" s="3"/>
      <c r="I7" s="3"/>
      <c r="J7" s="3"/>
      <c r="K7" s="3"/>
      <c r="L7" s="3"/>
      <c r="M7" s="3" t="s">
        <v>241</v>
      </c>
      <c r="N7" s="5" t="n">
        <f aca="false">COUNTIFS(puntajes_EA!$B:$B,D7,puntajes_EA!$G:$G,"N/A")</f>
        <v>0</v>
      </c>
      <c r="O7" s="5" t="n">
        <f aca="false">COUNTIFS(puntajes_EA!$B:$B,D7,puntajes_EA!$G:$G,"Satisfactorio")</f>
        <v>12</v>
      </c>
      <c r="P7" s="5" t="n">
        <f aca="false">COUNTIFS(puntajes_EA!$B:$B,D7,puntajes_EA!$G:$G,"Cuestionable")</f>
        <v>0</v>
      </c>
      <c r="Q7" s="5" t="n">
        <f aca="false">COUNTIFS(puntajes_EA!$B:$B,D7,puntajes_EA!$G:$G,"No satisfactorio")</f>
        <v>0</v>
      </c>
      <c r="R7" s="5" t="str">
        <f aca="false">IF(SUM(ABS(N7-validacion_snapshot!$AF$114),ABS(O7-validacion_snapshot!$AG$114),ABS(P7-validacion_snapshot!$AH$114),ABS(Q7-validacion_snapshot!$AI$114))=0,"OK","FALLA")</f>
        <v>OK</v>
      </c>
    </row>
    <row r="8" customFormat="false" ht="26.85" hidden="false" customHeight="false" outlineLevel="0" collapsed="false">
      <c r="A8" s="3" t="s">
        <v>239</v>
      </c>
      <c r="B8" s="3" t="s">
        <v>240</v>
      </c>
      <c r="C8" s="3"/>
      <c r="D8" s="3" t="s">
        <v>191</v>
      </c>
      <c r="E8" s="3"/>
      <c r="F8" s="3"/>
      <c r="G8" s="3"/>
      <c r="H8" s="3"/>
      <c r="I8" s="3"/>
      <c r="J8" s="3"/>
      <c r="K8" s="3"/>
      <c r="L8" s="3"/>
      <c r="M8" s="3" t="s">
        <v>241</v>
      </c>
      <c r="N8" s="5" t="n">
        <f aca="false">COUNTIFS(puntajes_EA!$B:$B,D8,puntajes_EA!$G:$G,"N/A")</f>
        <v>0</v>
      </c>
      <c r="O8" s="5" t="n">
        <f aca="false">COUNTIFS(puntajes_EA!$B:$B,D8,puntajes_EA!$G:$G,"Satisfactorio")</f>
        <v>11</v>
      </c>
      <c r="P8" s="5" t="n">
        <f aca="false">COUNTIFS(puntajes_EA!$B:$B,D8,puntajes_EA!$G:$G,"Cuestionable")</f>
        <v>1</v>
      </c>
      <c r="Q8" s="5" t="n">
        <f aca="false">COUNTIFS(puntajes_EA!$B:$B,D8,puntajes_EA!$G:$G,"No satisfactorio")</f>
        <v>0</v>
      </c>
      <c r="R8" s="5" t="str">
        <f aca="false">IF(SUM(ABS(N8-validacion_snapshot!$AF$115),ABS(O8-validacion_snapshot!$AG$115),ABS(P8-validacion_snapshot!$AH$115),ABS(Q8-validacion_snapshot!$AI$115))=0,"OK","FALLA")</f>
        <v>OK</v>
      </c>
    </row>
    <row r="9" customFormat="false" ht="15" hidden="false" customHeight="false" outlineLevel="0" collapsed="false">
      <c r="A9" s="3" t="s">
        <v>239</v>
      </c>
      <c r="B9" s="3" t="s">
        <v>240</v>
      </c>
      <c r="C9" s="3"/>
      <c r="D9" s="3" t="s">
        <v>193</v>
      </c>
      <c r="E9" s="3"/>
      <c r="F9" s="3"/>
      <c r="G9" s="3"/>
      <c r="H9" s="3"/>
      <c r="I9" s="3"/>
      <c r="J9" s="3"/>
      <c r="K9" s="3"/>
      <c r="L9" s="3"/>
      <c r="M9" s="3" t="s">
        <v>241</v>
      </c>
      <c r="N9" s="5" t="n">
        <f aca="false">COUNTIFS(puntajes_EA!$B:$B,D9,puntajes_EA!$G:$G,"N/A")</f>
        <v>0</v>
      </c>
      <c r="O9" s="5" t="n">
        <f aca="false">COUNTIFS(puntajes_EA!$B:$B,D9,puntajes_EA!$G:$G,"Satisfactorio")</f>
        <v>12</v>
      </c>
      <c r="P9" s="5" t="n">
        <f aca="false">COUNTIFS(puntajes_EA!$B:$B,D9,puntajes_EA!$G:$G,"Cuestionable")</f>
        <v>0</v>
      </c>
      <c r="Q9" s="5" t="n">
        <f aca="false">COUNTIFS(puntajes_EA!$B:$B,D9,puntajes_EA!$G:$G,"No satisfactorio")</f>
        <v>0</v>
      </c>
      <c r="R9" s="5" t="str">
        <f aca="false">IF(SUM(ABS(N9-validacion_snapshot!$AF$116),ABS(O9-validacion_snapshot!$AG$116),ABS(P9-validacion_snapshot!$AH$116),ABS(Q9-validacion_snapshot!$AI$116))=0,"OK","FALLA")</f>
        <v>OK</v>
      </c>
    </row>
    <row r="10" customFormat="false" ht="15" hidden="false" customHeight="false" outlineLevel="0" collapsed="false">
      <c r="A10" s="3" t="s">
        <v>239</v>
      </c>
      <c r="B10" s="3" t="s">
        <v>240</v>
      </c>
      <c r="C10" s="3"/>
      <c r="D10" s="3" t="s">
        <v>197</v>
      </c>
      <c r="E10" s="3"/>
      <c r="F10" s="3"/>
      <c r="G10" s="3"/>
      <c r="H10" s="3"/>
      <c r="I10" s="3"/>
      <c r="J10" s="3"/>
      <c r="K10" s="3"/>
      <c r="L10" s="3"/>
      <c r="M10" s="3" t="s">
        <v>241</v>
      </c>
      <c r="N10" s="5" t="n">
        <f aca="false">COUNTIFS(puntajes_EA!$B:$B,D10,puntajes_EA!$G:$G,"N/A")</f>
        <v>0</v>
      </c>
      <c r="O10" s="5" t="n">
        <f aca="false">COUNTIFS(puntajes_EA!$B:$B,D10,puntajes_EA!$G:$G,"Satisfactorio")</f>
        <v>12</v>
      </c>
      <c r="P10" s="5" t="n">
        <f aca="false">COUNTIFS(puntajes_EA!$B:$B,D10,puntajes_EA!$G:$G,"Cuestionable")</f>
        <v>0</v>
      </c>
      <c r="Q10" s="5" t="n">
        <f aca="false">COUNTIFS(puntajes_EA!$B:$B,D10,puntajes_EA!$G:$G,"No satisfactorio")</f>
        <v>0</v>
      </c>
      <c r="R10" s="5" t="str">
        <f aca="false">IF(SUM(ABS(N10-validacion_snapshot!$AF$117),ABS(O10-validacion_snapshot!$AG$117),ABS(P10-validacion_snapshot!$AH$117),ABS(Q10-validacion_snapshot!$AI$117))=0,"OK","FALLA")</f>
        <v>OK</v>
      </c>
    </row>
    <row r="11" customFormat="false" ht="15" hidden="false" customHeight="false" outlineLevel="0" collapsed="false">
      <c r="A11" s="3" t="s">
        <v>239</v>
      </c>
      <c r="B11" s="3" t="s">
        <v>240</v>
      </c>
      <c r="C11" s="3"/>
      <c r="D11" s="3" t="s">
        <v>189</v>
      </c>
      <c r="E11" s="3"/>
      <c r="F11" s="3"/>
      <c r="G11" s="3"/>
      <c r="H11" s="3"/>
      <c r="I11" s="3"/>
      <c r="J11" s="3"/>
      <c r="K11" s="3"/>
      <c r="L11" s="3"/>
      <c r="M11" s="3" t="s">
        <v>241</v>
      </c>
      <c r="N11" s="5" t="n">
        <f aca="false">COUNTIFS(puntajes_EA!$B:$B,D11,puntajes_EA!$G:$G,"N/A")</f>
        <v>0</v>
      </c>
      <c r="O11" s="5" t="n">
        <f aca="false">COUNTIFS(puntajes_EA!$B:$B,D11,puntajes_EA!$G:$G,"Satisfactorio")</f>
        <v>12</v>
      </c>
      <c r="P11" s="5" t="n">
        <f aca="false">COUNTIFS(puntajes_EA!$B:$B,D11,puntajes_EA!$G:$G,"Cuestionable")</f>
        <v>0</v>
      </c>
      <c r="Q11" s="5" t="n">
        <f aca="false">COUNTIFS(puntajes_EA!$B:$B,D11,puntajes_EA!$G:$G,"No satisfactorio")</f>
        <v>0</v>
      </c>
      <c r="R11" s="5" t="str">
        <f aca="false">IF(SUM(ABS(N11-validacion_snapshot!$AF$118),ABS(O11-validacion_snapshot!$AG$118),ABS(P11-validacion_snapshot!$AH$118),ABS(Q11-validacion_snapshot!$AI$118))=0,"OK","FALLA")</f>
        <v>OK</v>
      </c>
    </row>
    <row r="12" customFormat="false" ht="15" hidden="false" customHeight="false" outlineLevel="0" collapsed="false">
      <c r="A12" s="3" t="s">
        <v>239</v>
      </c>
      <c r="B12" s="3" t="s">
        <v>240</v>
      </c>
      <c r="C12" s="3"/>
      <c r="D12" s="3" t="s">
        <v>195</v>
      </c>
      <c r="E12" s="3"/>
      <c r="F12" s="3"/>
      <c r="G12" s="3"/>
      <c r="H12" s="3"/>
      <c r="I12" s="3"/>
      <c r="J12" s="3"/>
      <c r="K12" s="3"/>
      <c r="L12" s="3"/>
      <c r="M12" s="3" t="s">
        <v>242</v>
      </c>
      <c r="N12" s="5" t="n">
        <f aca="false">COUNTIFS(puntajes_EA!$B:$B,D12,puntajes_EA!$I:$I,"N/A")</f>
        <v>0</v>
      </c>
      <c r="O12" s="5" t="n">
        <f aca="false">COUNTIFS(puntajes_EA!$B:$B,D12,puntajes_EA!$I:$I,"Satisfactorio")</f>
        <v>12</v>
      </c>
      <c r="P12" s="5" t="n">
        <f aca="false">COUNTIFS(puntajes_EA!$B:$B,D12,puntajes_EA!$I:$I,"Cuestionable")</f>
        <v>0</v>
      </c>
      <c r="Q12" s="5" t="n">
        <f aca="false">COUNTIFS(puntajes_EA!$B:$B,D12,puntajes_EA!$I:$I,"No satisfactorio")</f>
        <v>0</v>
      </c>
      <c r="R12" s="5" t="str">
        <f aca="false">IF(SUM(ABS(N12-validacion_snapshot!$AF$119),ABS(O12-validacion_snapshot!$AG$119),ABS(P12-validacion_snapshot!$AH$119),ABS(Q12-validacion_snapshot!$AI$119))=0,"OK","FALLA")</f>
        <v>OK</v>
      </c>
    </row>
    <row r="13" customFormat="false" ht="26.85" hidden="false" customHeight="false" outlineLevel="0" collapsed="false">
      <c r="A13" s="3" t="s">
        <v>239</v>
      </c>
      <c r="B13" s="3" t="s">
        <v>240</v>
      </c>
      <c r="C13" s="3"/>
      <c r="D13" s="3" t="s">
        <v>191</v>
      </c>
      <c r="E13" s="3"/>
      <c r="F13" s="3"/>
      <c r="G13" s="3"/>
      <c r="H13" s="3"/>
      <c r="I13" s="3"/>
      <c r="J13" s="3"/>
      <c r="K13" s="3"/>
      <c r="L13" s="3"/>
      <c r="M13" s="3" t="s">
        <v>242</v>
      </c>
      <c r="N13" s="5" t="n">
        <f aca="false">COUNTIFS(puntajes_EA!$B:$B,D13,puntajes_EA!$I:$I,"N/A")</f>
        <v>0</v>
      </c>
      <c r="O13" s="5" t="n">
        <f aca="false">COUNTIFS(puntajes_EA!$B:$B,D13,puntajes_EA!$I:$I,"Satisfactorio")</f>
        <v>12</v>
      </c>
      <c r="P13" s="5" t="n">
        <f aca="false">COUNTIFS(puntajes_EA!$B:$B,D13,puntajes_EA!$I:$I,"Cuestionable")</f>
        <v>0</v>
      </c>
      <c r="Q13" s="5" t="n">
        <f aca="false">COUNTIFS(puntajes_EA!$B:$B,D13,puntajes_EA!$I:$I,"No satisfactorio")</f>
        <v>0</v>
      </c>
      <c r="R13" s="5" t="str">
        <f aca="false">IF(SUM(ABS(N13-validacion_snapshot!$AF$120),ABS(O13-validacion_snapshot!$AG$120),ABS(P13-validacion_snapshot!$AH$120),ABS(Q13-validacion_snapshot!$AI$120))=0,"OK","FALLA")</f>
        <v>OK</v>
      </c>
    </row>
    <row r="14" customFormat="false" ht="15" hidden="false" customHeight="false" outlineLevel="0" collapsed="false">
      <c r="A14" s="3" t="s">
        <v>239</v>
      </c>
      <c r="B14" s="3" t="s">
        <v>240</v>
      </c>
      <c r="C14" s="3"/>
      <c r="D14" s="3" t="s">
        <v>193</v>
      </c>
      <c r="E14" s="3"/>
      <c r="F14" s="3"/>
      <c r="G14" s="3"/>
      <c r="H14" s="3"/>
      <c r="I14" s="3"/>
      <c r="J14" s="3"/>
      <c r="K14" s="3"/>
      <c r="L14" s="3"/>
      <c r="M14" s="3" t="s">
        <v>242</v>
      </c>
      <c r="N14" s="5" t="n">
        <f aca="false">COUNTIFS(puntajes_EA!$B:$B,D14,puntajes_EA!$I:$I,"N/A")</f>
        <v>0</v>
      </c>
      <c r="O14" s="5" t="n">
        <f aca="false">COUNTIFS(puntajes_EA!$B:$B,D14,puntajes_EA!$I:$I,"Satisfactorio")</f>
        <v>12</v>
      </c>
      <c r="P14" s="5" t="n">
        <f aca="false">COUNTIFS(puntajes_EA!$B:$B,D14,puntajes_EA!$I:$I,"Cuestionable")</f>
        <v>0</v>
      </c>
      <c r="Q14" s="5" t="n">
        <f aca="false">COUNTIFS(puntajes_EA!$B:$B,D14,puntajes_EA!$I:$I,"No satisfactorio")</f>
        <v>0</v>
      </c>
      <c r="R14" s="5" t="str">
        <f aca="false">IF(SUM(ABS(N14-validacion_snapshot!$AF$121),ABS(O14-validacion_snapshot!$AG$121),ABS(P14-validacion_snapshot!$AH$121),ABS(Q14-validacion_snapshot!$AI$121))=0,"OK","FALLA")</f>
        <v>OK</v>
      </c>
    </row>
    <row r="15" customFormat="false" ht="15" hidden="false" customHeight="false" outlineLevel="0" collapsed="false">
      <c r="A15" s="3" t="s">
        <v>239</v>
      </c>
      <c r="B15" s="3" t="s">
        <v>240</v>
      </c>
      <c r="C15" s="3"/>
      <c r="D15" s="3" t="s">
        <v>197</v>
      </c>
      <c r="E15" s="3"/>
      <c r="F15" s="3"/>
      <c r="G15" s="3"/>
      <c r="H15" s="3"/>
      <c r="I15" s="3"/>
      <c r="J15" s="3"/>
      <c r="K15" s="3"/>
      <c r="L15" s="3"/>
      <c r="M15" s="3" t="s">
        <v>242</v>
      </c>
      <c r="N15" s="5" t="n">
        <f aca="false">COUNTIFS(puntajes_EA!$B:$B,D15,puntajes_EA!$I:$I,"N/A")</f>
        <v>0</v>
      </c>
      <c r="O15" s="5" t="n">
        <f aca="false">COUNTIFS(puntajes_EA!$B:$B,D15,puntajes_EA!$I:$I,"Satisfactorio")</f>
        <v>12</v>
      </c>
      <c r="P15" s="5" t="n">
        <f aca="false">COUNTIFS(puntajes_EA!$B:$B,D15,puntajes_EA!$I:$I,"Cuestionable")</f>
        <v>0</v>
      </c>
      <c r="Q15" s="5" t="n">
        <f aca="false">COUNTIFS(puntajes_EA!$B:$B,D15,puntajes_EA!$I:$I,"No satisfactorio")</f>
        <v>0</v>
      </c>
      <c r="R15" s="5" t="str">
        <f aca="false">IF(SUM(ABS(N15-validacion_snapshot!$AF$122),ABS(O15-validacion_snapshot!$AG$122),ABS(P15-validacion_snapshot!$AH$122),ABS(Q15-validacion_snapshot!$AI$122))=0,"OK","FALLA")</f>
        <v>OK</v>
      </c>
    </row>
    <row r="16" customFormat="false" ht="15" hidden="false" customHeight="false" outlineLevel="0" collapsed="false">
      <c r="A16" s="3" t="s">
        <v>239</v>
      </c>
      <c r="B16" s="3" t="s">
        <v>240</v>
      </c>
      <c r="C16" s="3"/>
      <c r="D16" s="3" t="s">
        <v>189</v>
      </c>
      <c r="E16" s="3"/>
      <c r="F16" s="3"/>
      <c r="G16" s="3"/>
      <c r="H16" s="3"/>
      <c r="I16" s="3"/>
      <c r="J16" s="3"/>
      <c r="K16" s="3"/>
      <c r="L16" s="3"/>
      <c r="M16" s="3" t="s">
        <v>242</v>
      </c>
      <c r="N16" s="5" t="n">
        <f aca="false">COUNTIFS(puntajes_EA!$B:$B,D16,puntajes_EA!$I:$I,"N/A")</f>
        <v>0</v>
      </c>
      <c r="O16" s="5" t="n">
        <f aca="false">COUNTIFS(puntajes_EA!$B:$B,D16,puntajes_EA!$I:$I,"Satisfactorio")</f>
        <v>12</v>
      </c>
      <c r="P16" s="5" t="n">
        <f aca="false">COUNTIFS(puntajes_EA!$B:$B,D16,puntajes_EA!$I:$I,"Cuestionable")</f>
        <v>0</v>
      </c>
      <c r="Q16" s="5" t="n">
        <f aca="false">COUNTIFS(puntajes_EA!$B:$B,D16,puntajes_EA!$I:$I,"No satisfactorio")</f>
        <v>0</v>
      </c>
      <c r="R16" s="5" t="str">
        <f aca="false">IF(SUM(ABS(N16-validacion_snapshot!$AF$123),ABS(O16-validacion_snapshot!$AG$123),ABS(P16-validacion_snapshot!$AH$123),ABS(Q16-validacion_snapshot!$AI$123))=0,"OK","FALLA")</f>
        <v>OK</v>
      </c>
    </row>
    <row r="17" customFormat="false" ht="15" hidden="false" customHeight="false" outlineLevel="0" collapsed="false">
      <c r="A17" s="3" t="s">
        <v>239</v>
      </c>
      <c r="B17" s="3" t="s">
        <v>240</v>
      </c>
      <c r="C17" s="3"/>
      <c r="D17" s="3" t="s">
        <v>195</v>
      </c>
      <c r="E17" s="3"/>
      <c r="F17" s="3"/>
      <c r="G17" s="3"/>
      <c r="H17" s="3"/>
      <c r="I17" s="3"/>
      <c r="J17" s="3"/>
      <c r="K17" s="3"/>
      <c r="L17" s="3"/>
      <c r="M17" s="3" t="s">
        <v>243</v>
      </c>
      <c r="N17" s="5" t="n">
        <f aca="false">COUNTIFS(puntajes_EA!$B:$B,D17,puntajes_EA!$K:$K,"N/A")</f>
        <v>0</v>
      </c>
      <c r="O17" s="5" t="n">
        <f aca="false">COUNTIFS(puntajes_EA!$B:$B,D17,puntajes_EA!$K:$K,"Satisfactorio")</f>
        <v>12</v>
      </c>
      <c r="P17" s="5" t="n">
        <f aca="false">COUNTIFS(puntajes_EA!$B:$B,D17,puntajes_EA!$K:$K,"Cuestionable")</f>
        <v>0</v>
      </c>
      <c r="Q17" s="5" t="n">
        <f aca="false">COUNTIFS(puntajes_EA!$B:$B,D17,puntajes_EA!$K:$K,"No satisfactorio")</f>
        <v>0</v>
      </c>
      <c r="R17" s="5" t="str">
        <f aca="false">IF(SUM(ABS(N17-validacion_snapshot!$AF$124),ABS(O17-validacion_snapshot!$AG$124),ABS(P17-validacion_snapshot!$AH$124),ABS(Q17-validacion_snapshot!$AI$124))=0,"OK","FALLA")</f>
        <v>OK</v>
      </c>
    </row>
    <row r="18" customFormat="false" ht="26.85" hidden="false" customHeight="false" outlineLevel="0" collapsed="false">
      <c r="A18" s="3" t="s">
        <v>239</v>
      </c>
      <c r="B18" s="3" t="s">
        <v>240</v>
      </c>
      <c r="C18" s="3"/>
      <c r="D18" s="3" t="s">
        <v>191</v>
      </c>
      <c r="E18" s="3"/>
      <c r="F18" s="3"/>
      <c r="G18" s="3"/>
      <c r="H18" s="3"/>
      <c r="I18" s="3"/>
      <c r="J18" s="3"/>
      <c r="K18" s="3"/>
      <c r="L18" s="3"/>
      <c r="M18" s="3" t="s">
        <v>243</v>
      </c>
      <c r="N18" s="5" t="n">
        <f aca="false">COUNTIFS(puntajes_EA!$B:$B,D18,puntajes_EA!$K:$K,"N/A")</f>
        <v>0</v>
      </c>
      <c r="O18" s="5" t="n">
        <f aca="false">COUNTIFS(puntajes_EA!$B:$B,D18,puntajes_EA!$K:$K,"Satisfactorio")</f>
        <v>12</v>
      </c>
      <c r="P18" s="5" t="n">
        <f aca="false">COUNTIFS(puntajes_EA!$B:$B,D18,puntajes_EA!$K:$K,"Cuestionable")</f>
        <v>0</v>
      </c>
      <c r="Q18" s="5" t="n">
        <f aca="false">COUNTIFS(puntajes_EA!$B:$B,D18,puntajes_EA!$K:$K,"No satisfactorio")</f>
        <v>0</v>
      </c>
      <c r="R18" s="5" t="str">
        <f aca="false">IF(SUM(ABS(N18-validacion_snapshot!$AF$125),ABS(O18-validacion_snapshot!$AG$125),ABS(P18-validacion_snapshot!$AH$125),ABS(Q18-validacion_snapshot!$AI$125))=0,"OK","FALLA")</f>
        <v>OK</v>
      </c>
    </row>
    <row r="19" customFormat="false" ht="15" hidden="false" customHeight="false" outlineLevel="0" collapsed="false">
      <c r="A19" s="3" t="s">
        <v>239</v>
      </c>
      <c r="B19" s="3" t="s">
        <v>240</v>
      </c>
      <c r="C19" s="3"/>
      <c r="D19" s="3" t="s">
        <v>193</v>
      </c>
      <c r="E19" s="3"/>
      <c r="F19" s="3"/>
      <c r="G19" s="3"/>
      <c r="H19" s="3"/>
      <c r="I19" s="3"/>
      <c r="J19" s="3"/>
      <c r="K19" s="3"/>
      <c r="L19" s="3"/>
      <c r="M19" s="3" t="s">
        <v>243</v>
      </c>
      <c r="N19" s="5" t="n">
        <f aca="false">COUNTIFS(puntajes_EA!$B:$B,D19,puntajes_EA!$K:$K,"N/A")</f>
        <v>0</v>
      </c>
      <c r="O19" s="5" t="n">
        <f aca="false">COUNTIFS(puntajes_EA!$B:$B,D19,puntajes_EA!$K:$K,"Satisfactorio")</f>
        <v>12</v>
      </c>
      <c r="P19" s="5" t="n">
        <f aca="false">COUNTIFS(puntajes_EA!$B:$B,D19,puntajes_EA!$K:$K,"Cuestionable")</f>
        <v>0</v>
      </c>
      <c r="Q19" s="5" t="n">
        <f aca="false">COUNTIFS(puntajes_EA!$B:$B,D19,puntajes_EA!$K:$K,"No satisfactorio")</f>
        <v>0</v>
      </c>
      <c r="R19" s="5" t="str">
        <f aca="false">IF(SUM(ABS(N19-validacion_snapshot!$AF$126),ABS(O19-validacion_snapshot!$AG$126),ABS(P19-validacion_snapshot!$AH$126),ABS(Q19-validacion_snapshot!$AI$126))=0,"OK","FALLA")</f>
        <v>OK</v>
      </c>
    </row>
    <row r="20" customFormat="false" ht="15" hidden="false" customHeight="false" outlineLevel="0" collapsed="false">
      <c r="A20" s="3" t="s">
        <v>239</v>
      </c>
      <c r="B20" s="3" t="s">
        <v>240</v>
      </c>
      <c r="C20" s="3"/>
      <c r="D20" s="3" t="s">
        <v>197</v>
      </c>
      <c r="E20" s="3"/>
      <c r="F20" s="3"/>
      <c r="G20" s="3"/>
      <c r="H20" s="3"/>
      <c r="I20" s="3"/>
      <c r="J20" s="3"/>
      <c r="K20" s="3"/>
      <c r="L20" s="3"/>
      <c r="M20" s="3" t="s">
        <v>243</v>
      </c>
      <c r="N20" s="5" t="n">
        <f aca="false">COUNTIFS(puntajes_EA!$B:$B,D20,puntajes_EA!$K:$K,"N/A")</f>
        <v>0</v>
      </c>
      <c r="O20" s="5" t="n">
        <f aca="false">COUNTIFS(puntajes_EA!$B:$B,D20,puntajes_EA!$K:$K,"Satisfactorio")</f>
        <v>12</v>
      </c>
      <c r="P20" s="5" t="n">
        <f aca="false">COUNTIFS(puntajes_EA!$B:$B,D20,puntajes_EA!$K:$K,"Cuestionable")</f>
        <v>0</v>
      </c>
      <c r="Q20" s="5" t="n">
        <f aca="false">COUNTIFS(puntajes_EA!$B:$B,D20,puntajes_EA!$K:$K,"No satisfactorio")</f>
        <v>0</v>
      </c>
      <c r="R20" s="5" t="str">
        <f aca="false">IF(SUM(ABS(N20-validacion_snapshot!$AF$127),ABS(O20-validacion_snapshot!$AG$127),ABS(P20-validacion_snapshot!$AH$127),ABS(Q20-validacion_snapshot!$AI$127))=0,"OK","FALLA")</f>
        <v>OK</v>
      </c>
    </row>
    <row r="21" customFormat="false" ht="15" hidden="false" customHeight="false" outlineLevel="0" collapsed="false">
      <c r="A21" s="3" t="s">
        <v>239</v>
      </c>
      <c r="B21" s="3" t="s">
        <v>240</v>
      </c>
      <c r="C21" s="3"/>
      <c r="D21" s="3" t="s">
        <v>189</v>
      </c>
      <c r="E21" s="3"/>
      <c r="F21" s="3"/>
      <c r="G21" s="3"/>
      <c r="H21" s="3"/>
      <c r="I21" s="3"/>
      <c r="J21" s="3"/>
      <c r="K21" s="3"/>
      <c r="L21" s="3"/>
      <c r="M21" s="3" t="s">
        <v>243</v>
      </c>
      <c r="N21" s="5" t="n">
        <f aca="false">COUNTIFS(puntajes_EA!$B:$B,D21,puntajes_EA!$K:$K,"N/A")</f>
        <v>0</v>
      </c>
      <c r="O21" s="5" t="n">
        <f aca="false">COUNTIFS(puntajes_EA!$B:$B,D21,puntajes_EA!$K:$K,"Satisfactorio")</f>
        <v>12</v>
      </c>
      <c r="P21" s="5" t="n">
        <f aca="false">COUNTIFS(puntajes_EA!$B:$B,D21,puntajes_EA!$K:$K,"Cuestionable")</f>
        <v>0</v>
      </c>
      <c r="Q21" s="5" t="n">
        <f aca="false">COUNTIFS(puntajes_EA!$B:$B,D21,puntajes_EA!$K:$K,"No satisfactorio")</f>
        <v>0</v>
      </c>
      <c r="R21" s="5" t="str">
        <f aca="false">IF(SUM(ABS(N21-validacion_snapshot!$AF$128),ABS(O21-validacion_snapshot!$AG$128),ABS(P21-validacion_snapshot!$AH$128),ABS(Q21-validacion_snapshot!$AI$128))=0,"OK","FALLA")</f>
        <v>OK</v>
      </c>
    </row>
    <row r="22" customFormat="false" ht="15" hidden="false" customHeight="false" outlineLevel="0" collapsed="false">
      <c r="A22" s="3" t="s">
        <v>239</v>
      </c>
      <c r="B22" s="3" t="s">
        <v>240</v>
      </c>
      <c r="C22" s="3"/>
      <c r="D22" s="3" t="s">
        <v>195</v>
      </c>
      <c r="E22" s="3"/>
      <c r="F22" s="3"/>
      <c r="G22" s="3"/>
      <c r="H22" s="3"/>
      <c r="I22" s="3"/>
      <c r="J22" s="3"/>
      <c r="K22" s="3"/>
      <c r="L22" s="3"/>
      <c r="M22" s="3" t="s">
        <v>244</v>
      </c>
      <c r="N22" s="5" t="n">
        <f aca="false">COUNTIFS(puntajes_EA!$B:$B,D22,puntajes_EA!$M:$M,"N/A")</f>
        <v>0</v>
      </c>
      <c r="O22" s="5" t="n">
        <f aca="false">COUNTIFS(puntajes_EA!$B:$B,D22,puntajes_EA!$M:$M,"Satisfactorio")</f>
        <v>12</v>
      </c>
      <c r="P22" s="5" t="n">
        <f aca="false">COUNTIFS(puntajes_EA!$B:$B,D22,puntajes_EA!$M:$M,"Cuestionable")</f>
        <v>0</v>
      </c>
      <c r="Q22" s="5" t="n">
        <f aca="false">COUNTIFS(puntajes_EA!$B:$B,D22,puntajes_EA!$M:$M,"No satisfactorio")</f>
        <v>0</v>
      </c>
      <c r="R22" s="5" t="str">
        <f aca="false">IF(SUM(ABS(N22-validacion_snapshot!$AF$129),ABS(O22-validacion_snapshot!$AG$129),ABS(P22-validacion_snapshot!$AH$129),ABS(Q22-validacion_snapshot!$AI$129))=0,"OK","FALLA")</f>
        <v>OK</v>
      </c>
    </row>
    <row r="23" customFormat="false" ht="26.85" hidden="false" customHeight="false" outlineLevel="0" collapsed="false">
      <c r="A23" s="3" t="s">
        <v>239</v>
      </c>
      <c r="B23" s="3" t="s">
        <v>240</v>
      </c>
      <c r="C23" s="3"/>
      <c r="D23" s="3" t="s">
        <v>191</v>
      </c>
      <c r="E23" s="3"/>
      <c r="F23" s="3"/>
      <c r="G23" s="3"/>
      <c r="H23" s="3"/>
      <c r="I23" s="3"/>
      <c r="J23" s="3"/>
      <c r="K23" s="3"/>
      <c r="L23" s="3"/>
      <c r="M23" s="3" t="s">
        <v>244</v>
      </c>
      <c r="N23" s="5" t="n">
        <f aca="false">COUNTIFS(puntajes_EA!$B:$B,D23,puntajes_EA!$M:$M,"N/A")</f>
        <v>0</v>
      </c>
      <c r="O23" s="5" t="n">
        <f aca="false">COUNTIFS(puntajes_EA!$B:$B,D23,puntajes_EA!$M:$M,"Satisfactorio")</f>
        <v>12</v>
      </c>
      <c r="P23" s="5" t="n">
        <f aca="false">COUNTIFS(puntajes_EA!$B:$B,D23,puntajes_EA!$M:$M,"Cuestionable")</f>
        <v>0</v>
      </c>
      <c r="Q23" s="5" t="n">
        <f aca="false">COUNTIFS(puntajes_EA!$B:$B,D23,puntajes_EA!$M:$M,"No satisfactorio")</f>
        <v>0</v>
      </c>
      <c r="R23" s="5" t="str">
        <f aca="false">IF(SUM(ABS(N23-validacion_snapshot!$AF$130),ABS(O23-validacion_snapshot!$AG$130),ABS(P23-validacion_snapshot!$AH$130),ABS(Q23-validacion_snapshot!$AI$130))=0,"OK","FALLA")</f>
        <v>OK</v>
      </c>
    </row>
    <row r="24" customFormat="false" ht="15" hidden="false" customHeight="false" outlineLevel="0" collapsed="false">
      <c r="A24" s="3" t="s">
        <v>239</v>
      </c>
      <c r="B24" s="3" t="s">
        <v>240</v>
      </c>
      <c r="C24" s="3"/>
      <c r="D24" s="3" t="s">
        <v>193</v>
      </c>
      <c r="E24" s="3"/>
      <c r="F24" s="3"/>
      <c r="G24" s="3"/>
      <c r="H24" s="3"/>
      <c r="I24" s="3"/>
      <c r="J24" s="3"/>
      <c r="K24" s="3"/>
      <c r="L24" s="3"/>
      <c r="M24" s="3" t="s">
        <v>244</v>
      </c>
      <c r="N24" s="5" t="n">
        <f aca="false">COUNTIFS(puntajes_EA!$B:$B,D24,puntajes_EA!$M:$M,"N/A")</f>
        <v>0</v>
      </c>
      <c r="O24" s="5" t="n">
        <f aca="false">COUNTIFS(puntajes_EA!$B:$B,D24,puntajes_EA!$M:$M,"Satisfactorio")</f>
        <v>12</v>
      </c>
      <c r="P24" s="5" t="n">
        <f aca="false">COUNTIFS(puntajes_EA!$B:$B,D24,puntajes_EA!$M:$M,"Cuestionable")</f>
        <v>0</v>
      </c>
      <c r="Q24" s="5" t="n">
        <f aca="false">COUNTIFS(puntajes_EA!$B:$B,D24,puntajes_EA!$M:$M,"No satisfactorio")</f>
        <v>0</v>
      </c>
      <c r="R24" s="5" t="str">
        <f aca="false">IF(SUM(ABS(N24-validacion_snapshot!$AF$131),ABS(O24-validacion_snapshot!$AG$131),ABS(P24-validacion_snapshot!$AH$131),ABS(Q24-validacion_snapshot!$AI$131))=0,"OK","FALLA")</f>
        <v>OK</v>
      </c>
    </row>
    <row r="25" customFormat="false" ht="15" hidden="false" customHeight="false" outlineLevel="0" collapsed="false">
      <c r="A25" s="3" t="s">
        <v>239</v>
      </c>
      <c r="B25" s="3" t="s">
        <v>240</v>
      </c>
      <c r="C25" s="3"/>
      <c r="D25" s="3" t="s">
        <v>197</v>
      </c>
      <c r="E25" s="3"/>
      <c r="F25" s="3"/>
      <c r="G25" s="3"/>
      <c r="H25" s="3"/>
      <c r="I25" s="3"/>
      <c r="J25" s="3"/>
      <c r="K25" s="3"/>
      <c r="L25" s="3"/>
      <c r="M25" s="3" t="s">
        <v>244</v>
      </c>
      <c r="N25" s="5" t="n">
        <f aca="false">COUNTIFS(puntajes_EA!$B:$B,D25,puntajes_EA!$M:$M,"N/A")</f>
        <v>0</v>
      </c>
      <c r="O25" s="5" t="n">
        <f aca="false">COUNTIFS(puntajes_EA!$B:$B,D25,puntajes_EA!$M:$M,"Satisfactorio")</f>
        <v>12</v>
      </c>
      <c r="P25" s="5" t="n">
        <f aca="false">COUNTIFS(puntajes_EA!$B:$B,D25,puntajes_EA!$M:$M,"Cuestionable")</f>
        <v>0</v>
      </c>
      <c r="Q25" s="5" t="n">
        <f aca="false">COUNTIFS(puntajes_EA!$B:$B,D25,puntajes_EA!$M:$M,"No satisfactorio")</f>
        <v>0</v>
      </c>
      <c r="R25" s="5" t="str">
        <f aca="false">IF(SUM(ABS(N25-validacion_snapshot!$AF$132),ABS(O25-validacion_snapshot!$AG$132),ABS(P25-validacion_snapshot!$AH$132),ABS(Q25-validacion_snapshot!$AI$132))=0,"OK","FALLA")</f>
        <v>OK</v>
      </c>
    </row>
    <row r="26" customFormat="false" ht="15" hidden="false" customHeight="false" outlineLevel="0" collapsed="false">
      <c r="A26" s="3" t="s">
        <v>239</v>
      </c>
      <c r="B26" s="3" t="s">
        <v>240</v>
      </c>
      <c r="C26" s="3"/>
      <c r="D26" s="3" t="s">
        <v>189</v>
      </c>
      <c r="E26" s="3"/>
      <c r="F26" s="3"/>
      <c r="G26" s="3"/>
      <c r="H26" s="3"/>
      <c r="I26" s="3"/>
      <c r="J26" s="3"/>
      <c r="K26" s="3"/>
      <c r="L26" s="3"/>
      <c r="M26" s="3" t="s">
        <v>244</v>
      </c>
      <c r="N26" s="5" t="n">
        <f aca="false">COUNTIFS(puntajes_EA!$B:$B,D26,puntajes_EA!$M:$M,"N/A")</f>
        <v>0</v>
      </c>
      <c r="O26" s="5" t="n">
        <f aca="false">COUNTIFS(puntajes_EA!$B:$B,D26,puntajes_EA!$M:$M,"Satisfactorio")</f>
        <v>12</v>
      </c>
      <c r="P26" s="5" t="n">
        <f aca="false">COUNTIFS(puntajes_EA!$B:$B,D26,puntajes_EA!$M:$M,"Cuestionable")</f>
        <v>0</v>
      </c>
      <c r="Q26" s="5" t="n">
        <f aca="false">COUNTIFS(puntajes_EA!$B:$B,D26,puntajes_EA!$M:$M,"No satisfactorio")</f>
        <v>0</v>
      </c>
      <c r="R26" s="5" t="str">
        <f aca="false">IF(SUM(ABS(N26-validacion_snapshot!$AF$133),ABS(O26-validacion_snapshot!$AG$133),ABS(P26-validacion_snapshot!$AH$133),ABS(Q26-validacion_snapshot!$AI$133))=0,"OK","FALLA")</f>
        <v>OK</v>
      </c>
    </row>
  </sheetData>
  <conditionalFormatting sqref="R2:R26">
    <cfRule type="expression" priority="2" aboveAverage="0" equalAverage="0" bottom="0" percent="0" rank="0" text="" dxfId="0">
      <formula>R2="FALLA"</formula>
    </cfRule>
    <cfRule type="expression" priority="3" aboveAverage="0" equalAverage="0" bottom="0" percent="0" rank="0" text="" dxfId="1">
      <formula>R2="OK"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9.71"/>
    <col collapsed="false" customWidth="true" hidden="false" outlineLevel="0" max="3" min="3" style="0" width="5.71"/>
    <col collapsed="false" customWidth="true" hidden="false" outlineLevel="0" max="4" min="4" style="0" width="11.71"/>
    <col collapsed="false" customWidth="true" hidden="false" outlineLevel="0" max="5" min="5" style="0" width="22.71"/>
    <col collapsed="false" customWidth="true" hidden="false" outlineLevel="0" max="6" min="6" style="0" width="34.71"/>
    <col collapsed="false" customWidth="true" hidden="false" outlineLevel="0" max="7" min="7" style="0" width="28.71"/>
    <col collapsed="false" customWidth="true" hidden="false" outlineLevel="0" max="8" min="8" style="0" width="23.71"/>
    <col collapsed="false" customWidth="true" hidden="false" outlineLevel="0" max="9" min="9" style="0" width="14.71"/>
    <col collapsed="false" customWidth="true" hidden="false" outlineLevel="0" max="10" min="10" style="0" width="18.71"/>
    <col collapsed="false" customWidth="true" hidden="false" outlineLevel="0" max="11" min="11" style="0" width="16.72"/>
    <col collapsed="false" customWidth="true" hidden="false" outlineLevel="0" max="13" min="12" style="0" width="18.71"/>
    <col collapsed="false" customWidth="true" hidden="false" outlineLevel="0" max="17" min="14" style="0" width="17.71"/>
    <col collapsed="false" customWidth="true" hidden="false" outlineLevel="0" max="18" min="18" style="0" width="14.71"/>
    <col collapsed="false" customWidth="true" hidden="false" outlineLevel="0" max="19" min="19" style="0" width="32.71"/>
    <col collapsed="false" customWidth="true" hidden="false" outlineLevel="0" max="20" min="20" style="0" width="14.71"/>
    <col collapsed="false" customWidth="true" hidden="false" outlineLevel="0" max="21" min="21" style="0" width="16.72"/>
    <col collapsed="false" customWidth="true" hidden="false" outlineLevel="0" max="22" min="22" style="0" width="19.71"/>
    <col collapsed="false" customWidth="true" hidden="false" outlineLevel="0" max="23" min="23" style="0" width="18.71"/>
    <col collapsed="false" customWidth="true" hidden="false" outlineLevel="0" max="24" min="24" style="0" width="13.71"/>
    <col collapsed="false" customWidth="true" hidden="false" outlineLevel="0" max="25" min="25" style="0" width="19.71"/>
    <col collapsed="false" customWidth="true" hidden="false" outlineLevel="0" max="26" min="26" style="0" width="18.71"/>
    <col collapsed="false" customWidth="true" hidden="false" outlineLevel="0" max="27" min="27" style="0" width="19.71"/>
    <col collapsed="false" customWidth="true" hidden="false" outlineLevel="0" max="28" min="28" style="0" width="15.71"/>
    <col collapsed="false" customWidth="true" hidden="false" outlineLevel="0" max="29" min="29" style="0" width="19.71"/>
    <col collapsed="false" customWidth="true" hidden="false" outlineLevel="0" max="30" min="30" style="0" width="13.71"/>
    <col collapsed="false" customWidth="true" hidden="false" outlineLevel="0" max="31" min="31" style="0" width="7.71"/>
    <col collapsed="false" customWidth="true" hidden="false" outlineLevel="0" max="32" min="32" style="0" width="3.71"/>
    <col collapsed="false" customWidth="true" hidden="false" outlineLevel="0" max="33" min="33" style="0" width="13.71"/>
    <col collapsed="false" customWidth="true" hidden="false" outlineLevel="0" max="34" min="34" style="0" width="12.71"/>
    <col collapsed="false" customWidth="true" hidden="false" outlineLevel="0" max="35" min="35" style="0" width="16.72"/>
  </cols>
  <sheetData>
    <row r="1" customFormat="false" ht="15" hidden="false" customHeight="false" outlineLevel="0" collapsed="false">
      <c r="A1" s="2" t="s">
        <v>245</v>
      </c>
      <c r="B1" s="2" t="s">
        <v>120</v>
      </c>
      <c r="C1" s="2" t="s">
        <v>246</v>
      </c>
      <c r="D1" s="2" t="s">
        <v>121</v>
      </c>
      <c r="E1" s="2" t="s">
        <v>247</v>
      </c>
      <c r="F1" s="2" t="s">
        <v>64</v>
      </c>
      <c r="G1" s="2" t="s">
        <v>25</v>
      </c>
      <c r="H1" s="2" t="s">
        <v>65</v>
      </c>
      <c r="I1" s="2" t="s">
        <v>180</v>
      </c>
      <c r="J1" s="2" t="s">
        <v>181</v>
      </c>
      <c r="K1" s="2" t="s">
        <v>34</v>
      </c>
      <c r="L1" s="2" t="s">
        <v>182</v>
      </c>
      <c r="M1" s="2" t="s">
        <v>183</v>
      </c>
      <c r="N1" s="2" t="s">
        <v>184</v>
      </c>
      <c r="O1" s="2" t="s">
        <v>185</v>
      </c>
      <c r="P1" s="2" t="s">
        <v>186</v>
      </c>
      <c r="Q1" s="2" t="s">
        <v>187</v>
      </c>
      <c r="R1" s="2" t="s">
        <v>188</v>
      </c>
      <c r="S1" s="2" t="s">
        <v>1</v>
      </c>
      <c r="T1" s="2" t="s">
        <v>119</v>
      </c>
      <c r="U1" s="2" t="s">
        <v>222</v>
      </c>
      <c r="V1" s="2" t="s">
        <v>223</v>
      </c>
      <c r="W1" s="2" t="s">
        <v>224</v>
      </c>
      <c r="X1" s="2" t="s">
        <v>225</v>
      </c>
      <c r="Y1" s="2" t="s">
        <v>226</v>
      </c>
      <c r="Z1" s="2" t="s">
        <v>227</v>
      </c>
      <c r="AA1" s="2" t="s">
        <v>228</v>
      </c>
      <c r="AB1" s="2" t="s">
        <v>229</v>
      </c>
      <c r="AC1" s="2" t="s">
        <v>230</v>
      </c>
      <c r="AD1" s="2" t="s">
        <v>231</v>
      </c>
      <c r="AE1" s="2" t="s">
        <v>232</v>
      </c>
      <c r="AF1" s="2" t="s">
        <v>233</v>
      </c>
      <c r="AG1" s="2" t="s">
        <v>234</v>
      </c>
      <c r="AH1" s="2" t="s">
        <v>235</v>
      </c>
      <c r="AI1" s="2" t="s">
        <v>236</v>
      </c>
    </row>
    <row r="2" customFormat="false" ht="15" hidden="false" customHeight="false" outlineLevel="0" collapsed="false">
      <c r="A2" s="8" t="s">
        <v>4</v>
      </c>
      <c r="B2" s="8" t="s">
        <v>8</v>
      </c>
      <c r="C2" s="8" t="n">
        <v>13</v>
      </c>
      <c r="D2" s="8" t="s">
        <v>6</v>
      </c>
      <c r="E2" s="8" t="s">
        <v>248</v>
      </c>
      <c r="F2" s="8" t="s">
        <v>70</v>
      </c>
      <c r="G2" s="8" t="s">
        <v>71</v>
      </c>
      <c r="H2" s="8" t="s">
        <v>72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customFormat="false" ht="15" hidden="false" customHeight="false" outlineLevel="0" collapsed="false">
      <c r="A3" s="8" t="s">
        <v>4</v>
      </c>
      <c r="B3" s="8" t="s">
        <v>8</v>
      </c>
      <c r="C3" s="8" t="n">
        <v>13</v>
      </c>
      <c r="D3" s="8" t="s">
        <v>6</v>
      </c>
      <c r="E3" s="8" t="s">
        <v>248</v>
      </c>
      <c r="F3" s="8" t="s">
        <v>70</v>
      </c>
      <c r="G3" s="8" t="s">
        <v>73</v>
      </c>
      <c r="H3" s="8" t="s">
        <v>74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customFormat="false" ht="15" hidden="false" customHeight="false" outlineLevel="0" collapsed="false">
      <c r="A4" s="8" t="s">
        <v>4</v>
      </c>
      <c r="B4" s="8" t="s">
        <v>8</v>
      </c>
      <c r="C4" s="8" t="n">
        <v>13</v>
      </c>
      <c r="D4" s="8" t="s">
        <v>6</v>
      </c>
      <c r="E4" s="8" t="s">
        <v>248</v>
      </c>
      <c r="F4" s="8" t="s">
        <v>70</v>
      </c>
      <c r="G4" s="8" t="s">
        <v>75</v>
      </c>
      <c r="H4" s="8" t="s">
        <v>76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customFormat="false" ht="15" hidden="false" customHeight="false" outlineLevel="0" collapsed="false">
      <c r="A5" s="8" t="s">
        <v>4</v>
      </c>
      <c r="B5" s="8" t="s">
        <v>8</v>
      </c>
      <c r="C5" s="8" t="n">
        <v>13</v>
      </c>
      <c r="D5" s="8" t="s">
        <v>6</v>
      </c>
      <c r="E5" s="8" t="s">
        <v>248</v>
      </c>
      <c r="F5" s="8" t="s">
        <v>70</v>
      </c>
      <c r="G5" s="8" t="s">
        <v>77</v>
      </c>
      <c r="H5" s="8" t="s">
        <v>78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customFormat="false" ht="15" hidden="false" customHeight="false" outlineLevel="0" collapsed="false">
      <c r="A6" s="8" t="s">
        <v>4</v>
      </c>
      <c r="B6" s="8" t="s">
        <v>8</v>
      </c>
      <c r="C6" s="8" t="n">
        <v>13</v>
      </c>
      <c r="D6" s="8" t="s">
        <v>6</v>
      </c>
      <c r="E6" s="8" t="s">
        <v>248</v>
      </c>
      <c r="F6" s="8" t="s">
        <v>70</v>
      </c>
      <c r="G6" s="8" t="s">
        <v>79</v>
      </c>
      <c r="H6" s="8" t="s">
        <v>78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customFormat="false" ht="15" hidden="false" customHeight="false" outlineLevel="0" collapsed="false">
      <c r="A7" s="8" t="s">
        <v>4</v>
      </c>
      <c r="B7" s="8" t="s">
        <v>8</v>
      </c>
      <c r="C7" s="8" t="n">
        <v>13</v>
      </c>
      <c r="D7" s="8" t="s">
        <v>6</v>
      </c>
      <c r="E7" s="8" t="s">
        <v>248</v>
      </c>
      <c r="F7" s="8" t="s">
        <v>70</v>
      </c>
      <c r="G7" s="8" t="s">
        <v>48</v>
      </c>
      <c r="H7" s="8" t="s">
        <v>80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customFormat="false" ht="15" hidden="false" customHeight="false" outlineLevel="0" collapsed="false">
      <c r="A8" s="8" t="s">
        <v>4</v>
      </c>
      <c r="B8" s="8" t="s">
        <v>8</v>
      </c>
      <c r="C8" s="8" t="n">
        <v>13</v>
      </c>
      <c r="D8" s="8" t="s">
        <v>6</v>
      </c>
      <c r="E8" s="8" t="s">
        <v>248</v>
      </c>
      <c r="F8" s="8" t="s">
        <v>81</v>
      </c>
      <c r="G8" s="8" t="s">
        <v>71</v>
      </c>
      <c r="H8" s="8" t="s">
        <v>72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customFormat="false" ht="15" hidden="false" customHeight="false" outlineLevel="0" collapsed="false">
      <c r="A9" s="8" t="s">
        <v>4</v>
      </c>
      <c r="B9" s="8" t="s">
        <v>8</v>
      </c>
      <c r="C9" s="8" t="n">
        <v>13</v>
      </c>
      <c r="D9" s="8" t="s">
        <v>6</v>
      </c>
      <c r="E9" s="8" t="s">
        <v>248</v>
      </c>
      <c r="F9" s="8" t="s">
        <v>81</v>
      </c>
      <c r="G9" s="8" t="s">
        <v>73</v>
      </c>
      <c r="H9" s="8" t="s">
        <v>74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customFormat="false" ht="15" hidden="false" customHeight="false" outlineLevel="0" collapsed="false">
      <c r="A10" s="8" t="s">
        <v>4</v>
      </c>
      <c r="B10" s="8" t="s">
        <v>8</v>
      </c>
      <c r="C10" s="8" t="n">
        <v>13</v>
      </c>
      <c r="D10" s="8" t="s">
        <v>6</v>
      </c>
      <c r="E10" s="8" t="s">
        <v>248</v>
      </c>
      <c r="F10" s="8" t="s">
        <v>81</v>
      </c>
      <c r="G10" s="8" t="s">
        <v>75</v>
      </c>
      <c r="H10" s="8" t="s">
        <v>76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customFormat="false" ht="15" hidden="false" customHeight="false" outlineLevel="0" collapsed="false">
      <c r="A11" s="8" t="s">
        <v>4</v>
      </c>
      <c r="B11" s="8" t="s">
        <v>8</v>
      </c>
      <c r="C11" s="8" t="n">
        <v>13</v>
      </c>
      <c r="D11" s="8" t="s">
        <v>6</v>
      </c>
      <c r="E11" s="8" t="s">
        <v>248</v>
      </c>
      <c r="F11" s="8" t="s">
        <v>81</v>
      </c>
      <c r="G11" s="8" t="s">
        <v>82</v>
      </c>
      <c r="H11" s="8" t="s">
        <v>83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customFormat="false" ht="15" hidden="false" customHeight="false" outlineLevel="0" collapsed="false">
      <c r="A12" s="8" t="s">
        <v>4</v>
      </c>
      <c r="B12" s="8" t="s">
        <v>8</v>
      </c>
      <c r="C12" s="8" t="n">
        <v>13</v>
      </c>
      <c r="D12" s="8" t="s">
        <v>6</v>
      </c>
      <c r="E12" s="8" t="s">
        <v>248</v>
      </c>
      <c r="F12" s="8" t="s">
        <v>81</v>
      </c>
      <c r="G12" s="8" t="s">
        <v>84</v>
      </c>
      <c r="H12" s="8" t="s">
        <v>85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customFormat="false" ht="15" hidden="false" customHeight="false" outlineLevel="0" collapsed="false">
      <c r="A13" s="8" t="s">
        <v>4</v>
      </c>
      <c r="B13" s="8" t="s">
        <v>8</v>
      </c>
      <c r="C13" s="8" t="n">
        <v>13</v>
      </c>
      <c r="D13" s="8" t="s">
        <v>6</v>
      </c>
      <c r="E13" s="8" t="s">
        <v>248</v>
      </c>
      <c r="F13" s="8" t="s">
        <v>81</v>
      </c>
      <c r="G13" s="8" t="s">
        <v>86</v>
      </c>
      <c r="H13" s="8" t="s">
        <v>87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customFormat="false" ht="15" hidden="false" customHeight="false" outlineLevel="0" collapsed="false">
      <c r="A14" s="8" t="s">
        <v>4</v>
      </c>
      <c r="B14" s="8" t="s">
        <v>8</v>
      </c>
      <c r="C14" s="8" t="n">
        <v>13</v>
      </c>
      <c r="D14" s="8" t="s">
        <v>6</v>
      </c>
      <c r="E14" s="8" t="s">
        <v>248</v>
      </c>
      <c r="F14" s="8" t="s">
        <v>81</v>
      </c>
      <c r="G14" s="8" t="s">
        <v>88</v>
      </c>
      <c r="H14" s="8" t="s">
        <v>89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customFormat="false" ht="15" hidden="false" customHeight="false" outlineLevel="0" collapsed="false">
      <c r="A15" s="8" t="s">
        <v>4</v>
      </c>
      <c r="B15" s="8" t="s">
        <v>8</v>
      </c>
      <c r="C15" s="8" t="n">
        <v>13</v>
      </c>
      <c r="D15" s="8" t="s">
        <v>6</v>
      </c>
      <c r="E15" s="8" t="s">
        <v>248</v>
      </c>
      <c r="F15" s="8" t="s">
        <v>81</v>
      </c>
      <c r="G15" s="8" t="s">
        <v>90</v>
      </c>
      <c r="H15" s="8" t="s">
        <v>91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customFormat="false" ht="15" hidden="false" customHeight="false" outlineLevel="0" collapsed="false">
      <c r="A16" s="8" t="s">
        <v>4</v>
      </c>
      <c r="B16" s="8" t="s">
        <v>8</v>
      </c>
      <c r="C16" s="8" t="n">
        <v>13</v>
      </c>
      <c r="D16" s="8" t="s">
        <v>6</v>
      </c>
      <c r="E16" s="8" t="s">
        <v>249</v>
      </c>
      <c r="F16" s="8" t="s">
        <v>70</v>
      </c>
      <c r="G16" s="8" t="s">
        <v>71</v>
      </c>
      <c r="H16" s="8" t="s">
        <v>72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customFormat="false" ht="15" hidden="false" customHeight="false" outlineLevel="0" collapsed="false">
      <c r="A17" s="8" t="s">
        <v>4</v>
      </c>
      <c r="B17" s="8" t="s">
        <v>8</v>
      </c>
      <c r="C17" s="8" t="n">
        <v>13</v>
      </c>
      <c r="D17" s="8" t="s">
        <v>6</v>
      </c>
      <c r="E17" s="8" t="s">
        <v>249</v>
      </c>
      <c r="F17" s="8" t="s">
        <v>70</v>
      </c>
      <c r="G17" s="8" t="s">
        <v>73</v>
      </c>
      <c r="H17" s="8" t="s">
        <v>74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customFormat="false" ht="15" hidden="false" customHeight="false" outlineLevel="0" collapsed="false">
      <c r="A18" s="8" t="s">
        <v>4</v>
      </c>
      <c r="B18" s="8" t="s">
        <v>8</v>
      </c>
      <c r="C18" s="8" t="n">
        <v>13</v>
      </c>
      <c r="D18" s="8" t="s">
        <v>6</v>
      </c>
      <c r="E18" s="8" t="s">
        <v>249</v>
      </c>
      <c r="F18" s="8" t="s">
        <v>70</v>
      </c>
      <c r="G18" s="8" t="s">
        <v>75</v>
      </c>
      <c r="H18" s="8" t="s">
        <v>76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customFormat="false" ht="15" hidden="false" customHeight="false" outlineLevel="0" collapsed="false">
      <c r="A19" s="8" t="s">
        <v>4</v>
      </c>
      <c r="B19" s="8" t="s">
        <v>8</v>
      </c>
      <c r="C19" s="8" t="n">
        <v>13</v>
      </c>
      <c r="D19" s="8" t="s">
        <v>6</v>
      </c>
      <c r="E19" s="8" t="s">
        <v>249</v>
      </c>
      <c r="F19" s="8" t="s">
        <v>70</v>
      </c>
      <c r="G19" s="8" t="s">
        <v>77</v>
      </c>
      <c r="H19" s="8" t="s">
        <v>78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customFormat="false" ht="15" hidden="false" customHeight="false" outlineLevel="0" collapsed="false">
      <c r="A20" s="8" t="s">
        <v>4</v>
      </c>
      <c r="B20" s="8" t="s">
        <v>8</v>
      </c>
      <c r="C20" s="8" t="n">
        <v>13</v>
      </c>
      <c r="D20" s="8" t="s">
        <v>6</v>
      </c>
      <c r="E20" s="8" t="s">
        <v>249</v>
      </c>
      <c r="F20" s="8" t="s">
        <v>70</v>
      </c>
      <c r="G20" s="8" t="s">
        <v>79</v>
      </c>
      <c r="H20" s="8" t="s">
        <v>78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customFormat="false" ht="15" hidden="false" customHeight="false" outlineLevel="0" collapsed="false">
      <c r="A21" s="8" t="s">
        <v>4</v>
      </c>
      <c r="B21" s="8" t="s">
        <v>8</v>
      </c>
      <c r="C21" s="8" t="n">
        <v>13</v>
      </c>
      <c r="D21" s="8" t="s">
        <v>6</v>
      </c>
      <c r="E21" s="8" t="s">
        <v>249</v>
      </c>
      <c r="F21" s="8" t="s">
        <v>70</v>
      </c>
      <c r="G21" s="8" t="s">
        <v>48</v>
      </c>
      <c r="H21" s="8" t="s">
        <v>80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customFormat="false" ht="15" hidden="false" customHeight="false" outlineLevel="0" collapsed="false">
      <c r="A22" s="8" t="s">
        <v>4</v>
      </c>
      <c r="B22" s="8" t="s">
        <v>8</v>
      </c>
      <c r="C22" s="8" t="n">
        <v>13</v>
      </c>
      <c r="D22" s="8" t="s">
        <v>6</v>
      </c>
      <c r="E22" s="8" t="s">
        <v>249</v>
      </c>
      <c r="F22" s="8" t="s">
        <v>81</v>
      </c>
      <c r="G22" s="8" t="s">
        <v>71</v>
      </c>
      <c r="H22" s="8" t="s">
        <v>72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customFormat="false" ht="15" hidden="false" customHeight="false" outlineLevel="0" collapsed="false">
      <c r="A23" s="8" t="s">
        <v>4</v>
      </c>
      <c r="B23" s="8" t="s">
        <v>8</v>
      </c>
      <c r="C23" s="8" t="n">
        <v>13</v>
      </c>
      <c r="D23" s="8" t="s">
        <v>6</v>
      </c>
      <c r="E23" s="8" t="s">
        <v>249</v>
      </c>
      <c r="F23" s="8" t="s">
        <v>81</v>
      </c>
      <c r="G23" s="8" t="s">
        <v>73</v>
      </c>
      <c r="H23" s="8" t="s">
        <v>74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customFormat="false" ht="15" hidden="false" customHeight="false" outlineLevel="0" collapsed="false">
      <c r="A24" s="8" t="s">
        <v>4</v>
      </c>
      <c r="B24" s="8" t="s">
        <v>8</v>
      </c>
      <c r="C24" s="8" t="n">
        <v>13</v>
      </c>
      <c r="D24" s="8" t="s">
        <v>6</v>
      </c>
      <c r="E24" s="8" t="s">
        <v>249</v>
      </c>
      <c r="F24" s="8" t="s">
        <v>81</v>
      </c>
      <c r="G24" s="8" t="s">
        <v>75</v>
      </c>
      <c r="H24" s="8" t="s">
        <v>76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customFormat="false" ht="15" hidden="false" customHeight="false" outlineLevel="0" collapsed="false">
      <c r="A25" s="8" t="s">
        <v>4</v>
      </c>
      <c r="B25" s="8" t="s">
        <v>8</v>
      </c>
      <c r="C25" s="8" t="n">
        <v>13</v>
      </c>
      <c r="D25" s="8" t="s">
        <v>6</v>
      </c>
      <c r="E25" s="8" t="s">
        <v>249</v>
      </c>
      <c r="F25" s="8" t="s">
        <v>81</v>
      </c>
      <c r="G25" s="8" t="s">
        <v>82</v>
      </c>
      <c r="H25" s="8" t="s">
        <v>83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customFormat="false" ht="15" hidden="false" customHeight="false" outlineLevel="0" collapsed="false">
      <c r="A26" s="8" t="s">
        <v>4</v>
      </c>
      <c r="B26" s="8" t="s">
        <v>8</v>
      </c>
      <c r="C26" s="8" t="n">
        <v>13</v>
      </c>
      <c r="D26" s="8" t="s">
        <v>6</v>
      </c>
      <c r="E26" s="8" t="s">
        <v>249</v>
      </c>
      <c r="F26" s="8" t="s">
        <v>81</v>
      </c>
      <c r="G26" s="8" t="s">
        <v>84</v>
      </c>
      <c r="H26" s="8" t="s">
        <v>85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customFormat="false" ht="15" hidden="false" customHeight="false" outlineLevel="0" collapsed="false">
      <c r="A27" s="8" t="s">
        <v>4</v>
      </c>
      <c r="B27" s="8" t="s">
        <v>8</v>
      </c>
      <c r="C27" s="8" t="n">
        <v>13</v>
      </c>
      <c r="D27" s="8" t="s">
        <v>6</v>
      </c>
      <c r="E27" s="8" t="s">
        <v>249</v>
      </c>
      <c r="F27" s="8" t="s">
        <v>81</v>
      </c>
      <c r="G27" s="8" t="s">
        <v>86</v>
      </c>
      <c r="H27" s="8" t="s">
        <v>87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customFormat="false" ht="15" hidden="false" customHeight="false" outlineLevel="0" collapsed="false">
      <c r="A28" s="8" t="s">
        <v>4</v>
      </c>
      <c r="B28" s="8" t="s">
        <v>8</v>
      </c>
      <c r="C28" s="8" t="n">
        <v>13</v>
      </c>
      <c r="D28" s="8" t="s">
        <v>6</v>
      </c>
      <c r="E28" s="8" t="s">
        <v>249</v>
      </c>
      <c r="F28" s="8" t="s">
        <v>81</v>
      </c>
      <c r="G28" s="8" t="s">
        <v>88</v>
      </c>
      <c r="H28" s="8" t="s">
        <v>89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customFormat="false" ht="15" hidden="false" customHeight="false" outlineLevel="0" collapsed="false">
      <c r="A29" s="8" t="s">
        <v>4</v>
      </c>
      <c r="B29" s="8" t="s">
        <v>8</v>
      </c>
      <c r="C29" s="8" t="n">
        <v>13</v>
      </c>
      <c r="D29" s="8" t="s">
        <v>6</v>
      </c>
      <c r="E29" s="8" t="s">
        <v>249</v>
      </c>
      <c r="F29" s="8" t="s">
        <v>81</v>
      </c>
      <c r="G29" s="8" t="s">
        <v>90</v>
      </c>
      <c r="H29" s="8" t="s">
        <v>91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customFormat="false" ht="26.85" hidden="false" customHeight="false" outlineLevel="0" collapsed="false">
      <c r="A30" s="8" t="s">
        <v>4</v>
      </c>
      <c r="B30" s="8" t="s">
        <v>8</v>
      </c>
      <c r="C30" s="8" t="n">
        <v>13</v>
      </c>
      <c r="D30" s="8" t="s">
        <v>6</v>
      </c>
      <c r="E30" s="8" t="s">
        <v>250</v>
      </c>
      <c r="F30" s="8"/>
      <c r="G30" s="8"/>
      <c r="H30" s="8"/>
      <c r="I30" s="8" t="s">
        <v>140</v>
      </c>
      <c r="J30" s="8" t="s">
        <v>189</v>
      </c>
      <c r="K30" s="8" t="s">
        <v>251</v>
      </c>
      <c r="L30" s="8" t="s">
        <v>252</v>
      </c>
      <c r="M30" s="8" t="s">
        <v>253</v>
      </c>
      <c r="N30" s="8" t="s">
        <v>254</v>
      </c>
      <c r="O30" s="8" t="s">
        <v>255</v>
      </c>
      <c r="P30" s="8" t="s">
        <v>256</v>
      </c>
      <c r="Q30" s="8" t="s">
        <v>257</v>
      </c>
      <c r="R30" s="8" t="s">
        <v>203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customFormat="false" ht="26.85" hidden="false" customHeight="false" outlineLevel="0" collapsed="false">
      <c r="A31" s="8" t="s">
        <v>4</v>
      </c>
      <c r="B31" s="8" t="s">
        <v>8</v>
      </c>
      <c r="C31" s="8" t="n">
        <v>13</v>
      </c>
      <c r="D31" s="8" t="s">
        <v>6</v>
      </c>
      <c r="E31" s="8" t="s">
        <v>250</v>
      </c>
      <c r="F31" s="8"/>
      <c r="G31" s="8"/>
      <c r="H31" s="8"/>
      <c r="I31" s="8" t="s">
        <v>190</v>
      </c>
      <c r="J31" s="8" t="s">
        <v>191</v>
      </c>
      <c r="K31" s="8" t="s">
        <v>258</v>
      </c>
      <c r="L31" s="8" t="s">
        <v>259</v>
      </c>
      <c r="M31" s="8" t="s">
        <v>260</v>
      </c>
      <c r="N31" s="8" t="s">
        <v>254</v>
      </c>
      <c r="O31" s="8" t="s">
        <v>255</v>
      </c>
      <c r="P31" s="8" t="s">
        <v>261</v>
      </c>
      <c r="Q31" s="8" t="s">
        <v>262</v>
      </c>
      <c r="R31" s="8" t="s">
        <v>203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customFormat="false" ht="26.85" hidden="false" customHeight="false" outlineLevel="0" collapsed="false">
      <c r="A32" s="8" t="s">
        <v>4</v>
      </c>
      <c r="B32" s="8" t="s">
        <v>8</v>
      </c>
      <c r="C32" s="8" t="n">
        <v>13</v>
      </c>
      <c r="D32" s="8" t="s">
        <v>6</v>
      </c>
      <c r="E32" s="8" t="s">
        <v>250</v>
      </c>
      <c r="F32" s="8"/>
      <c r="G32" s="8"/>
      <c r="H32" s="8"/>
      <c r="I32" s="8" t="s">
        <v>192</v>
      </c>
      <c r="J32" s="8" t="s">
        <v>193</v>
      </c>
      <c r="K32" s="8" t="s">
        <v>258</v>
      </c>
      <c r="L32" s="8" t="s">
        <v>263</v>
      </c>
      <c r="M32" s="8" t="s">
        <v>264</v>
      </c>
      <c r="N32" s="8" t="s">
        <v>254</v>
      </c>
      <c r="O32" s="8" t="s">
        <v>255</v>
      </c>
      <c r="P32" s="8" t="s">
        <v>265</v>
      </c>
      <c r="Q32" s="8" t="s">
        <v>266</v>
      </c>
      <c r="R32" s="8" t="s">
        <v>203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customFormat="false" ht="26.85" hidden="false" customHeight="false" outlineLevel="0" collapsed="false">
      <c r="A33" s="8" t="s">
        <v>4</v>
      </c>
      <c r="B33" s="8" t="s">
        <v>8</v>
      </c>
      <c r="C33" s="8" t="n">
        <v>13</v>
      </c>
      <c r="D33" s="8" t="s">
        <v>6</v>
      </c>
      <c r="E33" s="8" t="s">
        <v>250</v>
      </c>
      <c r="F33" s="8"/>
      <c r="G33" s="8"/>
      <c r="H33" s="8"/>
      <c r="I33" s="8" t="s">
        <v>194</v>
      </c>
      <c r="J33" s="8" t="s">
        <v>195</v>
      </c>
      <c r="K33" s="8" t="s">
        <v>267</v>
      </c>
      <c r="L33" s="8" t="s">
        <v>268</v>
      </c>
      <c r="M33" s="8" t="s">
        <v>269</v>
      </c>
      <c r="N33" s="8" t="s">
        <v>254</v>
      </c>
      <c r="O33" s="8" t="s">
        <v>255</v>
      </c>
      <c r="P33" s="8" t="s">
        <v>270</v>
      </c>
      <c r="Q33" s="8" t="s">
        <v>271</v>
      </c>
      <c r="R33" s="8" t="s">
        <v>203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customFormat="false" ht="26.85" hidden="false" customHeight="false" outlineLevel="0" collapsed="false">
      <c r="A34" s="8" t="s">
        <v>4</v>
      </c>
      <c r="B34" s="8" t="s">
        <v>8</v>
      </c>
      <c r="C34" s="8" t="n">
        <v>13</v>
      </c>
      <c r="D34" s="8" t="s">
        <v>6</v>
      </c>
      <c r="E34" s="8" t="s">
        <v>250</v>
      </c>
      <c r="F34" s="8"/>
      <c r="G34" s="8"/>
      <c r="H34" s="8"/>
      <c r="I34" s="8" t="s">
        <v>196</v>
      </c>
      <c r="J34" s="8" t="s">
        <v>197</v>
      </c>
      <c r="K34" s="8" t="s">
        <v>251</v>
      </c>
      <c r="L34" s="8" t="s">
        <v>252</v>
      </c>
      <c r="M34" s="8" t="s">
        <v>253</v>
      </c>
      <c r="N34" s="8" t="s">
        <v>254</v>
      </c>
      <c r="O34" s="8" t="s">
        <v>255</v>
      </c>
      <c r="P34" s="8" t="s">
        <v>256</v>
      </c>
      <c r="Q34" s="8" t="s">
        <v>257</v>
      </c>
      <c r="R34" s="8" t="s">
        <v>203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customFormat="false" ht="15" hidden="false" customHeight="false" outlineLevel="0" collapsed="false">
      <c r="A35" s="8" t="s">
        <v>4</v>
      </c>
      <c r="B35" s="8" t="s">
        <v>8</v>
      </c>
      <c r="C35" s="8" t="n">
        <v>13</v>
      </c>
      <c r="D35" s="8" t="s">
        <v>6</v>
      </c>
      <c r="E35" s="8" t="s">
        <v>272</v>
      </c>
      <c r="F35" s="8"/>
      <c r="G35" s="8" t="s">
        <v>7</v>
      </c>
      <c r="H35" s="8" t="s">
        <v>199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 t="s">
        <v>198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customFormat="false" ht="15" hidden="false" customHeight="false" outlineLevel="0" collapsed="false">
      <c r="A36" s="8" t="s">
        <v>4</v>
      </c>
      <c r="B36" s="8" t="s">
        <v>8</v>
      </c>
      <c r="C36" s="8" t="n">
        <v>13</v>
      </c>
      <c r="D36" s="8" t="s">
        <v>6</v>
      </c>
      <c r="E36" s="8" t="s">
        <v>272</v>
      </c>
      <c r="F36" s="8"/>
      <c r="G36" s="8" t="s">
        <v>200</v>
      </c>
      <c r="H36" s="8" t="s">
        <v>201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 t="s">
        <v>198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customFormat="false" ht="15" hidden="false" customHeight="false" outlineLevel="0" collapsed="false">
      <c r="A37" s="8" t="s">
        <v>4</v>
      </c>
      <c r="B37" s="8" t="s">
        <v>8</v>
      </c>
      <c r="C37" s="8" t="n">
        <v>13</v>
      </c>
      <c r="D37" s="8" t="s">
        <v>6</v>
      </c>
      <c r="E37" s="8" t="s">
        <v>272</v>
      </c>
      <c r="F37" s="8"/>
      <c r="G37" s="8" t="s">
        <v>5</v>
      </c>
      <c r="H37" s="8" t="s">
        <v>6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 t="s">
        <v>198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customFormat="false" ht="15" hidden="false" customHeight="false" outlineLevel="0" collapsed="false">
      <c r="A38" s="8" t="s">
        <v>4</v>
      </c>
      <c r="B38" s="8" t="s">
        <v>8</v>
      </c>
      <c r="C38" s="8" t="n">
        <v>13</v>
      </c>
      <c r="D38" s="8" t="s">
        <v>6</v>
      </c>
      <c r="E38" s="8" t="s">
        <v>272</v>
      </c>
      <c r="F38" s="8"/>
      <c r="G38" s="8" t="s">
        <v>202</v>
      </c>
      <c r="H38" s="8" t="s">
        <v>203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 t="s">
        <v>198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customFormat="false" ht="15" hidden="false" customHeight="false" outlineLevel="0" collapsed="false">
      <c r="A39" s="8" t="s">
        <v>4</v>
      </c>
      <c r="B39" s="8" t="s">
        <v>8</v>
      </c>
      <c r="C39" s="8" t="n">
        <v>13</v>
      </c>
      <c r="D39" s="8" t="s">
        <v>6</v>
      </c>
      <c r="E39" s="8" t="s">
        <v>272</v>
      </c>
      <c r="F39" s="8"/>
      <c r="G39" s="8" t="s">
        <v>204</v>
      </c>
      <c r="H39" s="8" t="s">
        <v>205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 t="s">
        <v>198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customFormat="false" ht="15" hidden="false" customHeight="false" outlineLevel="0" collapsed="false">
      <c r="A40" s="8" t="s">
        <v>4</v>
      </c>
      <c r="B40" s="8" t="s">
        <v>8</v>
      </c>
      <c r="C40" s="8" t="n">
        <v>13</v>
      </c>
      <c r="D40" s="8" t="s">
        <v>6</v>
      </c>
      <c r="E40" s="8" t="s">
        <v>272</v>
      </c>
      <c r="F40" s="8"/>
      <c r="G40" s="8" t="s">
        <v>206</v>
      </c>
      <c r="H40" s="8" t="s">
        <v>207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 t="s">
        <v>198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customFormat="false" ht="15" hidden="false" customHeight="false" outlineLevel="0" collapsed="false">
      <c r="A41" s="8" t="s">
        <v>4</v>
      </c>
      <c r="B41" s="8" t="s">
        <v>8</v>
      </c>
      <c r="C41" s="8" t="n">
        <v>13</v>
      </c>
      <c r="D41" s="8" t="s">
        <v>6</v>
      </c>
      <c r="E41" s="8" t="s">
        <v>272</v>
      </c>
      <c r="F41" s="8"/>
      <c r="G41" s="8" t="s">
        <v>208</v>
      </c>
      <c r="H41" s="8" t="s">
        <v>209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 t="s">
        <v>198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customFormat="false" ht="15" hidden="false" customHeight="false" outlineLevel="0" collapsed="false">
      <c r="A42" s="8" t="s">
        <v>4</v>
      </c>
      <c r="B42" s="8" t="s">
        <v>8</v>
      </c>
      <c r="C42" s="8" t="n">
        <v>13</v>
      </c>
      <c r="D42" s="8" t="s">
        <v>6</v>
      </c>
      <c r="E42" s="8" t="s">
        <v>272</v>
      </c>
      <c r="F42" s="8"/>
      <c r="G42" s="8" t="s">
        <v>210</v>
      </c>
      <c r="H42" s="8" t="s">
        <v>211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 t="s">
        <v>198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customFormat="false" ht="15" hidden="false" customHeight="false" outlineLevel="0" collapsed="false">
      <c r="A43" s="8" t="s">
        <v>4</v>
      </c>
      <c r="B43" s="8" t="s">
        <v>8</v>
      </c>
      <c r="C43" s="8" t="n">
        <v>13</v>
      </c>
      <c r="D43" s="8" t="s">
        <v>6</v>
      </c>
      <c r="E43" s="8" t="s">
        <v>272</v>
      </c>
      <c r="F43" s="8"/>
      <c r="G43" s="8" t="s">
        <v>212</v>
      </c>
      <c r="H43" s="8" t="s">
        <v>213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 t="s">
        <v>198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customFormat="false" ht="15" hidden="false" customHeight="false" outlineLevel="0" collapsed="false">
      <c r="A44" s="8" t="s">
        <v>4</v>
      </c>
      <c r="B44" s="8" t="s">
        <v>8</v>
      </c>
      <c r="C44" s="8" t="n">
        <v>13</v>
      </c>
      <c r="D44" s="8" t="s">
        <v>6</v>
      </c>
      <c r="E44" s="8" t="s">
        <v>272</v>
      </c>
      <c r="F44" s="8"/>
      <c r="G44" s="8" t="s">
        <v>214</v>
      </c>
      <c r="H44" s="8" t="s">
        <v>203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 t="s">
        <v>198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customFormat="false" ht="15" hidden="false" customHeight="false" outlineLevel="0" collapsed="false">
      <c r="A45" s="8" t="s">
        <v>4</v>
      </c>
      <c r="B45" s="8" t="s">
        <v>8</v>
      </c>
      <c r="C45" s="8" t="n">
        <v>13</v>
      </c>
      <c r="D45" s="8" t="s">
        <v>6</v>
      </c>
      <c r="E45" s="8" t="s">
        <v>272</v>
      </c>
      <c r="F45" s="8"/>
      <c r="G45" s="8" t="s">
        <v>215</v>
      </c>
      <c r="H45" s="8" t="s">
        <v>216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 t="s">
        <v>198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customFormat="false" ht="15" hidden="false" customHeight="false" outlineLevel="0" collapsed="false">
      <c r="A46" s="8" t="s">
        <v>4</v>
      </c>
      <c r="B46" s="8" t="s">
        <v>8</v>
      </c>
      <c r="C46" s="8" t="n">
        <v>13</v>
      </c>
      <c r="D46" s="8" t="s">
        <v>6</v>
      </c>
      <c r="E46" s="8" t="s">
        <v>272</v>
      </c>
      <c r="F46" s="8"/>
      <c r="G46" s="8" t="s">
        <v>217</v>
      </c>
      <c r="H46" s="8" t="s">
        <v>218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 t="s">
        <v>198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customFormat="false" ht="15" hidden="false" customHeight="false" outlineLevel="0" collapsed="false">
      <c r="A47" s="8" t="s">
        <v>4</v>
      </c>
      <c r="B47" s="8" t="s">
        <v>8</v>
      </c>
      <c r="C47" s="8" t="n">
        <v>13</v>
      </c>
      <c r="D47" s="8" t="s">
        <v>6</v>
      </c>
      <c r="E47" s="8" t="s">
        <v>272</v>
      </c>
      <c r="F47" s="8"/>
      <c r="G47" s="8" t="s">
        <v>219</v>
      </c>
      <c r="H47" s="8" t="s">
        <v>220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 t="s">
        <v>198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customFormat="false" ht="15" hidden="false" customHeight="false" outlineLevel="0" collapsed="false">
      <c r="A48" s="8" t="s">
        <v>4</v>
      </c>
      <c r="B48" s="8" t="s">
        <v>8</v>
      </c>
      <c r="C48" s="8" t="n">
        <v>13</v>
      </c>
      <c r="D48" s="8" t="s">
        <v>6</v>
      </c>
      <c r="E48" s="8" t="s">
        <v>272</v>
      </c>
      <c r="F48" s="8"/>
      <c r="G48" s="8" t="s">
        <v>221</v>
      </c>
      <c r="H48" s="8" t="s">
        <v>216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 t="s">
        <v>198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customFormat="false" ht="26.85" hidden="false" customHeight="false" outlineLevel="0" collapsed="false">
      <c r="A49" s="8" t="s">
        <v>4</v>
      </c>
      <c r="B49" s="8" t="s">
        <v>8</v>
      </c>
      <c r="C49" s="8" t="n">
        <v>13</v>
      </c>
      <c r="D49" s="8" t="s">
        <v>6</v>
      </c>
      <c r="E49" s="8" t="s">
        <v>273</v>
      </c>
      <c r="F49" s="8"/>
      <c r="G49" s="8"/>
      <c r="H49" s="8"/>
      <c r="I49" s="8"/>
      <c r="J49" s="8" t="s">
        <v>189</v>
      </c>
      <c r="K49" s="8"/>
      <c r="L49" s="8"/>
      <c r="M49" s="8"/>
      <c r="N49" s="8"/>
      <c r="O49" s="8"/>
      <c r="P49" s="8"/>
      <c r="Q49" s="8"/>
      <c r="R49" s="8"/>
      <c r="S49" s="8"/>
      <c r="T49" s="8" t="s">
        <v>126</v>
      </c>
      <c r="U49" s="8" t="s">
        <v>274</v>
      </c>
      <c r="V49" s="8" t="s">
        <v>275</v>
      </c>
      <c r="W49" s="8" t="s">
        <v>276</v>
      </c>
      <c r="X49" s="8" t="s">
        <v>234</v>
      </c>
      <c r="Y49" s="8" t="s">
        <v>277</v>
      </c>
      <c r="Z49" s="8" t="s">
        <v>234</v>
      </c>
      <c r="AA49" s="8" t="s">
        <v>278</v>
      </c>
      <c r="AB49" s="8" t="s">
        <v>234</v>
      </c>
      <c r="AC49" s="8" t="s">
        <v>279</v>
      </c>
      <c r="AD49" s="8" t="s">
        <v>234</v>
      </c>
      <c r="AE49" s="8"/>
      <c r="AF49" s="8"/>
      <c r="AG49" s="8"/>
      <c r="AH49" s="8"/>
      <c r="AI49" s="8"/>
    </row>
    <row r="50" customFormat="false" ht="26.85" hidden="false" customHeight="false" outlineLevel="0" collapsed="false">
      <c r="A50" s="8" t="s">
        <v>4</v>
      </c>
      <c r="B50" s="8" t="s">
        <v>8</v>
      </c>
      <c r="C50" s="8" t="n">
        <v>13</v>
      </c>
      <c r="D50" s="8" t="s">
        <v>6</v>
      </c>
      <c r="E50" s="8" t="s">
        <v>273</v>
      </c>
      <c r="F50" s="8"/>
      <c r="G50" s="8"/>
      <c r="H50" s="8"/>
      <c r="I50" s="8"/>
      <c r="J50" s="8" t="s">
        <v>189</v>
      </c>
      <c r="K50" s="8"/>
      <c r="L50" s="8"/>
      <c r="M50" s="8"/>
      <c r="N50" s="8"/>
      <c r="O50" s="8"/>
      <c r="P50" s="8"/>
      <c r="Q50" s="8"/>
      <c r="R50" s="8"/>
      <c r="S50" s="8"/>
      <c r="T50" s="8" t="s">
        <v>127</v>
      </c>
      <c r="U50" s="8" t="s">
        <v>280</v>
      </c>
      <c r="V50" s="8" t="s">
        <v>281</v>
      </c>
      <c r="W50" s="8" t="s">
        <v>282</v>
      </c>
      <c r="X50" s="8" t="s">
        <v>234</v>
      </c>
      <c r="Y50" s="8" t="s">
        <v>283</v>
      </c>
      <c r="Z50" s="8" t="s">
        <v>234</v>
      </c>
      <c r="AA50" s="8" t="s">
        <v>284</v>
      </c>
      <c r="AB50" s="8" t="s">
        <v>234</v>
      </c>
      <c r="AC50" s="8" t="s">
        <v>285</v>
      </c>
      <c r="AD50" s="8" t="s">
        <v>234</v>
      </c>
      <c r="AE50" s="8"/>
      <c r="AF50" s="8"/>
      <c r="AG50" s="8"/>
      <c r="AH50" s="8"/>
      <c r="AI50" s="8"/>
    </row>
    <row r="51" customFormat="false" ht="26.85" hidden="false" customHeight="false" outlineLevel="0" collapsed="false">
      <c r="A51" s="8" t="s">
        <v>4</v>
      </c>
      <c r="B51" s="8" t="s">
        <v>8</v>
      </c>
      <c r="C51" s="8" t="n">
        <v>13</v>
      </c>
      <c r="D51" s="8" t="s">
        <v>6</v>
      </c>
      <c r="E51" s="8" t="s">
        <v>273</v>
      </c>
      <c r="F51" s="8"/>
      <c r="G51" s="8"/>
      <c r="H51" s="8"/>
      <c r="I51" s="8"/>
      <c r="J51" s="8" t="s">
        <v>189</v>
      </c>
      <c r="K51" s="8"/>
      <c r="L51" s="8"/>
      <c r="M51" s="8"/>
      <c r="N51" s="8"/>
      <c r="O51" s="8"/>
      <c r="P51" s="8"/>
      <c r="Q51" s="8"/>
      <c r="R51" s="8"/>
      <c r="S51" s="8"/>
      <c r="T51" s="8" t="s">
        <v>128</v>
      </c>
      <c r="U51" s="8" t="s">
        <v>286</v>
      </c>
      <c r="V51" s="8" t="s">
        <v>287</v>
      </c>
      <c r="W51" s="8" t="s">
        <v>288</v>
      </c>
      <c r="X51" s="8" t="s">
        <v>234</v>
      </c>
      <c r="Y51" s="8" t="s">
        <v>289</v>
      </c>
      <c r="Z51" s="8" t="s">
        <v>234</v>
      </c>
      <c r="AA51" s="8" t="s">
        <v>290</v>
      </c>
      <c r="AB51" s="8" t="s">
        <v>234</v>
      </c>
      <c r="AC51" s="8" t="s">
        <v>291</v>
      </c>
      <c r="AD51" s="8" t="s">
        <v>234</v>
      </c>
      <c r="AE51" s="8"/>
      <c r="AF51" s="8"/>
      <c r="AG51" s="8"/>
      <c r="AH51" s="8"/>
      <c r="AI51" s="8"/>
    </row>
    <row r="52" customFormat="false" ht="26.85" hidden="false" customHeight="false" outlineLevel="0" collapsed="false">
      <c r="A52" s="8" t="s">
        <v>4</v>
      </c>
      <c r="B52" s="8" t="s">
        <v>8</v>
      </c>
      <c r="C52" s="8" t="n">
        <v>13</v>
      </c>
      <c r="D52" s="8" t="s">
        <v>6</v>
      </c>
      <c r="E52" s="8" t="s">
        <v>273</v>
      </c>
      <c r="F52" s="8"/>
      <c r="G52" s="8"/>
      <c r="H52" s="8"/>
      <c r="I52" s="8"/>
      <c r="J52" s="8" t="s">
        <v>189</v>
      </c>
      <c r="K52" s="8"/>
      <c r="L52" s="8"/>
      <c r="M52" s="8"/>
      <c r="N52" s="8"/>
      <c r="O52" s="8"/>
      <c r="P52" s="8"/>
      <c r="Q52" s="8"/>
      <c r="R52" s="8"/>
      <c r="S52" s="8"/>
      <c r="T52" s="8" t="s">
        <v>129</v>
      </c>
      <c r="U52" s="8" t="s">
        <v>292</v>
      </c>
      <c r="V52" s="8" t="s">
        <v>293</v>
      </c>
      <c r="W52" s="8" t="s">
        <v>294</v>
      </c>
      <c r="X52" s="8" t="s">
        <v>234</v>
      </c>
      <c r="Y52" s="8" t="s">
        <v>295</v>
      </c>
      <c r="Z52" s="8" t="s">
        <v>234</v>
      </c>
      <c r="AA52" s="8" t="s">
        <v>296</v>
      </c>
      <c r="AB52" s="8" t="s">
        <v>234</v>
      </c>
      <c r="AC52" s="8" t="s">
        <v>297</v>
      </c>
      <c r="AD52" s="8" t="s">
        <v>234</v>
      </c>
      <c r="AE52" s="8"/>
      <c r="AF52" s="8"/>
      <c r="AG52" s="8"/>
      <c r="AH52" s="8"/>
      <c r="AI52" s="8"/>
    </row>
    <row r="53" customFormat="false" ht="26.85" hidden="false" customHeight="false" outlineLevel="0" collapsed="false">
      <c r="A53" s="8" t="s">
        <v>4</v>
      </c>
      <c r="B53" s="8" t="s">
        <v>8</v>
      </c>
      <c r="C53" s="8" t="n">
        <v>13</v>
      </c>
      <c r="D53" s="8" t="s">
        <v>6</v>
      </c>
      <c r="E53" s="8" t="s">
        <v>273</v>
      </c>
      <c r="F53" s="8"/>
      <c r="G53" s="8"/>
      <c r="H53" s="8"/>
      <c r="I53" s="8"/>
      <c r="J53" s="8" t="s">
        <v>189</v>
      </c>
      <c r="K53" s="8"/>
      <c r="L53" s="8"/>
      <c r="M53" s="8"/>
      <c r="N53" s="8"/>
      <c r="O53" s="8"/>
      <c r="P53" s="8"/>
      <c r="Q53" s="8"/>
      <c r="R53" s="8"/>
      <c r="S53" s="8"/>
      <c r="T53" s="8" t="s">
        <v>130</v>
      </c>
      <c r="U53" s="8" t="s">
        <v>298</v>
      </c>
      <c r="V53" s="8" t="s">
        <v>299</v>
      </c>
      <c r="W53" s="8" t="s">
        <v>300</v>
      </c>
      <c r="X53" s="8" t="s">
        <v>234</v>
      </c>
      <c r="Y53" s="8" t="s">
        <v>301</v>
      </c>
      <c r="Z53" s="8" t="s">
        <v>234</v>
      </c>
      <c r="AA53" s="8" t="s">
        <v>302</v>
      </c>
      <c r="AB53" s="8" t="s">
        <v>234</v>
      </c>
      <c r="AC53" s="8" t="s">
        <v>303</v>
      </c>
      <c r="AD53" s="8" t="s">
        <v>234</v>
      </c>
      <c r="AE53" s="8"/>
      <c r="AF53" s="8"/>
      <c r="AG53" s="8"/>
      <c r="AH53" s="8"/>
      <c r="AI53" s="8"/>
    </row>
    <row r="54" customFormat="false" ht="26.85" hidden="false" customHeight="false" outlineLevel="0" collapsed="false">
      <c r="A54" s="8" t="s">
        <v>4</v>
      </c>
      <c r="B54" s="8" t="s">
        <v>8</v>
      </c>
      <c r="C54" s="8" t="n">
        <v>13</v>
      </c>
      <c r="D54" s="8" t="s">
        <v>6</v>
      </c>
      <c r="E54" s="8" t="s">
        <v>273</v>
      </c>
      <c r="F54" s="8"/>
      <c r="G54" s="8"/>
      <c r="H54" s="8"/>
      <c r="I54" s="8"/>
      <c r="J54" s="8" t="s">
        <v>189</v>
      </c>
      <c r="K54" s="8"/>
      <c r="L54" s="8"/>
      <c r="M54" s="8"/>
      <c r="N54" s="8"/>
      <c r="O54" s="8"/>
      <c r="P54" s="8"/>
      <c r="Q54" s="8"/>
      <c r="R54" s="8"/>
      <c r="S54" s="8"/>
      <c r="T54" s="8" t="s">
        <v>131</v>
      </c>
      <c r="U54" s="8" t="s">
        <v>304</v>
      </c>
      <c r="V54" s="8" t="s">
        <v>305</v>
      </c>
      <c r="W54" s="8" t="s">
        <v>306</v>
      </c>
      <c r="X54" s="8" t="s">
        <v>234</v>
      </c>
      <c r="Y54" s="8" t="s">
        <v>307</v>
      </c>
      <c r="Z54" s="8" t="s">
        <v>234</v>
      </c>
      <c r="AA54" s="8" t="s">
        <v>308</v>
      </c>
      <c r="AB54" s="8" t="s">
        <v>234</v>
      </c>
      <c r="AC54" s="8" t="s">
        <v>309</v>
      </c>
      <c r="AD54" s="8" t="s">
        <v>234</v>
      </c>
      <c r="AE54" s="8"/>
      <c r="AF54" s="8"/>
      <c r="AG54" s="8"/>
      <c r="AH54" s="8"/>
      <c r="AI54" s="8"/>
    </row>
    <row r="55" customFormat="false" ht="26.85" hidden="false" customHeight="false" outlineLevel="0" collapsed="false">
      <c r="A55" s="8" t="s">
        <v>4</v>
      </c>
      <c r="B55" s="8" t="s">
        <v>8</v>
      </c>
      <c r="C55" s="8" t="n">
        <v>13</v>
      </c>
      <c r="D55" s="8" t="s">
        <v>6</v>
      </c>
      <c r="E55" s="8" t="s">
        <v>273</v>
      </c>
      <c r="F55" s="8"/>
      <c r="G55" s="8"/>
      <c r="H55" s="8"/>
      <c r="I55" s="8"/>
      <c r="J55" s="8" t="s">
        <v>189</v>
      </c>
      <c r="K55" s="8"/>
      <c r="L55" s="8"/>
      <c r="M55" s="8"/>
      <c r="N55" s="8"/>
      <c r="O55" s="8"/>
      <c r="P55" s="8"/>
      <c r="Q55" s="8"/>
      <c r="R55" s="8"/>
      <c r="S55" s="8"/>
      <c r="T55" s="8" t="s">
        <v>132</v>
      </c>
      <c r="U55" s="8" t="s">
        <v>310</v>
      </c>
      <c r="V55" s="8" t="s">
        <v>311</v>
      </c>
      <c r="W55" s="8" t="s">
        <v>312</v>
      </c>
      <c r="X55" s="8" t="s">
        <v>234</v>
      </c>
      <c r="Y55" s="8" t="s">
        <v>313</v>
      </c>
      <c r="Z55" s="8" t="s">
        <v>234</v>
      </c>
      <c r="AA55" s="8" t="s">
        <v>314</v>
      </c>
      <c r="AB55" s="8" t="s">
        <v>234</v>
      </c>
      <c r="AC55" s="8" t="s">
        <v>315</v>
      </c>
      <c r="AD55" s="8" t="s">
        <v>234</v>
      </c>
      <c r="AE55" s="8"/>
      <c r="AF55" s="8"/>
      <c r="AG55" s="8"/>
      <c r="AH55" s="8"/>
      <c r="AI55" s="8"/>
    </row>
    <row r="56" customFormat="false" ht="15" hidden="false" customHeight="false" outlineLevel="0" collapsed="false">
      <c r="A56" s="8" t="s">
        <v>4</v>
      </c>
      <c r="B56" s="8" t="s">
        <v>8</v>
      </c>
      <c r="C56" s="8" t="n">
        <v>13</v>
      </c>
      <c r="D56" s="8" t="s">
        <v>6</v>
      </c>
      <c r="E56" s="8" t="s">
        <v>273</v>
      </c>
      <c r="F56" s="8"/>
      <c r="G56" s="8"/>
      <c r="H56" s="8"/>
      <c r="I56" s="8"/>
      <c r="J56" s="8" t="s">
        <v>189</v>
      </c>
      <c r="K56" s="8"/>
      <c r="L56" s="8"/>
      <c r="M56" s="8"/>
      <c r="N56" s="8"/>
      <c r="O56" s="8"/>
      <c r="P56" s="8"/>
      <c r="Q56" s="8"/>
      <c r="R56" s="8"/>
      <c r="S56" s="8"/>
      <c r="T56" s="8" t="s">
        <v>133</v>
      </c>
      <c r="U56" s="8" t="s">
        <v>316</v>
      </c>
      <c r="V56" s="8" t="s">
        <v>317</v>
      </c>
      <c r="W56" s="8" t="s">
        <v>318</v>
      </c>
      <c r="X56" s="8" t="s">
        <v>234</v>
      </c>
      <c r="Y56" s="8" t="s">
        <v>319</v>
      </c>
      <c r="Z56" s="8" t="s">
        <v>234</v>
      </c>
      <c r="AA56" s="8" t="s">
        <v>320</v>
      </c>
      <c r="AB56" s="8" t="s">
        <v>234</v>
      </c>
      <c r="AC56" s="8" t="s">
        <v>321</v>
      </c>
      <c r="AD56" s="8" t="s">
        <v>234</v>
      </c>
      <c r="AE56" s="8"/>
      <c r="AF56" s="8"/>
      <c r="AG56" s="8"/>
      <c r="AH56" s="8"/>
      <c r="AI56" s="8"/>
    </row>
    <row r="57" customFormat="false" ht="26.85" hidden="false" customHeight="false" outlineLevel="0" collapsed="false">
      <c r="A57" s="8" t="s">
        <v>4</v>
      </c>
      <c r="B57" s="8" t="s">
        <v>8</v>
      </c>
      <c r="C57" s="8" t="n">
        <v>13</v>
      </c>
      <c r="D57" s="8" t="s">
        <v>6</v>
      </c>
      <c r="E57" s="8" t="s">
        <v>273</v>
      </c>
      <c r="F57" s="8"/>
      <c r="G57" s="8"/>
      <c r="H57" s="8"/>
      <c r="I57" s="8"/>
      <c r="J57" s="8" t="s">
        <v>189</v>
      </c>
      <c r="K57" s="8"/>
      <c r="L57" s="8"/>
      <c r="M57" s="8"/>
      <c r="N57" s="8"/>
      <c r="O57" s="8"/>
      <c r="P57" s="8"/>
      <c r="Q57" s="8"/>
      <c r="R57" s="8"/>
      <c r="S57" s="8"/>
      <c r="T57" s="8" t="s">
        <v>134</v>
      </c>
      <c r="U57" s="8" t="s">
        <v>322</v>
      </c>
      <c r="V57" s="8" t="s">
        <v>323</v>
      </c>
      <c r="W57" s="8" t="s">
        <v>324</v>
      </c>
      <c r="X57" s="8" t="s">
        <v>234</v>
      </c>
      <c r="Y57" s="8" t="s">
        <v>325</v>
      </c>
      <c r="Z57" s="8" t="s">
        <v>234</v>
      </c>
      <c r="AA57" s="8" t="s">
        <v>326</v>
      </c>
      <c r="AB57" s="8" t="s">
        <v>234</v>
      </c>
      <c r="AC57" s="8" t="s">
        <v>327</v>
      </c>
      <c r="AD57" s="8" t="s">
        <v>234</v>
      </c>
      <c r="AE57" s="8"/>
      <c r="AF57" s="8"/>
      <c r="AG57" s="8"/>
      <c r="AH57" s="8"/>
      <c r="AI57" s="8"/>
    </row>
    <row r="58" customFormat="false" ht="26.85" hidden="false" customHeight="false" outlineLevel="0" collapsed="false">
      <c r="A58" s="8" t="s">
        <v>4</v>
      </c>
      <c r="B58" s="8" t="s">
        <v>8</v>
      </c>
      <c r="C58" s="8" t="n">
        <v>13</v>
      </c>
      <c r="D58" s="8" t="s">
        <v>6</v>
      </c>
      <c r="E58" s="8" t="s">
        <v>273</v>
      </c>
      <c r="F58" s="8"/>
      <c r="G58" s="8"/>
      <c r="H58" s="8"/>
      <c r="I58" s="8"/>
      <c r="J58" s="8" t="s">
        <v>189</v>
      </c>
      <c r="K58" s="8"/>
      <c r="L58" s="8"/>
      <c r="M58" s="8"/>
      <c r="N58" s="8"/>
      <c r="O58" s="8"/>
      <c r="P58" s="8"/>
      <c r="Q58" s="8"/>
      <c r="R58" s="8"/>
      <c r="S58" s="8"/>
      <c r="T58" s="8" t="s">
        <v>135</v>
      </c>
      <c r="U58" s="8" t="s">
        <v>328</v>
      </c>
      <c r="V58" s="8" t="s">
        <v>329</v>
      </c>
      <c r="W58" s="8" t="s">
        <v>330</v>
      </c>
      <c r="X58" s="8" t="s">
        <v>234</v>
      </c>
      <c r="Y58" s="8" t="s">
        <v>331</v>
      </c>
      <c r="Z58" s="8" t="s">
        <v>234</v>
      </c>
      <c r="AA58" s="8" t="s">
        <v>332</v>
      </c>
      <c r="AB58" s="8" t="s">
        <v>234</v>
      </c>
      <c r="AC58" s="8" t="s">
        <v>333</v>
      </c>
      <c r="AD58" s="8" t="s">
        <v>234</v>
      </c>
      <c r="AE58" s="8"/>
      <c r="AF58" s="8"/>
      <c r="AG58" s="8"/>
      <c r="AH58" s="8"/>
      <c r="AI58" s="8"/>
    </row>
    <row r="59" customFormat="false" ht="26.85" hidden="false" customHeight="false" outlineLevel="0" collapsed="false">
      <c r="A59" s="8" t="s">
        <v>4</v>
      </c>
      <c r="B59" s="8" t="s">
        <v>8</v>
      </c>
      <c r="C59" s="8" t="n">
        <v>13</v>
      </c>
      <c r="D59" s="8" t="s">
        <v>6</v>
      </c>
      <c r="E59" s="8" t="s">
        <v>273</v>
      </c>
      <c r="F59" s="8"/>
      <c r="G59" s="8"/>
      <c r="H59" s="8"/>
      <c r="I59" s="8"/>
      <c r="J59" s="8" t="s">
        <v>189</v>
      </c>
      <c r="K59" s="8"/>
      <c r="L59" s="8"/>
      <c r="M59" s="8"/>
      <c r="N59" s="8"/>
      <c r="O59" s="8"/>
      <c r="P59" s="8"/>
      <c r="Q59" s="8"/>
      <c r="R59" s="8"/>
      <c r="S59" s="8"/>
      <c r="T59" s="8" t="s">
        <v>136</v>
      </c>
      <c r="U59" s="8" t="s">
        <v>334</v>
      </c>
      <c r="V59" s="8" t="s">
        <v>335</v>
      </c>
      <c r="W59" s="8" t="s">
        <v>336</v>
      </c>
      <c r="X59" s="8" t="s">
        <v>234</v>
      </c>
      <c r="Y59" s="8" t="s">
        <v>337</v>
      </c>
      <c r="Z59" s="8" t="s">
        <v>234</v>
      </c>
      <c r="AA59" s="8" t="s">
        <v>338</v>
      </c>
      <c r="AB59" s="8" t="s">
        <v>234</v>
      </c>
      <c r="AC59" s="8" t="s">
        <v>339</v>
      </c>
      <c r="AD59" s="8" t="s">
        <v>234</v>
      </c>
      <c r="AE59" s="8"/>
      <c r="AF59" s="8"/>
      <c r="AG59" s="8"/>
      <c r="AH59" s="8"/>
      <c r="AI59" s="8"/>
    </row>
    <row r="60" customFormat="false" ht="26.85" hidden="false" customHeight="false" outlineLevel="0" collapsed="false">
      <c r="A60" s="8" t="s">
        <v>4</v>
      </c>
      <c r="B60" s="8" t="s">
        <v>8</v>
      </c>
      <c r="C60" s="8" t="n">
        <v>13</v>
      </c>
      <c r="D60" s="8" t="s">
        <v>6</v>
      </c>
      <c r="E60" s="8" t="s">
        <v>273</v>
      </c>
      <c r="F60" s="8"/>
      <c r="G60" s="8"/>
      <c r="H60" s="8"/>
      <c r="I60" s="8"/>
      <c r="J60" s="8" t="s">
        <v>189</v>
      </c>
      <c r="K60" s="8"/>
      <c r="L60" s="8"/>
      <c r="M60" s="8"/>
      <c r="N60" s="8"/>
      <c r="O60" s="8"/>
      <c r="P60" s="8"/>
      <c r="Q60" s="8"/>
      <c r="R60" s="8"/>
      <c r="S60" s="8"/>
      <c r="T60" s="8" t="s">
        <v>137</v>
      </c>
      <c r="U60" s="8" t="s">
        <v>340</v>
      </c>
      <c r="V60" s="8" t="s">
        <v>341</v>
      </c>
      <c r="W60" s="8" t="s">
        <v>342</v>
      </c>
      <c r="X60" s="8" t="s">
        <v>234</v>
      </c>
      <c r="Y60" s="8" t="s">
        <v>343</v>
      </c>
      <c r="Z60" s="8" t="s">
        <v>234</v>
      </c>
      <c r="AA60" s="8" t="s">
        <v>344</v>
      </c>
      <c r="AB60" s="8" t="s">
        <v>234</v>
      </c>
      <c r="AC60" s="8" t="s">
        <v>345</v>
      </c>
      <c r="AD60" s="8" t="s">
        <v>234</v>
      </c>
      <c r="AE60" s="8"/>
      <c r="AF60" s="8"/>
      <c r="AG60" s="8"/>
      <c r="AH60" s="8"/>
      <c r="AI60" s="8"/>
    </row>
    <row r="61" customFormat="false" ht="26.85" hidden="false" customHeight="false" outlineLevel="0" collapsed="false">
      <c r="A61" s="8" t="s">
        <v>4</v>
      </c>
      <c r="B61" s="8" t="s">
        <v>8</v>
      </c>
      <c r="C61" s="8" t="n">
        <v>13</v>
      </c>
      <c r="D61" s="8" t="s">
        <v>6</v>
      </c>
      <c r="E61" s="8" t="s">
        <v>273</v>
      </c>
      <c r="F61" s="8"/>
      <c r="G61" s="8"/>
      <c r="H61" s="8"/>
      <c r="I61" s="8"/>
      <c r="J61" s="8" t="s">
        <v>191</v>
      </c>
      <c r="K61" s="8"/>
      <c r="L61" s="8"/>
      <c r="M61" s="8"/>
      <c r="N61" s="8"/>
      <c r="O61" s="8"/>
      <c r="P61" s="8"/>
      <c r="Q61" s="8"/>
      <c r="R61" s="8"/>
      <c r="S61" s="8"/>
      <c r="T61" s="8" t="s">
        <v>126</v>
      </c>
      <c r="U61" s="8" t="s">
        <v>274</v>
      </c>
      <c r="V61" s="8" t="s">
        <v>275</v>
      </c>
      <c r="W61" s="8" t="s">
        <v>346</v>
      </c>
      <c r="X61" s="8" t="s">
        <v>234</v>
      </c>
      <c r="Y61" s="8" t="s">
        <v>347</v>
      </c>
      <c r="Z61" s="8" t="s">
        <v>234</v>
      </c>
      <c r="AA61" s="8" t="s">
        <v>348</v>
      </c>
      <c r="AB61" s="8" t="s">
        <v>234</v>
      </c>
      <c r="AC61" s="8" t="s">
        <v>349</v>
      </c>
      <c r="AD61" s="8" t="s">
        <v>234</v>
      </c>
      <c r="AE61" s="8"/>
      <c r="AF61" s="8"/>
      <c r="AG61" s="8"/>
      <c r="AH61" s="8"/>
      <c r="AI61" s="8"/>
    </row>
    <row r="62" customFormat="false" ht="26.85" hidden="false" customHeight="false" outlineLevel="0" collapsed="false">
      <c r="A62" s="8" t="s">
        <v>4</v>
      </c>
      <c r="B62" s="8" t="s">
        <v>8</v>
      </c>
      <c r="C62" s="8" t="n">
        <v>13</v>
      </c>
      <c r="D62" s="8" t="s">
        <v>6</v>
      </c>
      <c r="E62" s="8" t="s">
        <v>273</v>
      </c>
      <c r="F62" s="8"/>
      <c r="G62" s="8"/>
      <c r="H62" s="8"/>
      <c r="I62" s="8"/>
      <c r="J62" s="8" t="s">
        <v>191</v>
      </c>
      <c r="K62" s="8"/>
      <c r="L62" s="8"/>
      <c r="M62" s="8"/>
      <c r="N62" s="8"/>
      <c r="O62" s="8"/>
      <c r="P62" s="8"/>
      <c r="Q62" s="8"/>
      <c r="R62" s="8"/>
      <c r="S62" s="8"/>
      <c r="T62" s="8" t="s">
        <v>127</v>
      </c>
      <c r="U62" s="8" t="s">
        <v>280</v>
      </c>
      <c r="V62" s="8" t="s">
        <v>281</v>
      </c>
      <c r="W62" s="8" t="s">
        <v>350</v>
      </c>
      <c r="X62" s="8" t="s">
        <v>234</v>
      </c>
      <c r="Y62" s="8" t="s">
        <v>351</v>
      </c>
      <c r="Z62" s="8" t="s">
        <v>234</v>
      </c>
      <c r="AA62" s="8" t="s">
        <v>352</v>
      </c>
      <c r="AB62" s="8" t="s">
        <v>234</v>
      </c>
      <c r="AC62" s="8" t="s">
        <v>353</v>
      </c>
      <c r="AD62" s="8" t="s">
        <v>234</v>
      </c>
      <c r="AE62" s="8"/>
      <c r="AF62" s="8"/>
      <c r="AG62" s="8"/>
      <c r="AH62" s="8"/>
      <c r="AI62" s="8"/>
    </row>
    <row r="63" customFormat="false" ht="26.85" hidden="false" customHeight="false" outlineLevel="0" collapsed="false">
      <c r="A63" s="8" t="s">
        <v>4</v>
      </c>
      <c r="B63" s="8" t="s">
        <v>8</v>
      </c>
      <c r="C63" s="8" t="n">
        <v>13</v>
      </c>
      <c r="D63" s="8" t="s">
        <v>6</v>
      </c>
      <c r="E63" s="8" t="s">
        <v>273</v>
      </c>
      <c r="F63" s="8"/>
      <c r="G63" s="8"/>
      <c r="H63" s="8"/>
      <c r="I63" s="8"/>
      <c r="J63" s="8" t="s">
        <v>191</v>
      </c>
      <c r="K63" s="8"/>
      <c r="L63" s="8"/>
      <c r="M63" s="8"/>
      <c r="N63" s="8"/>
      <c r="O63" s="8"/>
      <c r="P63" s="8"/>
      <c r="Q63" s="8"/>
      <c r="R63" s="8"/>
      <c r="S63" s="8"/>
      <c r="T63" s="8" t="s">
        <v>128</v>
      </c>
      <c r="U63" s="8" t="s">
        <v>286</v>
      </c>
      <c r="V63" s="8" t="s">
        <v>287</v>
      </c>
      <c r="W63" s="8" t="s">
        <v>354</v>
      </c>
      <c r="X63" s="8" t="s">
        <v>234</v>
      </c>
      <c r="Y63" s="8" t="s">
        <v>355</v>
      </c>
      <c r="Z63" s="8" t="s">
        <v>234</v>
      </c>
      <c r="AA63" s="8" t="s">
        <v>356</v>
      </c>
      <c r="AB63" s="8" t="s">
        <v>234</v>
      </c>
      <c r="AC63" s="8" t="s">
        <v>357</v>
      </c>
      <c r="AD63" s="8" t="s">
        <v>234</v>
      </c>
      <c r="AE63" s="8"/>
      <c r="AF63" s="8"/>
      <c r="AG63" s="8"/>
      <c r="AH63" s="8"/>
      <c r="AI63" s="8"/>
    </row>
    <row r="64" customFormat="false" ht="26.85" hidden="false" customHeight="false" outlineLevel="0" collapsed="false">
      <c r="A64" s="8" t="s">
        <v>4</v>
      </c>
      <c r="B64" s="8" t="s">
        <v>8</v>
      </c>
      <c r="C64" s="8" t="n">
        <v>13</v>
      </c>
      <c r="D64" s="8" t="s">
        <v>6</v>
      </c>
      <c r="E64" s="8" t="s">
        <v>273</v>
      </c>
      <c r="F64" s="8"/>
      <c r="G64" s="8"/>
      <c r="H64" s="8"/>
      <c r="I64" s="8"/>
      <c r="J64" s="8" t="s">
        <v>191</v>
      </c>
      <c r="K64" s="8"/>
      <c r="L64" s="8"/>
      <c r="M64" s="8"/>
      <c r="N64" s="8"/>
      <c r="O64" s="8"/>
      <c r="P64" s="8"/>
      <c r="Q64" s="8"/>
      <c r="R64" s="8"/>
      <c r="S64" s="8"/>
      <c r="T64" s="8" t="s">
        <v>129</v>
      </c>
      <c r="U64" s="8" t="s">
        <v>292</v>
      </c>
      <c r="V64" s="8" t="s">
        <v>293</v>
      </c>
      <c r="W64" s="8" t="s">
        <v>358</v>
      </c>
      <c r="X64" s="8" t="s">
        <v>234</v>
      </c>
      <c r="Y64" s="8" t="s">
        <v>359</v>
      </c>
      <c r="Z64" s="8" t="s">
        <v>234</v>
      </c>
      <c r="AA64" s="8" t="s">
        <v>360</v>
      </c>
      <c r="AB64" s="8" t="s">
        <v>234</v>
      </c>
      <c r="AC64" s="8" t="s">
        <v>361</v>
      </c>
      <c r="AD64" s="8" t="s">
        <v>234</v>
      </c>
      <c r="AE64" s="8"/>
      <c r="AF64" s="8"/>
      <c r="AG64" s="8"/>
      <c r="AH64" s="8"/>
      <c r="AI64" s="8"/>
    </row>
    <row r="65" customFormat="false" ht="26.85" hidden="false" customHeight="false" outlineLevel="0" collapsed="false">
      <c r="A65" s="8" t="s">
        <v>4</v>
      </c>
      <c r="B65" s="8" t="s">
        <v>8</v>
      </c>
      <c r="C65" s="8" t="n">
        <v>13</v>
      </c>
      <c r="D65" s="8" t="s">
        <v>6</v>
      </c>
      <c r="E65" s="8" t="s">
        <v>273</v>
      </c>
      <c r="F65" s="8"/>
      <c r="G65" s="8"/>
      <c r="H65" s="8"/>
      <c r="I65" s="8"/>
      <c r="J65" s="8" t="s">
        <v>191</v>
      </c>
      <c r="K65" s="8"/>
      <c r="L65" s="8"/>
      <c r="M65" s="8"/>
      <c r="N65" s="8"/>
      <c r="O65" s="8"/>
      <c r="P65" s="8"/>
      <c r="Q65" s="8"/>
      <c r="R65" s="8"/>
      <c r="S65" s="8"/>
      <c r="T65" s="8" t="s">
        <v>130</v>
      </c>
      <c r="U65" s="8" t="s">
        <v>298</v>
      </c>
      <c r="V65" s="8" t="s">
        <v>299</v>
      </c>
      <c r="W65" s="8" t="s">
        <v>362</v>
      </c>
      <c r="X65" s="8" t="s">
        <v>234</v>
      </c>
      <c r="Y65" s="8" t="s">
        <v>363</v>
      </c>
      <c r="Z65" s="8" t="s">
        <v>234</v>
      </c>
      <c r="AA65" s="8" t="s">
        <v>364</v>
      </c>
      <c r="AB65" s="8" t="s">
        <v>234</v>
      </c>
      <c r="AC65" s="8" t="s">
        <v>365</v>
      </c>
      <c r="AD65" s="8" t="s">
        <v>234</v>
      </c>
      <c r="AE65" s="8"/>
      <c r="AF65" s="8"/>
      <c r="AG65" s="8"/>
      <c r="AH65" s="8"/>
      <c r="AI65" s="8"/>
    </row>
    <row r="66" customFormat="false" ht="26.85" hidden="false" customHeight="false" outlineLevel="0" collapsed="false">
      <c r="A66" s="8" t="s">
        <v>4</v>
      </c>
      <c r="B66" s="8" t="s">
        <v>8</v>
      </c>
      <c r="C66" s="8" t="n">
        <v>13</v>
      </c>
      <c r="D66" s="8" t="s">
        <v>6</v>
      </c>
      <c r="E66" s="8" t="s">
        <v>273</v>
      </c>
      <c r="F66" s="8"/>
      <c r="G66" s="8"/>
      <c r="H66" s="8"/>
      <c r="I66" s="8"/>
      <c r="J66" s="8" t="s">
        <v>191</v>
      </c>
      <c r="K66" s="8"/>
      <c r="L66" s="8"/>
      <c r="M66" s="8"/>
      <c r="N66" s="8"/>
      <c r="O66" s="8"/>
      <c r="P66" s="8"/>
      <c r="Q66" s="8"/>
      <c r="R66" s="8"/>
      <c r="S66" s="8"/>
      <c r="T66" s="8" t="s">
        <v>131</v>
      </c>
      <c r="U66" s="8" t="s">
        <v>304</v>
      </c>
      <c r="V66" s="8" t="s">
        <v>305</v>
      </c>
      <c r="W66" s="8" t="s">
        <v>366</v>
      </c>
      <c r="X66" s="8" t="s">
        <v>234</v>
      </c>
      <c r="Y66" s="8" t="s">
        <v>367</v>
      </c>
      <c r="Z66" s="8" t="s">
        <v>234</v>
      </c>
      <c r="AA66" s="8" t="s">
        <v>368</v>
      </c>
      <c r="AB66" s="8" t="s">
        <v>234</v>
      </c>
      <c r="AC66" s="8" t="s">
        <v>369</v>
      </c>
      <c r="AD66" s="8" t="s">
        <v>234</v>
      </c>
      <c r="AE66" s="8"/>
      <c r="AF66" s="8"/>
      <c r="AG66" s="8"/>
      <c r="AH66" s="8"/>
      <c r="AI66" s="8"/>
    </row>
    <row r="67" customFormat="false" ht="26.85" hidden="false" customHeight="false" outlineLevel="0" collapsed="false">
      <c r="A67" s="8" t="s">
        <v>4</v>
      </c>
      <c r="B67" s="8" t="s">
        <v>8</v>
      </c>
      <c r="C67" s="8" t="n">
        <v>13</v>
      </c>
      <c r="D67" s="8" t="s">
        <v>6</v>
      </c>
      <c r="E67" s="8" t="s">
        <v>273</v>
      </c>
      <c r="F67" s="8"/>
      <c r="G67" s="8"/>
      <c r="H67" s="8"/>
      <c r="I67" s="8"/>
      <c r="J67" s="8" t="s">
        <v>191</v>
      </c>
      <c r="K67" s="8"/>
      <c r="L67" s="8"/>
      <c r="M67" s="8"/>
      <c r="N67" s="8"/>
      <c r="O67" s="8"/>
      <c r="P67" s="8"/>
      <c r="Q67" s="8"/>
      <c r="R67" s="8"/>
      <c r="S67" s="8"/>
      <c r="T67" s="8" t="s">
        <v>132</v>
      </c>
      <c r="U67" s="8" t="s">
        <v>310</v>
      </c>
      <c r="V67" s="8" t="s">
        <v>311</v>
      </c>
      <c r="W67" s="8" t="s">
        <v>370</v>
      </c>
      <c r="X67" s="8" t="s">
        <v>234</v>
      </c>
      <c r="Y67" s="8" t="s">
        <v>371</v>
      </c>
      <c r="Z67" s="8" t="s">
        <v>234</v>
      </c>
      <c r="AA67" s="8" t="s">
        <v>372</v>
      </c>
      <c r="AB67" s="8" t="s">
        <v>234</v>
      </c>
      <c r="AC67" s="8" t="s">
        <v>373</v>
      </c>
      <c r="AD67" s="8" t="s">
        <v>234</v>
      </c>
      <c r="AE67" s="8"/>
      <c r="AF67" s="8"/>
      <c r="AG67" s="8"/>
      <c r="AH67" s="8"/>
      <c r="AI67" s="8"/>
    </row>
    <row r="68" customFormat="false" ht="26.85" hidden="false" customHeight="false" outlineLevel="0" collapsed="false">
      <c r="A68" s="8" t="s">
        <v>4</v>
      </c>
      <c r="B68" s="8" t="s">
        <v>8</v>
      </c>
      <c r="C68" s="8" t="n">
        <v>13</v>
      </c>
      <c r="D68" s="8" t="s">
        <v>6</v>
      </c>
      <c r="E68" s="8" t="s">
        <v>273</v>
      </c>
      <c r="F68" s="8"/>
      <c r="G68" s="8"/>
      <c r="H68" s="8"/>
      <c r="I68" s="8"/>
      <c r="J68" s="8" t="s">
        <v>191</v>
      </c>
      <c r="K68" s="8"/>
      <c r="L68" s="8"/>
      <c r="M68" s="8"/>
      <c r="N68" s="8"/>
      <c r="O68" s="8"/>
      <c r="P68" s="8"/>
      <c r="Q68" s="8"/>
      <c r="R68" s="8"/>
      <c r="S68" s="8"/>
      <c r="T68" s="8" t="s">
        <v>133</v>
      </c>
      <c r="U68" s="8" t="s">
        <v>316</v>
      </c>
      <c r="V68" s="8" t="s">
        <v>317</v>
      </c>
      <c r="W68" s="8" t="s">
        <v>374</v>
      </c>
      <c r="X68" s="8" t="s">
        <v>234</v>
      </c>
      <c r="Y68" s="8" t="s">
        <v>375</v>
      </c>
      <c r="Z68" s="8" t="s">
        <v>234</v>
      </c>
      <c r="AA68" s="8" t="s">
        <v>376</v>
      </c>
      <c r="AB68" s="8" t="s">
        <v>234</v>
      </c>
      <c r="AC68" s="8" t="s">
        <v>377</v>
      </c>
      <c r="AD68" s="8" t="s">
        <v>234</v>
      </c>
      <c r="AE68" s="8"/>
      <c r="AF68" s="8"/>
      <c r="AG68" s="8"/>
      <c r="AH68" s="8"/>
      <c r="AI68" s="8"/>
    </row>
    <row r="69" customFormat="false" ht="26.85" hidden="false" customHeight="false" outlineLevel="0" collapsed="false">
      <c r="A69" s="8" t="s">
        <v>4</v>
      </c>
      <c r="B69" s="8" t="s">
        <v>8</v>
      </c>
      <c r="C69" s="8" t="n">
        <v>13</v>
      </c>
      <c r="D69" s="8" t="s">
        <v>6</v>
      </c>
      <c r="E69" s="8" t="s">
        <v>273</v>
      </c>
      <c r="F69" s="8"/>
      <c r="G69" s="8"/>
      <c r="H69" s="8"/>
      <c r="I69" s="8"/>
      <c r="J69" s="8" t="s">
        <v>191</v>
      </c>
      <c r="K69" s="8"/>
      <c r="L69" s="8"/>
      <c r="M69" s="8"/>
      <c r="N69" s="8"/>
      <c r="O69" s="8"/>
      <c r="P69" s="8"/>
      <c r="Q69" s="8"/>
      <c r="R69" s="8"/>
      <c r="S69" s="8"/>
      <c r="T69" s="8" t="s">
        <v>134</v>
      </c>
      <c r="U69" s="8" t="s">
        <v>322</v>
      </c>
      <c r="V69" s="8" t="s">
        <v>323</v>
      </c>
      <c r="W69" s="8" t="s">
        <v>378</v>
      </c>
      <c r="X69" s="8" t="s">
        <v>235</v>
      </c>
      <c r="Y69" s="8" t="s">
        <v>379</v>
      </c>
      <c r="Z69" s="8" t="s">
        <v>234</v>
      </c>
      <c r="AA69" s="8" t="s">
        <v>380</v>
      </c>
      <c r="AB69" s="8" t="s">
        <v>234</v>
      </c>
      <c r="AC69" s="8" t="s">
        <v>381</v>
      </c>
      <c r="AD69" s="8" t="s">
        <v>234</v>
      </c>
      <c r="AE69" s="8"/>
      <c r="AF69" s="8"/>
      <c r="AG69" s="8"/>
      <c r="AH69" s="8"/>
      <c r="AI69" s="8"/>
    </row>
    <row r="70" customFormat="false" ht="26.85" hidden="false" customHeight="false" outlineLevel="0" collapsed="false">
      <c r="A70" s="8" t="s">
        <v>4</v>
      </c>
      <c r="B70" s="8" t="s">
        <v>8</v>
      </c>
      <c r="C70" s="8" t="n">
        <v>13</v>
      </c>
      <c r="D70" s="8" t="s">
        <v>6</v>
      </c>
      <c r="E70" s="8" t="s">
        <v>273</v>
      </c>
      <c r="F70" s="8"/>
      <c r="G70" s="8"/>
      <c r="H70" s="8"/>
      <c r="I70" s="8"/>
      <c r="J70" s="8" t="s">
        <v>191</v>
      </c>
      <c r="K70" s="8"/>
      <c r="L70" s="8"/>
      <c r="M70" s="8"/>
      <c r="N70" s="8"/>
      <c r="O70" s="8"/>
      <c r="P70" s="8"/>
      <c r="Q70" s="8"/>
      <c r="R70" s="8"/>
      <c r="S70" s="8"/>
      <c r="T70" s="8" t="s">
        <v>135</v>
      </c>
      <c r="U70" s="8" t="s">
        <v>328</v>
      </c>
      <c r="V70" s="8" t="s">
        <v>329</v>
      </c>
      <c r="W70" s="8" t="s">
        <v>382</v>
      </c>
      <c r="X70" s="8" t="s">
        <v>234</v>
      </c>
      <c r="Y70" s="8" t="s">
        <v>383</v>
      </c>
      <c r="Z70" s="8" t="s">
        <v>234</v>
      </c>
      <c r="AA70" s="8" t="s">
        <v>384</v>
      </c>
      <c r="AB70" s="8" t="s">
        <v>234</v>
      </c>
      <c r="AC70" s="8" t="s">
        <v>385</v>
      </c>
      <c r="AD70" s="8" t="s">
        <v>234</v>
      </c>
      <c r="AE70" s="8"/>
      <c r="AF70" s="8"/>
      <c r="AG70" s="8"/>
      <c r="AH70" s="8"/>
      <c r="AI70" s="8"/>
    </row>
    <row r="71" customFormat="false" ht="26.85" hidden="false" customHeight="false" outlineLevel="0" collapsed="false">
      <c r="A71" s="8" t="s">
        <v>4</v>
      </c>
      <c r="B71" s="8" t="s">
        <v>8</v>
      </c>
      <c r="C71" s="8" t="n">
        <v>13</v>
      </c>
      <c r="D71" s="8" t="s">
        <v>6</v>
      </c>
      <c r="E71" s="8" t="s">
        <v>273</v>
      </c>
      <c r="F71" s="8"/>
      <c r="G71" s="8"/>
      <c r="H71" s="8"/>
      <c r="I71" s="8"/>
      <c r="J71" s="8" t="s">
        <v>191</v>
      </c>
      <c r="K71" s="8"/>
      <c r="L71" s="8"/>
      <c r="M71" s="8"/>
      <c r="N71" s="8"/>
      <c r="O71" s="8"/>
      <c r="P71" s="8"/>
      <c r="Q71" s="8"/>
      <c r="R71" s="8"/>
      <c r="S71" s="8"/>
      <c r="T71" s="8" t="s">
        <v>136</v>
      </c>
      <c r="U71" s="8" t="s">
        <v>334</v>
      </c>
      <c r="V71" s="8" t="s">
        <v>335</v>
      </c>
      <c r="W71" s="8" t="s">
        <v>386</v>
      </c>
      <c r="X71" s="8" t="s">
        <v>234</v>
      </c>
      <c r="Y71" s="8" t="s">
        <v>387</v>
      </c>
      <c r="Z71" s="8" t="s">
        <v>234</v>
      </c>
      <c r="AA71" s="8" t="s">
        <v>388</v>
      </c>
      <c r="AB71" s="8" t="s">
        <v>234</v>
      </c>
      <c r="AC71" s="8" t="s">
        <v>389</v>
      </c>
      <c r="AD71" s="8" t="s">
        <v>234</v>
      </c>
      <c r="AE71" s="8"/>
      <c r="AF71" s="8"/>
      <c r="AG71" s="8"/>
      <c r="AH71" s="8"/>
      <c r="AI71" s="8"/>
    </row>
    <row r="72" customFormat="false" ht="26.85" hidden="false" customHeight="false" outlineLevel="0" collapsed="false">
      <c r="A72" s="8" t="s">
        <v>4</v>
      </c>
      <c r="B72" s="8" t="s">
        <v>8</v>
      </c>
      <c r="C72" s="8" t="n">
        <v>13</v>
      </c>
      <c r="D72" s="8" t="s">
        <v>6</v>
      </c>
      <c r="E72" s="8" t="s">
        <v>273</v>
      </c>
      <c r="F72" s="8"/>
      <c r="G72" s="8"/>
      <c r="H72" s="8"/>
      <c r="I72" s="8"/>
      <c r="J72" s="8" t="s">
        <v>191</v>
      </c>
      <c r="K72" s="8"/>
      <c r="L72" s="8"/>
      <c r="M72" s="8"/>
      <c r="N72" s="8"/>
      <c r="O72" s="8"/>
      <c r="P72" s="8"/>
      <c r="Q72" s="8"/>
      <c r="R72" s="8"/>
      <c r="S72" s="8"/>
      <c r="T72" s="8" t="s">
        <v>137</v>
      </c>
      <c r="U72" s="8" t="s">
        <v>340</v>
      </c>
      <c r="V72" s="8" t="s">
        <v>341</v>
      </c>
      <c r="W72" s="8" t="s">
        <v>390</v>
      </c>
      <c r="X72" s="8" t="s">
        <v>234</v>
      </c>
      <c r="Y72" s="8" t="s">
        <v>391</v>
      </c>
      <c r="Z72" s="8" t="s">
        <v>234</v>
      </c>
      <c r="AA72" s="8" t="s">
        <v>392</v>
      </c>
      <c r="AB72" s="8" t="s">
        <v>234</v>
      </c>
      <c r="AC72" s="8" t="s">
        <v>393</v>
      </c>
      <c r="AD72" s="8" t="s">
        <v>234</v>
      </c>
      <c r="AE72" s="8"/>
      <c r="AF72" s="8"/>
      <c r="AG72" s="8"/>
      <c r="AH72" s="8"/>
      <c r="AI72" s="8"/>
    </row>
    <row r="73" customFormat="false" ht="26.85" hidden="false" customHeight="false" outlineLevel="0" collapsed="false">
      <c r="A73" s="8" t="s">
        <v>4</v>
      </c>
      <c r="B73" s="8" t="s">
        <v>8</v>
      </c>
      <c r="C73" s="8" t="n">
        <v>13</v>
      </c>
      <c r="D73" s="8" t="s">
        <v>6</v>
      </c>
      <c r="E73" s="8" t="s">
        <v>273</v>
      </c>
      <c r="F73" s="8"/>
      <c r="G73" s="8"/>
      <c r="H73" s="8"/>
      <c r="I73" s="8"/>
      <c r="J73" s="8" t="s">
        <v>193</v>
      </c>
      <c r="K73" s="8"/>
      <c r="L73" s="8"/>
      <c r="M73" s="8"/>
      <c r="N73" s="8"/>
      <c r="O73" s="8"/>
      <c r="P73" s="8"/>
      <c r="Q73" s="8"/>
      <c r="R73" s="8"/>
      <c r="S73" s="8"/>
      <c r="T73" s="8" t="s">
        <v>126</v>
      </c>
      <c r="U73" s="8" t="s">
        <v>274</v>
      </c>
      <c r="V73" s="8" t="s">
        <v>275</v>
      </c>
      <c r="W73" s="8" t="s">
        <v>394</v>
      </c>
      <c r="X73" s="8" t="s">
        <v>234</v>
      </c>
      <c r="Y73" s="8" t="s">
        <v>395</v>
      </c>
      <c r="Z73" s="8" t="s">
        <v>234</v>
      </c>
      <c r="AA73" s="8" t="s">
        <v>396</v>
      </c>
      <c r="AB73" s="8" t="s">
        <v>234</v>
      </c>
      <c r="AC73" s="8" t="s">
        <v>397</v>
      </c>
      <c r="AD73" s="8" t="s">
        <v>234</v>
      </c>
      <c r="AE73" s="8"/>
      <c r="AF73" s="8"/>
      <c r="AG73" s="8"/>
      <c r="AH73" s="8"/>
      <c r="AI73" s="8"/>
    </row>
    <row r="74" customFormat="false" ht="15" hidden="false" customHeight="false" outlineLevel="0" collapsed="false">
      <c r="A74" s="8" t="s">
        <v>4</v>
      </c>
      <c r="B74" s="8" t="s">
        <v>8</v>
      </c>
      <c r="C74" s="8" t="n">
        <v>13</v>
      </c>
      <c r="D74" s="8" t="s">
        <v>6</v>
      </c>
      <c r="E74" s="8" t="s">
        <v>273</v>
      </c>
      <c r="F74" s="8"/>
      <c r="G74" s="8"/>
      <c r="H74" s="8"/>
      <c r="I74" s="8"/>
      <c r="J74" s="8" t="s">
        <v>193</v>
      </c>
      <c r="K74" s="8"/>
      <c r="L74" s="8"/>
      <c r="M74" s="8"/>
      <c r="N74" s="8"/>
      <c r="O74" s="8"/>
      <c r="P74" s="8"/>
      <c r="Q74" s="8"/>
      <c r="R74" s="8"/>
      <c r="S74" s="8"/>
      <c r="T74" s="8" t="s">
        <v>127</v>
      </c>
      <c r="U74" s="8" t="s">
        <v>280</v>
      </c>
      <c r="V74" s="8" t="s">
        <v>281</v>
      </c>
      <c r="W74" s="8" t="s">
        <v>398</v>
      </c>
      <c r="X74" s="8" t="s">
        <v>234</v>
      </c>
      <c r="Y74" s="8" t="s">
        <v>399</v>
      </c>
      <c r="Z74" s="8" t="s">
        <v>234</v>
      </c>
      <c r="AA74" s="8" t="s">
        <v>400</v>
      </c>
      <c r="AB74" s="8" t="s">
        <v>234</v>
      </c>
      <c r="AC74" s="8" t="s">
        <v>401</v>
      </c>
      <c r="AD74" s="8" t="s">
        <v>234</v>
      </c>
      <c r="AE74" s="8"/>
      <c r="AF74" s="8"/>
      <c r="AG74" s="8"/>
      <c r="AH74" s="8"/>
      <c r="AI74" s="8"/>
    </row>
    <row r="75" customFormat="false" ht="15" hidden="false" customHeight="false" outlineLevel="0" collapsed="false">
      <c r="A75" s="8" t="s">
        <v>4</v>
      </c>
      <c r="B75" s="8" t="s">
        <v>8</v>
      </c>
      <c r="C75" s="8" t="n">
        <v>13</v>
      </c>
      <c r="D75" s="8" t="s">
        <v>6</v>
      </c>
      <c r="E75" s="8" t="s">
        <v>273</v>
      </c>
      <c r="F75" s="8"/>
      <c r="G75" s="8"/>
      <c r="H75" s="8"/>
      <c r="I75" s="8"/>
      <c r="J75" s="8" t="s">
        <v>193</v>
      </c>
      <c r="K75" s="8"/>
      <c r="L75" s="8"/>
      <c r="M75" s="8"/>
      <c r="N75" s="8"/>
      <c r="O75" s="8"/>
      <c r="P75" s="8"/>
      <c r="Q75" s="8"/>
      <c r="R75" s="8"/>
      <c r="S75" s="8"/>
      <c r="T75" s="8" t="s">
        <v>128</v>
      </c>
      <c r="U75" s="8" t="s">
        <v>286</v>
      </c>
      <c r="V75" s="8" t="s">
        <v>287</v>
      </c>
      <c r="W75" s="8" t="s">
        <v>402</v>
      </c>
      <c r="X75" s="8" t="s">
        <v>234</v>
      </c>
      <c r="Y75" s="8" t="s">
        <v>403</v>
      </c>
      <c r="Z75" s="8" t="s">
        <v>234</v>
      </c>
      <c r="AA75" s="8" t="s">
        <v>404</v>
      </c>
      <c r="AB75" s="8" t="s">
        <v>234</v>
      </c>
      <c r="AC75" s="8" t="s">
        <v>405</v>
      </c>
      <c r="AD75" s="8" t="s">
        <v>234</v>
      </c>
      <c r="AE75" s="8"/>
      <c r="AF75" s="8"/>
      <c r="AG75" s="8"/>
      <c r="AH75" s="8"/>
      <c r="AI75" s="8"/>
    </row>
    <row r="76" customFormat="false" ht="15" hidden="false" customHeight="false" outlineLevel="0" collapsed="false">
      <c r="A76" s="8" t="s">
        <v>4</v>
      </c>
      <c r="B76" s="8" t="s">
        <v>8</v>
      </c>
      <c r="C76" s="8" t="n">
        <v>13</v>
      </c>
      <c r="D76" s="8" t="s">
        <v>6</v>
      </c>
      <c r="E76" s="8" t="s">
        <v>273</v>
      </c>
      <c r="F76" s="8"/>
      <c r="G76" s="8"/>
      <c r="H76" s="8"/>
      <c r="I76" s="8"/>
      <c r="J76" s="8" t="s">
        <v>193</v>
      </c>
      <c r="K76" s="8"/>
      <c r="L76" s="8"/>
      <c r="M76" s="8"/>
      <c r="N76" s="8"/>
      <c r="O76" s="8"/>
      <c r="P76" s="8"/>
      <c r="Q76" s="8"/>
      <c r="R76" s="8"/>
      <c r="S76" s="8"/>
      <c r="T76" s="8" t="s">
        <v>129</v>
      </c>
      <c r="U76" s="8" t="s">
        <v>292</v>
      </c>
      <c r="V76" s="8" t="s">
        <v>293</v>
      </c>
      <c r="W76" s="8" t="s">
        <v>406</v>
      </c>
      <c r="X76" s="8" t="s">
        <v>234</v>
      </c>
      <c r="Y76" s="8" t="s">
        <v>407</v>
      </c>
      <c r="Z76" s="8" t="s">
        <v>234</v>
      </c>
      <c r="AA76" s="8" t="s">
        <v>408</v>
      </c>
      <c r="AB76" s="8" t="s">
        <v>234</v>
      </c>
      <c r="AC76" s="8" t="s">
        <v>409</v>
      </c>
      <c r="AD76" s="8" t="s">
        <v>234</v>
      </c>
      <c r="AE76" s="8"/>
      <c r="AF76" s="8"/>
      <c r="AG76" s="8"/>
      <c r="AH76" s="8"/>
      <c r="AI76" s="8"/>
    </row>
    <row r="77" customFormat="false" ht="26.85" hidden="false" customHeight="false" outlineLevel="0" collapsed="false">
      <c r="A77" s="8" t="s">
        <v>4</v>
      </c>
      <c r="B77" s="8" t="s">
        <v>8</v>
      </c>
      <c r="C77" s="8" t="n">
        <v>13</v>
      </c>
      <c r="D77" s="8" t="s">
        <v>6</v>
      </c>
      <c r="E77" s="8" t="s">
        <v>273</v>
      </c>
      <c r="F77" s="8"/>
      <c r="G77" s="8"/>
      <c r="H77" s="8"/>
      <c r="I77" s="8"/>
      <c r="J77" s="8" t="s">
        <v>193</v>
      </c>
      <c r="K77" s="8"/>
      <c r="L77" s="8"/>
      <c r="M77" s="8"/>
      <c r="N77" s="8"/>
      <c r="O77" s="8"/>
      <c r="P77" s="8"/>
      <c r="Q77" s="8"/>
      <c r="R77" s="8"/>
      <c r="S77" s="8"/>
      <c r="T77" s="8" t="s">
        <v>130</v>
      </c>
      <c r="U77" s="8" t="s">
        <v>298</v>
      </c>
      <c r="V77" s="8" t="s">
        <v>299</v>
      </c>
      <c r="W77" s="8" t="s">
        <v>410</v>
      </c>
      <c r="X77" s="8" t="s">
        <v>234</v>
      </c>
      <c r="Y77" s="8" t="s">
        <v>411</v>
      </c>
      <c r="Z77" s="8" t="s">
        <v>234</v>
      </c>
      <c r="AA77" s="8" t="s">
        <v>412</v>
      </c>
      <c r="AB77" s="8" t="s">
        <v>234</v>
      </c>
      <c r="AC77" s="8" t="s">
        <v>413</v>
      </c>
      <c r="AD77" s="8" t="s">
        <v>234</v>
      </c>
      <c r="AE77" s="8"/>
      <c r="AF77" s="8"/>
      <c r="AG77" s="8"/>
      <c r="AH77" s="8"/>
      <c r="AI77" s="8"/>
    </row>
    <row r="78" customFormat="false" ht="26.85" hidden="false" customHeight="false" outlineLevel="0" collapsed="false">
      <c r="A78" s="8" t="s">
        <v>4</v>
      </c>
      <c r="B78" s="8" t="s">
        <v>8</v>
      </c>
      <c r="C78" s="8" t="n">
        <v>13</v>
      </c>
      <c r="D78" s="8" t="s">
        <v>6</v>
      </c>
      <c r="E78" s="8" t="s">
        <v>273</v>
      </c>
      <c r="F78" s="8"/>
      <c r="G78" s="8"/>
      <c r="H78" s="8"/>
      <c r="I78" s="8"/>
      <c r="J78" s="8" t="s">
        <v>193</v>
      </c>
      <c r="K78" s="8"/>
      <c r="L78" s="8"/>
      <c r="M78" s="8"/>
      <c r="N78" s="8"/>
      <c r="O78" s="8"/>
      <c r="P78" s="8"/>
      <c r="Q78" s="8"/>
      <c r="R78" s="8"/>
      <c r="S78" s="8"/>
      <c r="T78" s="8" t="s">
        <v>131</v>
      </c>
      <c r="U78" s="8" t="s">
        <v>304</v>
      </c>
      <c r="V78" s="8" t="s">
        <v>305</v>
      </c>
      <c r="W78" s="8" t="s">
        <v>414</v>
      </c>
      <c r="X78" s="8" t="s">
        <v>234</v>
      </c>
      <c r="Y78" s="8" t="s">
        <v>415</v>
      </c>
      <c r="Z78" s="8" t="s">
        <v>234</v>
      </c>
      <c r="AA78" s="8" t="s">
        <v>416</v>
      </c>
      <c r="AB78" s="8" t="s">
        <v>234</v>
      </c>
      <c r="AC78" s="8" t="s">
        <v>417</v>
      </c>
      <c r="AD78" s="8" t="s">
        <v>234</v>
      </c>
      <c r="AE78" s="8"/>
      <c r="AF78" s="8"/>
      <c r="AG78" s="8"/>
      <c r="AH78" s="8"/>
      <c r="AI78" s="8"/>
    </row>
    <row r="79" customFormat="false" ht="15" hidden="false" customHeight="false" outlineLevel="0" collapsed="false">
      <c r="A79" s="8" t="s">
        <v>4</v>
      </c>
      <c r="B79" s="8" t="s">
        <v>8</v>
      </c>
      <c r="C79" s="8" t="n">
        <v>13</v>
      </c>
      <c r="D79" s="8" t="s">
        <v>6</v>
      </c>
      <c r="E79" s="8" t="s">
        <v>273</v>
      </c>
      <c r="F79" s="8"/>
      <c r="G79" s="8"/>
      <c r="H79" s="8"/>
      <c r="I79" s="8"/>
      <c r="J79" s="8" t="s">
        <v>193</v>
      </c>
      <c r="K79" s="8"/>
      <c r="L79" s="8"/>
      <c r="M79" s="8"/>
      <c r="N79" s="8"/>
      <c r="O79" s="8"/>
      <c r="P79" s="8"/>
      <c r="Q79" s="8"/>
      <c r="R79" s="8"/>
      <c r="S79" s="8"/>
      <c r="T79" s="8" t="s">
        <v>132</v>
      </c>
      <c r="U79" s="8" t="s">
        <v>310</v>
      </c>
      <c r="V79" s="8" t="s">
        <v>311</v>
      </c>
      <c r="W79" s="8" t="s">
        <v>418</v>
      </c>
      <c r="X79" s="8" t="s">
        <v>234</v>
      </c>
      <c r="Y79" s="8" t="s">
        <v>419</v>
      </c>
      <c r="Z79" s="8" t="s">
        <v>234</v>
      </c>
      <c r="AA79" s="8" t="s">
        <v>420</v>
      </c>
      <c r="AB79" s="8" t="s">
        <v>234</v>
      </c>
      <c r="AC79" s="8" t="s">
        <v>421</v>
      </c>
      <c r="AD79" s="8" t="s">
        <v>234</v>
      </c>
      <c r="AE79" s="8"/>
      <c r="AF79" s="8"/>
      <c r="AG79" s="8"/>
      <c r="AH79" s="8"/>
      <c r="AI79" s="8"/>
    </row>
    <row r="80" customFormat="false" ht="15" hidden="false" customHeight="false" outlineLevel="0" collapsed="false">
      <c r="A80" s="8" t="s">
        <v>4</v>
      </c>
      <c r="B80" s="8" t="s">
        <v>8</v>
      </c>
      <c r="C80" s="8" t="n">
        <v>13</v>
      </c>
      <c r="D80" s="8" t="s">
        <v>6</v>
      </c>
      <c r="E80" s="8" t="s">
        <v>273</v>
      </c>
      <c r="F80" s="8"/>
      <c r="G80" s="8"/>
      <c r="H80" s="8"/>
      <c r="I80" s="8"/>
      <c r="J80" s="8" t="s">
        <v>193</v>
      </c>
      <c r="K80" s="8"/>
      <c r="L80" s="8"/>
      <c r="M80" s="8"/>
      <c r="N80" s="8"/>
      <c r="O80" s="8"/>
      <c r="P80" s="8"/>
      <c r="Q80" s="8"/>
      <c r="R80" s="8"/>
      <c r="S80" s="8"/>
      <c r="T80" s="8" t="s">
        <v>133</v>
      </c>
      <c r="U80" s="8" t="s">
        <v>316</v>
      </c>
      <c r="V80" s="8" t="s">
        <v>317</v>
      </c>
      <c r="W80" s="8" t="s">
        <v>422</v>
      </c>
      <c r="X80" s="8" t="s">
        <v>234</v>
      </c>
      <c r="Y80" s="8" t="s">
        <v>423</v>
      </c>
      <c r="Z80" s="8" t="s">
        <v>234</v>
      </c>
      <c r="AA80" s="8" t="s">
        <v>424</v>
      </c>
      <c r="AB80" s="8" t="s">
        <v>234</v>
      </c>
      <c r="AC80" s="8" t="s">
        <v>425</v>
      </c>
      <c r="AD80" s="8" t="s">
        <v>234</v>
      </c>
      <c r="AE80" s="8"/>
      <c r="AF80" s="8"/>
      <c r="AG80" s="8"/>
      <c r="AH80" s="8"/>
      <c r="AI80" s="8"/>
    </row>
    <row r="81" customFormat="false" ht="26.85" hidden="false" customHeight="false" outlineLevel="0" collapsed="false">
      <c r="A81" s="8" t="s">
        <v>4</v>
      </c>
      <c r="B81" s="8" t="s">
        <v>8</v>
      </c>
      <c r="C81" s="8" t="n">
        <v>13</v>
      </c>
      <c r="D81" s="8" t="s">
        <v>6</v>
      </c>
      <c r="E81" s="8" t="s">
        <v>273</v>
      </c>
      <c r="F81" s="8"/>
      <c r="G81" s="8"/>
      <c r="H81" s="8"/>
      <c r="I81" s="8"/>
      <c r="J81" s="8" t="s">
        <v>193</v>
      </c>
      <c r="K81" s="8"/>
      <c r="L81" s="8"/>
      <c r="M81" s="8"/>
      <c r="N81" s="8"/>
      <c r="O81" s="8"/>
      <c r="P81" s="8"/>
      <c r="Q81" s="8"/>
      <c r="R81" s="8"/>
      <c r="S81" s="8"/>
      <c r="T81" s="8" t="s">
        <v>134</v>
      </c>
      <c r="U81" s="8" t="s">
        <v>322</v>
      </c>
      <c r="V81" s="8" t="s">
        <v>323</v>
      </c>
      <c r="W81" s="8" t="s">
        <v>426</v>
      </c>
      <c r="X81" s="8" t="s">
        <v>234</v>
      </c>
      <c r="Y81" s="8" t="s">
        <v>427</v>
      </c>
      <c r="Z81" s="8" t="s">
        <v>234</v>
      </c>
      <c r="AA81" s="8" t="s">
        <v>428</v>
      </c>
      <c r="AB81" s="8" t="s">
        <v>234</v>
      </c>
      <c r="AC81" s="8" t="s">
        <v>429</v>
      </c>
      <c r="AD81" s="8" t="s">
        <v>234</v>
      </c>
      <c r="AE81" s="8"/>
      <c r="AF81" s="8"/>
      <c r="AG81" s="8"/>
      <c r="AH81" s="8"/>
      <c r="AI81" s="8"/>
    </row>
    <row r="82" customFormat="false" ht="26.85" hidden="false" customHeight="false" outlineLevel="0" collapsed="false">
      <c r="A82" s="8" t="s">
        <v>4</v>
      </c>
      <c r="B82" s="8" t="s">
        <v>8</v>
      </c>
      <c r="C82" s="8" t="n">
        <v>13</v>
      </c>
      <c r="D82" s="8" t="s">
        <v>6</v>
      </c>
      <c r="E82" s="8" t="s">
        <v>273</v>
      </c>
      <c r="F82" s="8"/>
      <c r="G82" s="8"/>
      <c r="H82" s="8"/>
      <c r="I82" s="8"/>
      <c r="J82" s="8" t="s">
        <v>193</v>
      </c>
      <c r="K82" s="8"/>
      <c r="L82" s="8"/>
      <c r="M82" s="8"/>
      <c r="N82" s="8"/>
      <c r="O82" s="8"/>
      <c r="P82" s="8"/>
      <c r="Q82" s="8"/>
      <c r="R82" s="8"/>
      <c r="S82" s="8"/>
      <c r="T82" s="8" t="s">
        <v>135</v>
      </c>
      <c r="U82" s="8" t="s">
        <v>328</v>
      </c>
      <c r="V82" s="8" t="s">
        <v>329</v>
      </c>
      <c r="W82" s="8" t="s">
        <v>430</v>
      </c>
      <c r="X82" s="8" t="s">
        <v>234</v>
      </c>
      <c r="Y82" s="8" t="s">
        <v>431</v>
      </c>
      <c r="Z82" s="8" t="s">
        <v>234</v>
      </c>
      <c r="AA82" s="8" t="s">
        <v>432</v>
      </c>
      <c r="AB82" s="8" t="s">
        <v>234</v>
      </c>
      <c r="AC82" s="8" t="s">
        <v>433</v>
      </c>
      <c r="AD82" s="8" t="s">
        <v>234</v>
      </c>
      <c r="AE82" s="8"/>
      <c r="AF82" s="8"/>
      <c r="AG82" s="8"/>
      <c r="AH82" s="8"/>
      <c r="AI82" s="8"/>
    </row>
    <row r="83" customFormat="false" ht="26.85" hidden="false" customHeight="false" outlineLevel="0" collapsed="false">
      <c r="A83" s="8" t="s">
        <v>4</v>
      </c>
      <c r="B83" s="8" t="s">
        <v>8</v>
      </c>
      <c r="C83" s="8" t="n">
        <v>13</v>
      </c>
      <c r="D83" s="8" t="s">
        <v>6</v>
      </c>
      <c r="E83" s="8" t="s">
        <v>273</v>
      </c>
      <c r="F83" s="8"/>
      <c r="G83" s="8"/>
      <c r="H83" s="8"/>
      <c r="I83" s="8"/>
      <c r="J83" s="8" t="s">
        <v>193</v>
      </c>
      <c r="K83" s="8"/>
      <c r="L83" s="8"/>
      <c r="M83" s="8"/>
      <c r="N83" s="8"/>
      <c r="O83" s="8"/>
      <c r="P83" s="8"/>
      <c r="Q83" s="8"/>
      <c r="R83" s="8"/>
      <c r="S83" s="8"/>
      <c r="T83" s="8" t="s">
        <v>136</v>
      </c>
      <c r="U83" s="8" t="s">
        <v>334</v>
      </c>
      <c r="V83" s="8" t="s">
        <v>335</v>
      </c>
      <c r="W83" s="8" t="s">
        <v>434</v>
      </c>
      <c r="X83" s="8" t="s">
        <v>234</v>
      </c>
      <c r="Y83" s="8" t="s">
        <v>435</v>
      </c>
      <c r="Z83" s="8" t="s">
        <v>234</v>
      </c>
      <c r="AA83" s="8" t="s">
        <v>436</v>
      </c>
      <c r="AB83" s="8" t="s">
        <v>234</v>
      </c>
      <c r="AC83" s="8" t="s">
        <v>437</v>
      </c>
      <c r="AD83" s="8" t="s">
        <v>234</v>
      </c>
      <c r="AE83" s="8"/>
      <c r="AF83" s="8"/>
      <c r="AG83" s="8"/>
      <c r="AH83" s="8"/>
      <c r="AI83" s="8"/>
    </row>
    <row r="84" customFormat="false" ht="26.85" hidden="false" customHeight="false" outlineLevel="0" collapsed="false">
      <c r="A84" s="8" t="s">
        <v>4</v>
      </c>
      <c r="B84" s="8" t="s">
        <v>8</v>
      </c>
      <c r="C84" s="8" t="n">
        <v>13</v>
      </c>
      <c r="D84" s="8" t="s">
        <v>6</v>
      </c>
      <c r="E84" s="8" t="s">
        <v>273</v>
      </c>
      <c r="F84" s="8"/>
      <c r="G84" s="8"/>
      <c r="H84" s="8"/>
      <c r="I84" s="8"/>
      <c r="J84" s="8" t="s">
        <v>193</v>
      </c>
      <c r="K84" s="8"/>
      <c r="L84" s="8"/>
      <c r="M84" s="8"/>
      <c r="N84" s="8"/>
      <c r="O84" s="8"/>
      <c r="P84" s="8"/>
      <c r="Q84" s="8"/>
      <c r="R84" s="8"/>
      <c r="S84" s="8"/>
      <c r="T84" s="8" t="s">
        <v>137</v>
      </c>
      <c r="U84" s="8" t="s">
        <v>340</v>
      </c>
      <c r="V84" s="8" t="s">
        <v>341</v>
      </c>
      <c r="W84" s="8" t="s">
        <v>438</v>
      </c>
      <c r="X84" s="8" t="s">
        <v>234</v>
      </c>
      <c r="Y84" s="8" t="s">
        <v>439</v>
      </c>
      <c r="Z84" s="8" t="s">
        <v>234</v>
      </c>
      <c r="AA84" s="8" t="s">
        <v>440</v>
      </c>
      <c r="AB84" s="8" t="s">
        <v>234</v>
      </c>
      <c r="AC84" s="8" t="s">
        <v>441</v>
      </c>
      <c r="AD84" s="8" t="s">
        <v>234</v>
      </c>
      <c r="AE84" s="8"/>
      <c r="AF84" s="8"/>
      <c r="AG84" s="8"/>
      <c r="AH84" s="8"/>
      <c r="AI84" s="8"/>
    </row>
    <row r="85" customFormat="false" ht="26.85" hidden="false" customHeight="false" outlineLevel="0" collapsed="false">
      <c r="A85" s="8" t="s">
        <v>4</v>
      </c>
      <c r="B85" s="8" t="s">
        <v>8</v>
      </c>
      <c r="C85" s="8" t="n">
        <v>13</v>
      </c>
      <c r="D85" s="8" t="s">
        <v>6</v>
      </c>
      <c r="E85" s="8" t="s">
        <v>273</v>
      </c>
      <c r="F85" s="8"/>
      <c r="G85" s="8"/>
      <c r="H85" s="8"/>
      <c r="I85" s="8"/>
      <c r="J85" s="8" t="s">
        <v>195</v>
      </c>
      <c r="K85" s="8"/>
      <c r="L85" s="8"/>
      <c r="M85" s="8"/>
      <c r="N85" s="8"/>
      <c r="O85" s="8"/>
      <c r="P85" s="8"/>
      <c r="Q85" s="8"/>
      <c r="R85" s="8"/>
      <c r="S85" s="8"/>
      <c r="T85" s="8" t="s">
        <v>126</v>
      </c>
      <c r="U85" s="8" t="s">
        <v>274</v>
      </c>
      <c r="V85" s="8" t="s">
        <v>275</v>
      </c>
      <c r="W85" s="8" t="s">
        <v>442</v>
      </c>
      <c r="X85" s="8" t="s">
        <v>234</v>
      </c>
      <c r="Y85" s="8" t="s">
        <v>443</v>
      </c>
      <c r="Z85" s="8" t="s">
        <v>234</v>
      </c>
      <c r="AA85" s="8" t="s">
        <v>444</v>
      </c>
      <c r="AB85" s="8" t="s">
        <v>234</v>
      </c>
      <c r="AC85" s="8" t="s">
        <v>445</v>
      </c>
      <c r="AD85" s="8" t="s">
        <v>234</v>
      </c>
      <c r="AE85" s="8"/>
      <c r="AF85" s="8"/>
      <c r="AG85" s="8"/>
      <c r="AH85" s="8"/>
      <c r="AI85" s="8"/>
    </row>
    <row r="86" customFormat="false" ht="15" hidden="false" customHeight="false" outlineLevel="0" collapsed="false">
      <c r="A86" s="8" t="s">
        <v>4</v>
      </c>
      <c r="B86" s="8" t="s">
        <v>8</v>
      </c>
      <c r="C86" s="8" t="n">
        <v>13</v>
      </c>
      <c r="D86" s="8" t="s">
        <v>6</v>
      </c>
      <c r="E86" s="8" t="s">
        <v>273</v>
      </c>
      <c r="F86" s="8"/>
      <c r="G86" s="8"/>
      <c r="H86" s="8"/>
      <c r="I86" s="8"/>
      <c r="J86" s="8" t="s">
        <v>195</v>
      </c>
      <c r="K86" s="8"/>
      <c r="L86" s="8"/>
      <c r="M86" s="8"/>
      <c r="N86" s="8"/>
      <c r="O86" s="8"/>
      <c r="P86" s="8"/>
      <c r="Q86" s="8"/>
      <c r="R86" s="8"/>
      <c r="S86" s="8"/>
      <c r="T86" s="8" t="s">
        <v>127</v>
      </c>
      <c r="U86" s="8" t="s">
        <v>280</v>
      </c>
      <c r="V86" s="8" t="s">
        <v>281</v>
      </c>
      <c r="W86" s="8" t="s">
        <v>446</v>
      </c>
      <c r="X86" s="8" t="s">
        <v>234</v>
      </c>
      <c r="Y86" s="8" t="s">
        <v>447</v>
      </c>
      <c r="Z86" s="8" t="s">
        <v>234</v>
      </c>
      <c r="AA86" s="8" t="s">
        <v>448</v>
      </c>
      <c r="AB86" s="8" t="s">
        <v>234</v>
      </c>
      <c r="AC86" s="8" t="s">
        <v>449</v>
      </c>
      <c r="AD86" s="8" t="s">
        <v>234</v>
      </c>
      <c r="AE86" s="8"/>
      <c r="AF86" s="8"/>
      <c r="AG86" s="8"/>
      <c r="AH86" s="8"/>
      <c r="AI86" s="8"/>
    </row>
    <row r="87" customFormat="false" ht="15" hidden="false" customHeight="false" outlineLevel="0" collapsed="false">
      <c r="A87" s="8" t="s">
        <v>4</v>
      </c>
      <c r="B87" s="8" t="s">
        <v>8</v>
      </c>
      <c r="C87" s="8" t="n">
        <v>13</v>
      </c>
      <c r="D87" s="8" t="s">
        <v>6</v>
      </c>
      <c r="E87" s="8" t="s">
        <v>273</v>
      </c>
      <c r="F87" s="8"/>
      <c r="G87" s="8"/>
      <c r="H87" s="8"/>
      <c r="I87" s="8"/>
      <c r="J87" s="8" t="s">
        <v>195</v>
      </c>
      <c r="K87" s="8"/>
      <c r="L87" s="8"/>
      <c r="M87" s="8"/>
      <c r="N87" s="8"/>
      <c r="O87" s="8"/>
      <c r="P87" s="8"/>
      <c r="Q87" s="8"/>
      <c r="R87" s="8"/>
      <c r="S87" s="8"/>
      <c r="T87" s="8" t="s">
        <v>128</v>
      </c>
      <c r="U87" s="8" t="s">
        <v>286</v>
      </c>
      <c r="V87" s="8" t="s">
        <v>287</v>
      </c>
      <c r="W87" s="8" t="s">
        <v>450</v>
      </c>
      <c r="X87" s="8" t="s">
        <v>234</v>
      </c>
      <c r="Y87" s="8" t="s">
        <v>451</v>
      </c>
      <c r="Z87" s="8" t="s">
        <v>234</v>
      </c>
      <c r="AA87" s="8" t="s">
        <v>452</v>
      </c>
      <c r="AB87" s="8" t="s">
        <v>234</v>
      </c>
      <c r="AC87" s="8" t="s">
        <v>453</v>
      </c>
      <c r="AD87" s="8" t="s">
        <v>234</v>
      </c>
      <c r="AE87" s="8"/>
      <c r="AF87" s="8"/>
      <c r="AG87" s="8"/>
      <c r="AH87" s="8"/>
      <c r="AI87" s="8"/>
    </row>
    <row r="88" customFormat="false" ht="15" hidden="false" customHeight="false" outlineLevel="0" collapsed="false">
      <c r="A88" s="8" t="s">
        <v>4</v>
      </c>
      <c r="B88" s="8" t="s">
        <v>8</v>
      </c>
      <c r="C88" s="8" t="n">
        <v>13</v>
      </c>
      <c r="D88" s="8" t="s">
        <v>6</v>
      </c>
      <c r="E88" s="8" t="s">
        <v>273</v>
      </c>
      <c r="F88" s="8"/>
      <c r="G88" s="8"/>
      <c r="H88" s="8"/>
      <c r="I88" s="8"/>
      <c r="J88" s="8" t="s">
        <v>195</v>
      </c>
      <c r="K88" s="8"/>
      <c r="L88" s="8"/>
      <c r="M88" s="8"/>
      <c r="N88" s="8"/>
      <c r="O88" s="8"/>
      <c r="P88" s="8"/>
      <c r="Q88" s="8"/>
      <c r="R88" s="8"/>
      <c r="S88" s="8"/>
      <c r="T88" s="8" t="s">
        <v>129</v>
      </c>
      <c r="U88" s="8" t="s">
        <v>292</v>
      </c>
      <c r="V88" s="8" t="s">
        <v>293</v>
      </c>
      <c r="W88" s="8" t="s">
        <v>454</v>
      </c>
      <c r="X88" s="8" t="s">
        <v>234</v>
      </c>
      <c r="Y88" s="8" t="s">
        <v>455</v>
      </c>
      <c r="Z88" s="8" t="s">
        <v>234</v>
      </c>
      <c r="AA88" s="8" t="s">
        <v>456</v>
      </c>
      <c r="AB88" s="8" t="s">
        <v>234</v>
      </c>
      <c r="AC88" s="8" t="s">
        <v>457</v>
      </c>
      <c r="AD88" s="8" t="s">
        <v>234</v>
      </c>
      <c r="AE88" s="8"/>
      <c r="AF88" s="8"/>
      <c r="AG88" s="8"/>
      <c r="AH88" s="8"/>
      <c r="AI88" s="8"/>
    </row>
    <row r="89" customFormat="false" ht="26.85" hidden="false" customHeight="false" outlineLevel="0" collapsed="false">
      <c r="A89" s="8" t="s">
        <v>4</v>
      </c>
      <c r="B89" s="8" t="s">
        <v>8</v>
      </c>
      <c r="C89" s="8" t="n">
        <v>13</v>
      </c>
      <c r="D89" s="8" t="s">
        <v>6</v>
      </c>
      <c r="E89" s="8" t="s">
        <v>273</v>
      </c>
      <c r="F89" s="8"/>
      <c r="G89" s="8"/>
      <c r="H89" s="8"/>
      <c r="I89" s="8"/>
      <c r="J89" s="8" t="s">
        <v>195</v>
      </c>
      <c r="K89" s="8"/>
      <c r="L89" s="8"/>
      <c r="M89" s="8"/>
      <c r="N89" s="8"/>
      <c r="O89" s="8"/>
      <c r="P89" s="8"/>
      <c r="Q89" s="8"/>
      <c r="R89" s="8"/>
      <c r="S89" s="8"/>
      <c r="T89" s="8" t="s">
        <v>130</v>
      </c>
      <c r="U89" s="8" t="s">
        <v>298</v>
      </c>
      <c r="V89" s="8" t="s">
        <v>299</v>
      </c>
      <c r="W89" s="8" t="s">
        <v>458</v>
      </c>
      <c r="X89" s="8" t="s">
        <v>234</v>
      </c>
      <c r="Y89" s="8" t="s">
        <v>459</v>
      </c>
      <c r="Z89" s="8" t="s">
        <v>234</v>
      </c>
      <c r="AA89" s="8" t="s">
        <v>460</v>
      </c>
      <c r="AB89" s="8" t="s">
        <v>234</v>
      </c>
      <c r="AC89" s="8" t="s">
        <v>461</v>
      </c>
      <c r="AD89" s="8" t="s">
        <v>234</v>
      </c>
      <c r="AE89" s="8"/>
      <c r="AF89" s="8"/>
      <c r="AG89" s="8"/>
      <c r="AH89" s="8"/>
      <c r="AI89" s="8"/>
    </row>
    <row r="90" customFormat="false" ht="26.85" hidden="false" customHeight="false" outlineLevel="0" collapsed="false">
      <c r="A90" s="8" t="s">
        <v>4</v>
      </c>
      <c r="B90" s="8" t="s">
        <v>8</v>
      </c>
      <c r="C90" s="8" t="n">
        <v>13</v>
      </c>
      <c r="D90" s="8" t="s">
        <v>6</v>
      </c>
      <c r="E90" s="8" t="s">
        <v>273</v>
      </c>
      <c r="F90" s="8"/>
      <c r="G90" s="8"/>
      <c r="H90" s="8"/>
      <c r="I90" s="8"/>
      <c r="J90" s="8" t="s">
        <v>195</v>
      </c>
      <c r="K90" s="8"/>
      <c r="L90" s="8"/>
      <c r="M90" s="8"/>
      <c r="N90" s="8"/>
      <c r="O90" s="8"/>
      <c r="P90" s="8"/>
      <c r="Q90" s="8"/>
      <c r="R90" s="8"/>
      <c r="S90" s="8"/>
      <c r="T90" s="8" t="s">
        <v>131</v>
      </c>
      <c r="U90" s="8" t="s">
        <v>304</v>
      </c>
      <c r="V90" s="8" t="s">
        <v>305</v>
      </c>
      <c r="W90" s="8" t="s">
        <v>462</v>
      </c>
      <c r="X90" s="8" t="s">
        <v>234</v>
      </c>
      <c r="Y90" s="8" t="s">
        <v>463</v>
      </c>
      <c r="Z90" s="8" t="s">
        <v>234</v>
      </c>
      <c r="AA90" s="8" t="s">
        <v>464</v>
      </c>
      <c r="AB90" s="8" t="s">
        <v>234</v>
      </c>
      <c r="AC90" s="8" t="s">
        <v>465</v>
      </c>
      <c r="AD90" s="8" t="s">
        <v>234</v>
      </c>
      <c r="AE90" s="8"/>
      <c r="AF90" s="8"/>
      <c r="AG90" s="8"/>
      <c r="AH90" s="8"/>
      <c r="AI90" s="8"/>
    </row>
    <row r="91" customFormat="false" ht="15" hidden="false" customHeight="false" outlineLevel="0" collapsed="false">
      <c r="A91" s="8" t="s">
        <v>4</v>
      </c>
      <c r="B91" s="8" t="s">
        <v>8</v>
      </c>
      <c r="C91" s="8" t="n">
        <v>13</v>
      </c>
      <c r="D91" s="8" t="s">
        <v>6</v>
      </c>
      <c r="E91" s="8" t="s">
        <v>273</v>
      </c>
      <c r="F91" s="8"/>
      <c r="G91" s="8"/>
      <c r="H91" s="8"/>
      <c r="I91" s="8"/>
      <c r="J91" s="8" t="s">
        <v>195</v>
      </c>
      <c r="K91" s="8"/>
      <c r="L91" s="8"/>
      <c r="M91" s="8"/>
      <c r="N91" s="8"/>
      <c r="O91" s="8"/>
      <c r="P91" s="8"/>
      <c r="Q91" s="8"/>
      <c r="R91" s="8"/>
      <c r="S91" s="8"/>
      <c r="T91" s="8" t="s">
        <v>132</v>
      </c>
      <c r="U91" s="8" t="s">
        <v>310</v>
      </c>
      <c r="V91" s="8" t="s">
        <v>311</v>
      </c>
      <c r="W91" s="8" t="s">
        <v>466</v>
      </c>
      <c r="X91" s="8" t="s">
        <v>234</v>
      </c>
      <c r="Y91" s="8" t="s">
        <v>467</v>
      </c>
      <c r="Z91" s="8" t="s">
        <v>234</v>
      </c>
      <c r="AA91" s="8" t="s">
        <v>468</v>
      </c>
      <c r="AB91" s="8" t="s">
        <v>234</v>
      </c>
      <c r="AC91" s="8" t="s">
        <v>469</v>
      </c>
      <c r="AD91" s="8" t="s">
        <v>234</v>
      </c>
      <c r="AE91" s="8"/>
      <c r="AF91" s="8"/>
      <c r="AG91" s="8"/>
      <c r="AH91" s="8"/>
      <c r="AI91" s="8"/>
    </row>
    <row r="92" customFormat="false" ht="15" hidden="false" customHeight="false" outlineLevel="0" collapsed="false">
      <c r="A92" s="8" t="s">
        <v>4</v>
      </c>
      <c r="B92" s="8" t="s">
        <v>8</v>
      </c>
      <c r="C92" s="8" t="n">
        <v>13</v>
      </c>
      <c r="D92" s="8" t="s">
        <v>6</v>
      </c>
      <c r="E92" s="8" t="s">
        <v>273</v>
      </c>
      <c r="F92" s="8"/>
      <c r="G92" s="8"/>
      <c r="H92" s="8"/>
      <c r="I92" s="8"/>
      <c r="J92" s="8" t="s">
        <v>195</v>
      </c>
      <c r="K92" s="8"/>
      <c r="L92" s="8"/>
      <c r="M92" s="8"/>
      <c r="N92" s="8"/>
      <c r="O92" s="8"/>
      <c r="P92" s="8"/>
      <c r="Q92" s="8"/>
      <c r="R92" s="8"/>
      <c r="S92" s="8"/>
      <c r="T92" s="8" t="s">
        <v>133</v>
      </c>
      <c r="U92" s="8" t="s">
        <v>316</v>
      </c>
      <c r="V92" s="8" t="s">
        <v>317</v>
      </c>
      <c r="W92" s="8" t="s">
        <v>470</v>
      </c>
      <c r="X92" s="8" t="s">
        <v>234</v>
      </c>
      <c r="Y92" s="8" t="s">
        <v>471</v>
      </c>
      <c r="Z92" s="8" t="s">
        <v>234</v>
      </c>
      <c r="AA92" s="8" t="s">
        <v>472</v>
      </c>
      <c r="AB92" s="8" t="s">
        <v>234</v>
      </c>
      <c r="AC92" s="8" t="s">
        <v>473</v>
      </c>
      <c r="AD92" s="8" t="s">
        <v>234</v>
      </c>
      <c r="AE92" s="8"/>
      <c r="AF92" s="8"/>
      <c r="AG92" s="8"/>
      <c r="AH92" s="8"/>
      <c r="AI92" s="8"/>
    </row>
    <row r="93" customFormat="false" ht="26.85" hidden="false" customHeight="false" outlineLevel="0" collapsed="false">
      <c r="A93" s="8" t="s">
        <v>4</v>
      </c>
      <c r="B93" s="8" t="s">
        <v>8</v>
      </c>
      <c r="C93" s="8" t="n">
        <v>13</v>
      </c>
      <c r="D93" s="8" t="s">
        <v>6</v>
      </c>
      <c r="E93" s="8" t="s">
        <v>273</v>
      </c>
      <c r="F93" s="8"/>
      <c r="G93" s="8"/>
      <c r="H93" s="8"/>
      <c r="I93" s="8"/>
      <c r="J93" s="8" t="s">
        <v>195</v>
      </c>
      <c r="K93" s="8"/>
      <c r="L93" s="8"/>
      <c r="M93" s="8"/>
      <c r="N93" s="8"/>
      <c r="O93" s="8"/>
      <c r="P93" s="8"/>
      <c r="Q93" s="8"/>
      <c r="R93" s="8"/>
      <c r="S93" s="8"/>
      <c r="T93" s="8" t="s">
        <v>134</v>
      </c>
      <c r="U93" s="8" t="s">
        <v>322</v>
      </c>
      <c r="V93" s="8" t="s">
        <v>323</v>
      </c>
      <c r="W93" s="8" t="s">
        <v>474</v>
      </c>
      <c r="X93" s="8" t="s">
        <v>234</v>
      </c>
      <c r="Y93" s="8" t="s">
        <v>475</v>
      </c>
      <c r="Z93" s="8" t="s">
        <v>234</v>
      </c>
      <c r="AA93" s="8" t="s">
        <v>476</v>
      </c>
      <c r="AB93" s="8" t="s">
        <v>234</v>
      </c>
      <c r="AC93" s="8" t="s">
        <v>477</v>
      </c>
      <c r="AD93" s="8" t="s">
        <v>234</v>
      </c>
      <c r="AE93" s="8"/>
      <c r="AF93" s="8"/>
      <c r="AG93" s="8"/>
      <c r="AH93" s="8"/>
      <c r="AI93" s="8"/>
    </row>
    <row r="94" customFormat="false" ht="26.85" hidden="false" customHeight="false" outlineLevel="0" collapsed="false">
      <c r="A94" s="8" t="s">
        <v>4</v>
      </c>
      <c r="B94" s="8" t="s">
        <v>8</v>
      </c>
      <c r="C94" s="8" t="n">
        <v>13</v>
      </c>
      <c r="D94" s="8" t="s">
        <v>6</v>
      </c>
      <c r="E94" s="8" t="s">
        <v>273</v>
      </c>
      <c r="F94" s="8"/>
      <c r="G94" s="8"/>
      <c r="H94" s="8"/>
      <c r="I94" s="8"/>
      <c r="J94" s="8" t="s">
        <v>195</v>
      </c>
      <c r="K94" s="8"/>
      <c r="L94" s="8"/>
      <c r="M94" s="8"/>
      <c r="N94" s="8"/>
      <c r="O94" s="8"/>
      <c r="P94" s="8"/>
      <c r="Q94" s="8"/>
      <c r="R94" s="8"/>
      <c r="S94" s="8"/>
      <c r="T94" s="8" t="s">
        <v>135</v>
      </c>
      <c r="U94" s="8" t="s">
        <v>328</v>
      </c>
      <c r="V94" s="8" t="s">
        <v>329</v>
      </c>
      <c r="W94" s="8" t="s">
        <v>478</v>
      </c>
      <c r="X94" s="8" t="s">
        <v>234</v>
      </c>
      <c r="Y94" s="8" t="s">
        <v>479</v>
      </c>
      <c r="Z94" s="8" t="s">
        <v>234</v>
      </c>
      <c r="AA94" s="8" t="s">
        <v>480</v>
      </c>
      <c r="AB94" s="8" t="s">
        <v>234</v>
      </c>
      <c r="AC94" s="8" t="s">
        <v>481</v>
      </c>
      <c r="AD94" s="8" t="s">
        <v>234</v>
      </c>
      <c r="AE94" s="8"/>
      <c r="AF94" s="8"/>
      <c r="AG94" s="8"/>
      <c r="AH94" s="8"/>
      <c r="AI94" s="8"/>
    </row>
    <row r="95" customFormat="false" ht="26.85" hidden="false" customHeight="false" outlineLevel="0" collapsed="false">
      <c r="A95" s="8" t="s">
        <v>4</v>
      </c>
      <c r="B95" s="8" t="s">
        <v>8</v>
      </c>
      <c r="C95" s="8" t="n">
        <v>13</v>
      </c>
      <c r="D95" s="8" t="s">
        <v>6</v>
      </c>
      <c r="E95" s="8" t="s">
        <v>273</v>
      </c>
      <c r="F95" s="8"/>
      <c r="G95" s="8"/>
      <c r="H95" s="8"/>
      <c r="I95" s="8"/>
      <c r="J95" s="8" t="s">
        <v>195</v>
      </c>
      <c r="K95" s="8"/>
      <c r="L95" s="8"/>
      <c r="M95" s="8"/>
      <c r="N95" s="8"/>
      <c r="O95" s="8"/>
      <c r="P95" s="8"/>
      <c r="Q95" s="8"/>
      <c r="R95" s="8"/>
      <c r="S95" s="8"/>
      <c r="T95" s="8" t="s">
        <v>136</v>
      </c>
      <c r="U95" s="8" t="s">
        <v>334</v>
      </c>
      <c r="V95" s="8" t="s">
        <v>335</v>
      </c>
      <c r="W95" s="8" t="s">
        <v>482</v>
      </c>
      <c r="X95" s="8" t="s">
        <v>234</v>
      </c>
      <c r="Y95" s="8" t="s">
        <v>483</v>
      </c>
      <c r="Z95" s="8" t="s">
        <v>234</v>
      </c>
      <c r="AA95" s="8" t="s">
        <v>484</v>
      </c>
      <c r="AB95" s="8" t="s">
        <v>234</v>
      </c>
      <c r="AC95" s="8" t="s">
        <v>485</v>
      </c>
      <c r="AD95" s="8" t="s">
        <v>234</v>
      </c>
      <c r="AE95" s="8"/>
      <c r="AF95" s="8"/>
      <c r="AG95" s="8"/>
      <c r="AH95" s="8"/>
      <c r="AI95" s="8"/>
    </row>
    <row r="96" customFormat="false" ht="26.85" hidden="false" customHeight="false" outlineLevel="0" collapsed="false">
      <c r="A96" s="8" t="s">
        <v>4</v>
      </c>
      <c r="B96" s="8" t="s">
        <v>8</v>
      </c>
      <c r="C96" s="8" t="n">
        <v>13</v>
      </c>
      <c r="D96" s="8" t="s">
        <v>6</v>
      </c>
      <c r="E96" s="8" t="s">
        <v>273</v>
      </c>
      <c r="F96" s="8"/>
      <c r="G96" s="8"/>
      <c r="H96" s="8"/>
      <c r="I96" s="8"/>
      <c r="J96" s="8" t="s">
        <v>195</v>
      </c>
      <c r="K96" s="8"/>
      <c r="L96" s="8"/>
      <c r="M96" s="8"/>
      <c r="N96" s="8"/>
      <c r="O96" s="8"/>
      <c r="P96" s="8"/>
      <c r="Q96" s="8"/>
      <c r="R96" s="8"/>
      <c r="S96" s="8"/>
      <c r="T96" s="8" t="s">
        <v>137</v>
      </c>
      <c r="U96" s="8" t="s">
        <v>340</v>
      </c>
      <c r="V96" s="8" t="s">
        <v>341</v>
      </c>
      <c r="W96" s="8" t="s">
        <v>486</v>
      </c>
      <c r="X96" s="8" t="s">
        <v>234</v>
      </c>
      <c r="Y96" s="8" t="s">
        <v>487</v>
      </c>
      <c r="Z96" s="8" t="s">
        <v>234</v>
      </c>
      <c r="AA96" s="8" t="s">
        <v>488</v>
      </c>
      <c r="AB96" s="8" t="s">
        <v>234</v>
      </c>
      <c r="AC96" s="8" t="s">
        <v>489</v>
      </c>
      <c r="AD96" s="8" t="s">
        <v>234</v>
      </c>
      <c r="AE96" s="8"/>
      <c r="AF96" s="8"/>
      <c r="AG96" s="8"/>
      <c r="AH96" s="8"/>
      <c r="AI96" s="8"/>
    </row>
    <row r="97" customFormat="false" ht="26.85" hidden="false" customHeight="false" outlineLevel="0" collapsed="false">
      <c r="A97" s="8" t="s">
        <v>4</v>
      </c>
      <c r="B97" s="8" t="s">
        <v>8</v>
      </c>
      <c r="C97" s="8" t="n">
        <v>13</v>
      </c>
      <c r="D97" s="8" t="s">
        <v>6</v>
      </c>
      <c r="E97" s="8" t="s">
        <v>273</v>
      </c>
      <c r="F97" s="8"/>
      <c r="G97" s="8"/>
      <c r="H97" s="8"/>
      <c r="I97" s="8"/>
      <c r="J97" s="8" t="s">
        <v>197</v>
      </c>
      <c r="K97" s="8"/>
      <c r="L97" s="8"/>
      <c r="M97" s="8"/>
      <c r="N97" s="8"/>
      <c r="O97" s="8"/>
      <c r="P97" s="8"/>
      <c r="Q97" s="8"/>
      <c r="R97" s="8"/>
      <c r="S97" s="8"/>
      <c r="T97" s="8" t="s">
        <v>126</v>
      </c>
      <c r="U97" s="8" t="s">
        <v>274</v>
      </c>
      <c r="V97" s="8" t="s">
        <v>275</v>
      </c>
      <c r="W97" s="8" t="s">
        <v>276</v>
      </c>
      <c r="X97" s="8" t="s">
        <v>234</v>
      </c>
      <c r="Y97" s="8" t="s">
        <v>277</v>
      </c>
      <c r="Z97" s="8" t="s">
        <v>234</v>
      </c>
      <c r="AA97" s="8" t="s">
        <v>278</v>
      </c>
      <c r="AB97" s="8" t="s">
        <v>234</v>
      </c>
      <c r="AC97" s="8" t="s">
        <v>279</v>
      </c>
      <c r="AD97" s="8" t="s">
        <v>234</v>
      </c>
      <c r="AE97" s="8"/>
      <c r="AF97" s="8"/>
      <c r="AG97" s="8"/>
      <c r="AH97" s="8"/>
      <c r="AI97" s="8"/>
    </row>
    <row r="98" customFormat="false" ht="26.85" hidden="false" customHeight="false" outlineLevel="0" collapsed="false">
      <c r="A98" s="8" t="s">
        <v>4</v>
      </c>
      <c r="B98" s="8" t="s">
        <v>8</v>
      </c>
      <c r="C98" s="8" t="n">
        <v>13</v>
      </c>
      <c r="D98" s="8" t="s">
        <v>6</v>
      </c>
      <c r="E98" s="8" t="s">
        <v>273</v>
      </c>
      <c r="F98" s="8"/>
      <c r="G98" s="8"/>
      <c r="H98" s="8"/>
      <c r="I98" s="8"/>
      <c r="J98" s="8" t="s">
        <v>197</v>
      </c>
      <c r="K98" s="8"/>
      <c r="L98" s="8"/>
      <c r="M98" s="8"/>
      <c r="N98" s="8"/>
      <c r="O98" s="8"/>
      <c r="P98" s="8"/>
      <c r="Q98" s="8"/>
      <c r="R98" s="8"/>
      <c r="S98" s="8"/>
      <c r="T98" s="8" t="s">
        <v>127</v>
      </c>
      <c r="U98" s="8" t="s">
        <v>280</v>
      </c>
      <c r="V98" s="8" t="s">
        <v>281</v>
      </c>
      <c r="W98" s="8" t="s">
        <v>282</v>
      </c>
      <c r="X98" s="8" t="s">
        <v>234</v>
      </c>
      <c r="Y98" s="8" t="s">
        <v>283</v>
      </c>
      <c r="Z98" s="8" t="s">
        <v>234</v>
      </c>
      <c r="AA98" s="8" t="s">
        <v>284</v>
      </c>
      <c r="AB98" s="8" t="s">
        <v>234</v>
      </c>
      <c r="AC98" s="8" t="s">
        <v>285</v>
      </c>
      <c r="AD98" s="8" t="s">
        <v>234</v>
      </c>
      <c r="AE98" s="8"/>
      <c r="AF98" s="8"/>
      <c r="AG98" s="8"/>
      <c r="AH98" s="8"/>
      <c r="AI98" s="8"/>
    </row>
    <row r="99" customFormat="false" ht="26.85" hidden="false" customHeight="false" outlineLevel="0" collapsed="false">
      <c r="A99" s="8" t="s">
        <v>4</v>
      </c>
      <c r="B99" s="8" t="s">
        <v>8</v>
      </c>
      <c r="C99" s="8" t="n">
        <v>13</v>
      </c>
      <c r="D99" s="8" t="s">
        <v>6</v>
      </c>
      <c r="E99" s="8" t="s">
        <v>273</v>
      </c>
      <c r="F99" s="8"/>
      <c r="G99" s="8"/>
      <c r="H99" s="8"/>
      <c r="I99" s="8"/>
      <c r="J99" s="8" t="s">
        <v>197</v>
      </c>
      <c r="K99" s="8"/>
      <c r="L99" s="8"/>
      <c r="M99" s="8"/>
      <c r="N99" s="8"/>
      <c r="O99" s="8"/>
      <c r="P99" s="8"/>
      <c r="Q99" s="8"/>
      <c r="R99" s="8"/>
      <c r="S99" s="8"/>
      <c r="T99" s="8" t="s">
        <v>128</v>
      </c>
      <c r="U99" s="8" t="s">
        <v>286</v>
      </c>
      <c r="V99" s="8" t="s">
        <v>287</v>
      </c>
      <c r="W99" s="8" t="s">
        <v>288</v>
      </c>
      <c r="X99" s="8" t="s">
        <v>234</v>
      </c>
      <c r="Y99" s="8" t="s">
        <v>289</v>
      </c>
      <c r="Z99" s="8" t="s">
        <v>234</v>
      </c>
      <c r="AA99" s="8" t="s">
        <v>290</v>
      </c>
      <c r="AB99" s="8" t="s">
        <v>234</v>
      </c>
      <c r="AC99" s="8" t="s">
        <v>291</v>
      </c>
      <c r="AD99" s="8" t="s">
        <v>234</v>
      </c>
      <c r="AE99" s="8"/>
      <c r="AF99" s="8"/>
      <c r="AG99" s="8"/>
      <c r="AH99" s="8"/>
      <c r="AI99" s="8"/>
    </row>
    <row r="100" customFormat="false" ht="26.85" hidden="false" customHeight="false" outlineLevel="0" collapsed="false">
      <c r="A100" s="8" t="s">
        <v>4</v>
      </c>
      <c r="B100" s="8" t="s">
        <v>8</v>
      </c>
      <c r="C100" s="8" t="n">
        <v>13</v>
      </c>
      <c r="D100" s="8" t="s">
        <v>6</v>
      </c>
      <c r="E100" s="8" t="s">
        <v>273</v>
      </c>
      <c r="F100" s="8"/>
      <c r="G100" s="8"/>
      <c r="H100" s="8"/>
      <c r="I100" s="8"/>
      <c r="J100" s="8" t="s">
        <v>197</v>
      </c>
      <c r="K100" s="8"/>
      <c r="L100" s="8"/>
      <c r="M100" s="8"/>
      <c r="N100" s="8"/>
      <c r="O100" s="8"/>
      <c r="P100" s="8"/>
      <c r="Q100" s="8"/>
      <c r="R100" s="8"/>
      <c r="S100" s="8"/>
      <c r="T100" s="8" t="s">
        <v>129</v>
      </c>
      <c r="U100" s="8" t="s">
        <v>292</v>
      </c>
      <c r="V100" s="8" t="s">
        <v>293</v>
      </c>
      <c r="W100" s="8" t="s">
        <v>294</v>
      </c>
      <c r="X100" s="8" t="s">
        <v>234</v>
      </c>
      <c r="Y100" s="8" t="s">
        <v>295</v>
      </c>
      <c r="Z100" s="8" t="s">
        <v>234</v>
      </c>
      <c r="AA100" s="8" t="s">
        <v>296</v>
      </c>
      <c r="AB100" s="8" t="s">
        <v>234</v>
      </c>
      <c r="AC100" s="8" t="s">
        <v>297</v>
      </c>
      <c r="AD100" s="8" t="s">
        <v>234</v>
      </c>
      <c r="AE100" s="8"/>
      <c r="AF100" s="8"/>
      <c r="AG100" s="8"/>
      <c r="AH100" s="8"/>
      <c r="AI100" s="8"/>
    </row>
    <row r="101" customFormat="false" ht="26.85" hidden="false" customHeight="false" outlineLevel="0" collapsed="false">
      <c r="A101" s="8" t="s">
        <v>4</v>
      </c>
      <c r="B101" s="8" t="s">
        <v>8</v>
      </c>
      <c r="C101" s="8" t="n">
        <v>13</v>
      </c>
      <c r="D101" s="8" t="s">
        <v>6</v>
      </c>
      <c r="E101" s="8" t="s">
        <v>273</v>
      </c>
      <c r="F101" s="8"/>
      <c r="G101" s="8"/>
      <c r="H101" s="8"/>
      <c r="I101" s="8"/>
      <c r="J101" s="8" t="s">
        <v>197</v>
      </c>
      <c r="K101" s="8"/>
      <c r="L101" s="8"/>
      <c r="M101" s="8"/>
      <c r="N101" s="8"/>
      <c r="O101" s="8"/>
      <c r="P101" s="8"/>
      <c r="Q101" s="8"/>
      <c r="R101" s="8"/>
      <c r="S101" s="8"/>
      <c r="T101" s="8" t="s">
        <v>130</v>
      </c>
      <c r="U101" s="8" t="s">
        <v>298</v>
      </c>
      <c r="V101" s="8" t="s">
        <v>299</v>
      </c>
      <c r="W101" s="8" t="s">
        <v>300</v>
      </c>
      <c r="X101" s="8" t="s">
        <v>234</v>
      </c>
      <c r="Y101" s="8" t="s">
        <v>301</v>
      </c>
      <c r="Z101" s="8" t="s">
        <v>234</v>
      </c>
      <c r="AA101" s="8" t="s">
        <v>302</v>
      </c>
      <c r="AB101" s="8" t="s">
        <v>234</v>
      </c>
      <c r="AC101" s="8" t="s">
        <v>303</v>
      </c>
      <c r="AD101" s="8" t="s">
        <v>234</v>
      </c>
      <c r="AE101" s="8"/>
      <c r="AF101" s="8"/>
      <c r="AG101" s="8"/>
      <c r="AH101" s="8"/>
      <c r="AI101" s="8"/>
    </row>
    <row r="102" customFormat="false" ht="26.85" hidden="false" customHeight="false" outlineLevel="0" collapsed="false">
      <c r="A102" s="8" t="s">
        <v>4</v>
      </c>
      <c r="B102" s="8" t="s">
        <v>8</v>
      </c>
      <c r="C102" s="8" t="n">
        <v>13</v>
      </c>
      <c r="D102" s="8" t="s">
        <v>6</v>
      </c>
      <c r="E102" s="8" t="s">
        <v>273</v>
      </c>
      <c r="F102" s="8"/>
      <c r="G102" s="8"/>
      <c r="H102" s="8"/>
      <c r="I102" s="8"/>
      <c r="J102" s="8" t="s">
        <v>197</v>
      </c>
      <c r="K102" s="8"/>
      <c r="L102" s="8"/>
      <c r="M102" s="8"/>
      <c r="N102" s="8"/>
      <c r="O102" s="8"/>
      <c r="P102" s="8"/>
      <c r="Q102" s="8"/>
      <c r="R102" s="8"/>
      <c r="S102" s="8"/>
      <c r="T102" s="8" t="s">
        <v>131</v>
      </c>
      <c r="U102" s="8" t="s">
        <v>304</v>
      </c>
      <c r="V102" s="8" t="s">
        <v>305</v>
      </c>
      <c r="W102" s="8" t="s">
        <v>306</v>
      </c>
      <c r="X102" s="8" t="s">
        <v>234</v>
      </c>
      <c r="Y102" s="8" t="s">
        <v>307</v>
      </c>
      <c r="Z102" s="8" t="s">
        <v>234</v>
      </c>
      <c r="AA102" s="8" t="s">
        <v>308</v>
      </c>
      <c r="AB102" s="8" t="s">
        <v>234</v>
      </c>
      <c r="AC102" s="8" t="s">
        <v>309</v>
      </c>
      <c r="AD102" s="8" t="s">
        <v>234</v>
      </c>
      <c r="AE102" s="8"/>
      <c r="AF102" s="8"/>
      <c r="AG102" s="8"/>
      <c r="AH102" s="8"/>
      <c r="AI102" s="8"/>
    </row>
    <row r="103" customFormat="false" ht="26.85" hidden="false" customHeight="false" outlineLevel="0" collapsed="false">
      <c r="A103" s="8" t="s">
        <v>4</v>
      </c>
      <c r="B103" s="8" t="s">
        <v>8</v>
      </c>
      <c r="C103" s="8" t="n">
        <v>13</v>
      </c>
      <c r="D103" s="8" t="s">
        <v>6</v>
      </c>
      <c r="E103" s="8" t="s">
        <v>273</v>
      </c>
      <c r="F103" s="8"/>
      <c r="G103" s="8"/>
      <c r="H103" s="8"/>
      <c r="I103" s="8"/>
      <c r="J103" s="8" t="s">
        <v>197</v>
      </c>
      <c r="K103" s="8"/>
      <c r="L103" s="8"/>
      <c r="M103" s="8"/>
      <c r="N103" s="8"/>
      <c r="O103" s="8"/>
      <c r="P103" s="8"/>
      <c r="Q103" s="8"/>
      <c r="R103" s="8"/>
      <c r="S103" s="8"/>
      <c r="T103" s="8" t="s">
        <v>132</v>
      </c>
      <c r="U103" s="8" t="s">
        <v>310</v>
      </c>
      <c r="V103" s="8" t="s">
        <v>311</v>
      </c>
      <c r="W103" s="8" t="s">
        <v>312</v>
      </c>
      <c r="X103" s="8" t="s">
        <v>234</v>
      </c>
      <c r="Y103" s="8" t="s">
        <v>313</v>
      </c>
      <c r="Z103" s="8" t="s">
        <v>234</v>
      </c>
      <c r="AA103" s="8" t="s">
        <v>314</v>
      </c>
      <c r="AB103" s="8" t="s">
        <v>234</v>
      </c>
      <c r="AC103" s="8" t="s">
        <v>315</v>
      </c>
      <c r="AD103" s="8" t="s">
        <v>234</v>
      </c>
      <c r="AE103" s="8"/>
      <c r="AF103" s="8"/>
      <c r="AG103" s="8"/>
      <c r="AH103" s="8"/>
      <c r="AI103" s="8"/>
    </row>
    <row r="104" customFormat="false" ht="15" hidden="false" customHeight="false" outlineLevel="0" collapsed="false">
      <c r="A104" s="8" t="s">
        <v>4</v>
      </c>
      <c r="B104" s="8" t="s">
        <v>8</v>
      </c>
      <c r="C104" s="8" t="n">
        <v>13</v>
      </c>
      <c r="D104" s="8" t="s">
        <v>6</v>
      </c>
      <c r="E104" s="8" t="s">
        <v>273</v>
      </c>
      <c r="F104" s="8"/>
      <c r="G104" s="8"/>
      <c r="H104" s="8"/>
      <c r="I104" s="8"/>
      <c r="J104" s="8" t="s">
        <v>197</v>
      </c>
      <c r="K104" s="8"/>
      <c r="L104" s="8"/>
      <c r="M104" s="8"/>
      <c r="N104" s="8"/>
      <c r="O104" s="8"/>
      <c r="P104" s="8"/>
      <c r="Q104" s="8"/>
      <c r="R104" s="8"/>
      <c r="S104" s="8"/>
      <c r="T104" s="8" t="s">
        <v>133</v>
      </c>
      <c r="U104" s="8" t="s">
        <v>316</v>
      </c>
      <c r="V104" s="8" t="s">
        <v>317</v>
      </c>
      <c r="W104" s="8" t="s">
        <v>318</v>
      </c>
      <c r="X104" s="8" t="s">
        <v>234</v>
      </c>
      <c r="Y104" s="8" t="s">
        <v>319</v>
      </c>
      <c r="Z104" s="8" t="s">
        <v>234</v>
      </c>
      <c r="AA104" s="8" t="s">
        <v>320</v>
      </c>
      <c r="AB104" s="8" t="s">
        <v>234</v>
      </c>
      <c r="AC104" s="8" t="s">
        <v>321</v>
      </c>
      <c r="AD104" s="8" t="s">
        <v>234</v>
      </c>
      <c r="AE104" s="8"/>
      <c r="AF104" s="8"/>
      <c r="AG104" s="8"/>
      <c r="AH104" s="8"/>
      <c r="AI104" s="8"/>
    </row>
    <row r="105" customFormat="false" ht="26.85" hidden="false" customHeight="false" outlineLevel="0" collapsed="false">
      <c r="A105" s="8" t="s">
        <v>4</v>
      </c>
      <c r="B105" s="8" t="s">
        <v>8</v>
      </c>
      <c r="C105" s="8" t="n">
        <v>13</v>
      </c>
      <c r="D105" s="8" t="s">
        <v>6</v>
      </c>
      <c r="E105" s="8" t="s">
        <v>273</v>
      </c>
      <c r="F105" s="8"/>
      <c r="G105" s="8"/>
      <c r="H105" s="8"/>
      <c r="I105" s="8"/>
      <c r="J105" s="8" t="s">
        <v>197</v>
      </c>
      <c r="K105" s="8"/>
      <c r="L105" s="8"/>
      <c r="M105" s="8"/>
      <c r="N105" s="8"/>
      <c r="O105" s="8"/>
      <c r="P105" s="8"/>
      <c r="Q105" s="8"/>
      <c r="R105" s="8"/>
      <c r="S105" s="8"/>
      <c r="T105" s="8" t="s">
        <v>134</v>
      </c>
      <c r="U105" s="8" t="s">
        <v>322</v>
      </c>
      <c r="V105" s="8" t="s">
        <v>323</v>
      </c>
      <c r="W105" s="8" t="s">
        <v>324</v>
      </c>
      <c r="X105" s="8" t="s">
        <v>234</v>
      </c>
      <c r="Y105" s="8" t="s">
        <v>325</v>
      </c>
      <c r="Z105" s="8" t="s">
        <v>234</v>
      </c>
      <c r="AA105" s="8" t="s">
        <v>326</v>
      </c>
      <c r="AB105" s="8" t="s">
        <v>234</v>
      </c>
      <c r="AC105" s="8" t="s">
        <v>327</v>
      </c>
      <c r="AD105" s="8" t="s">
        <v>234</v>
      </c>
      <c r="AE105" s="8"/>
      <c r="AF105" s="8"/>
      <c r="AG105" s="8"/>
      <c r="AH105" s="8"/>
      <c r="AI105" s="8"/>
    </row>
    <row r="106" customFormat="false" ht="26.85" hidden="false" customHeight="false" outlineLevel="0" collapsed="false">
      <c r="A106" s="8" t="s">
        <v>4</v>
      </c>
      <c r="B106" s="8" t="s">
        <v>8</v>
      </c>
      <c r="C106" s="8" t="n">
        <v>13</v>
      </c>
      <c r="D106" s="8" t="s">
        <v>6</v>
      </c>
      <c r="E106" s="8" t="s">
        <v>273</v>
      </c>
      <c r="F106" s="8"/>
      <c r="G106" s="8"/>
      <c r="H106" s="8"/>
      <c r="I106" s="8"/>
      <c r="J106" s="8" t="s">
        <v>197</v>
      </c>
      <c r="K106" s="8"/>
      <c r="L106" s="8"/>
      <c r="M106" s="8"/>
      <c r="N106" s="8"/>
      <c r="O106" s="8"/>
      <c r="P106" s="8"/>
      <c r="Q106" s="8"/>
      <c r="R106" s="8"/>
      <c r="S106" s="8"/>
      <c r="T106" s="8" t="s">
        <v>135</v>
      </c>
      <c r="U106" s="8" t="s">
        <v>328</v>
      </c>
      <c r="V106" s="8" t="s">
        <v>329</v>
      </c>
      <c r="W106" s="8" t="s">
        <v>330</v>
      </c>
      <c r="X106" s="8" t="s">
        <v>234</v>
      </c>
      <c r="Y106" s="8" t="s">
        <v>331</v>
      </c>
      <c r="Z106" s="8" t="s">
        <v>234</v>
      </c>
      <c r="AA106" s="8" t="s">
        <v>332</v>
      </c>
      <c r="AB106" s="8" t="s">
        <v>234</v>
      </c>
      <c r="AC106" s="8" t="s">
        <v>333</v>
      </c>
      <c r="AD106" s="8" t="s">
        <v>234</v>
      </c>
      <c r="AE106" s="8"/>
      <c r="AF106" s="8"/>
      <c r="AG106" s="8"/>
      <c r="AH106" s="8"/>
      <c r="AI106" s="8"/>
    </row>
    <row r="107" customFormat="false" ht="26.85" hidden="false" customHeight="false" outlineLevel="0" collapsed="false">
      <c r="A107" s="8" t="s">
        <v>4</v>
      </c>
      <c r="B107" s="8" t="s">
        <v>8</v>
      </c>
      <c r="C107" s="8" t="n">
        <v>13</v>
      </c>
      <c r="D107" s="8" t="s">
        <v>6</v>
      </c>
      <c r="E107" s="8" t="s">
        <v>273</v>
      </c>
      <c r="F107" s="8"/>
      <c r="G107" s="8"/>
      <c r="H107" s="8"/>
      <c r="I107" s="8"/>
      <c r="J107" s="8" t="s">
        <v>197</v>
      </c>
      <c r="K107" s="8"/>
      <c r="L107" s="8"/>
      <c r="M107" s="8"/>
      <c r="N107" s="8"/>
      <c r="O107" s="8"/>
      <c r="P107" s="8"/>
      <c r="Q107" s="8"/>
      <c r="R107" s="8"/>
      <c r="S107" s="8"/>
      <c r="T107" s="8" t="s">
        <v>136</v>
      </c>
      <c r="U107" s="8" t="s">
        <v>334</v>
      </c>
      <c r="V107" s="8" t="s">
        <v>335</v>
      </c>
      <c r="W107" s="8" t="s">
        <v>336</v>
      </c>
      <c r="X107" s="8" t="s">
        <v>234</v>
      </c>
      <c r="Y107" s="8" t="s">
        <v>337</v>
      </c>
      <c r="Z107" s="8" t="s">
        <v>234</v>
      </c>
      <c r="AA107" s="8" t="s">
        <v>338</v>
      </c>
      <c r="AB107" s="8" t="s">
        <v>234</v>
      </c>
      <c r="AC107" s="8" t="s">
        <v>339</v>
      </c>
      <c r="AD107" s="8" t="s">
        <v>234</v>
      </c>
      <c r="AE107" s="8"/>
      <c r="AF107" s="8"/>
      <c r="AG107" s="8"/>
      <c r="AH107" s="8"/>
      <c r="AI107" s="8"/>
    </row>
    <row r="108" customFormat="false" ht="26.85" hidden="false" customHeight="false" outlineLevel="0" collapsed="false">
      <c r="A108" s="8" t="s">
        <v>4</v>
      </c>
      <c r="B108" s="8" t="s">
        <v>8</v>
      </c>
      <c r="C108" s="8" t="n">
        <v>13</v>
      </c>
      <c r="D108" s="8" t="s">
        <v>6</v>
      </c>
      <c r="E108" s="8" t="s">
        <v>273</v>
      </c>
      <c r="F108" s="8"/>
      <c r="G108" s="8"/>
      <c r="H108" s="8"/>
      <c r="I108" s="8"/>
      <c r="J108" s="8" t="s">
        <v>197</v>
      </c>
      <c r="K108" s="8"/>
      <c r="L108" s="8"/>
      <c r="M108" s="8"/>
      <c r="N108" s="8"/>
      <c r="O108" s="8"/>
      <c r="P108" s="8"/>
      <c r="Q108" s="8"/>
      <c r="R108" s="8"/>
      <c r="S108" s="8"/>
      <c r="T108" s="8" t="s">
        <v>137</v>
      </c>
      <c r="U108" s="8" t="s">
        <v>340</v>
      </c>
      <c r="V108" s="8" t="s">
        <v>341</v>
      </c>
      <c r="W108" s="8" t="s">
        <v>342</v>
      </c>
      <c r="X108" s="8" t="s">
        <v>234</v>
      </c>
      <c r="Y108" s="8" t="s">
        <v>343</v>
      </c>
      <c r="Z108" s="8" t="s">
        <v>234</v>
      </c>
      <c r="AA108" s="8" t="s">
        <v>344</v>
      </c>
      <c r="AB108" s="8" t="s">
        <v>234</v>
      </c>
      <c r="AC108" s="8" t="s">
        <v>345</v>
      </c>
      <c r="AD108" s="8" t="s">
        <v>234</v>
      </c>
      <c r="AE108" s="8"/>
      <c r="AF108" s="8"/>
      <c r="AG108" s="8"/>
      <c r="AH108" s="8"/>
      <c r="AI108" s="8"/>
    </row>
    <row r="109" customFormat="false" ht="26.85" hidden="false" customHeight="false" outlineLevel="0" collapsed="false">
      <c r="A109" s="8" t="s">
        <v>4</v>
      </c>
      <c r="B109" s="8" t="s">
        <v>8</v>
      </c>
      <c r="C109" s="8" t="n">
        <v>13</v>
      </c>
      <c r="D109" s="8" t="s">
        <v>6</v>
      </c>
      <c r="E109" s="8" t="s">
        <v>490</v>
      </c>
      <c r="F109" s="8" t="s">
        <v>237</v>
      </c>
      <c r="G109" s="8"/>
      <c r="H109" s="8"/>
      <c r="I109" s="8" t="s">
        <v>140</v>
      </c>
      <c r="J109" s="8" t="s">
        <v>189</v>
      </c>
      <c r="K109" s="8" t="s">
        <v>251</v>
      </c>
      <c r="L109" s="8" t="s">
        <v>252</v>
      </c>
      <c r="M109" s="8" t="s">
        <v>253</v>
      </c>
      <c r="N109" s="8" t="s">
        <v>254</v>
      </c>
      <c r="O109" s="8" t="s">
        <v>255</v>
      </c>
      <c r="P109" s="8" t="s">
        <v>256</v>
      </c>
      <c r="Q109" s="8" t="s">
        <v>257</v>
      </c>
      <c r="R109" s="8" t="s">
        <v>203</v>
      </c>
      <c r="S109" s="8" t="s">
        <v>238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customFormat="false" ht="26.85" hidden="false" customHeight="false" outlineLevel="0" collapsed="false">
      <c r="A110" s="8" t="s">
        <v>4</v>
      </c>
      <c r="B110" s="8" t="s">
        <v>8</v>
      </c>
      <c r="C110" s="8" t="n">
        <v>13</v>
      </c>
      <c r="D110" s="8" t="s">
        <v>6</v>
      </c>
      <c r="E110" s="8" t="s">
        <v>490</v>
      </c>
      <c r="F110" s="8" t="s">
        <v>237</v>
      </c>
      <c r="G110" s="8"/>
      <c r="H110" s="8"/>
      <c r="I110" s="8" t="s">
        <v>190</v>
      </c>
      <c r="J110" s="8" t="s">
        <v>191</v>
      </c>
      <c r="K110" s="8" t="s">
        <v>258</v>
      </c>
      <c r="L110" s="8" t="s">
        <v>259</v>
      </c>
      <c r="M110" s="8" t="s">
        <v>260</v>
      </c>
      <c r="N110" s="8" t="s">
        <v>254</v>
      </c>
      <c r="O110" s="8" t="s">
        <v>255</v>
      </c>
      <c r="P110" s="8" t="s">
        <v>261</v>
      </c>
      <c r="Q110" s="8" t="s">
        <v>262</v>
      </c>
      <c r="R110" s="8" t="s">
        <v>203</v>
      </c>
      <c r="S110" s="8" t="s">
        <v>238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customFormat="false" ht="26.85" hidden="false" customHeight="false" outlineLevel="0" collapsed="false">
      <c r="A111" s="8" t="s">
        <v>4</v>
      </c>
      <c r="B111" s="8" t="s">
        <v>8</v>
      </c>
      <c r="C111" s="8" t="n">
        <v>13</v>
      </c>
      <c r="D111" s="8" t="s">
        <v>6</v>
      </c>
      <c r="E111" s="8" t="s">
        <v>490</v>
      </c>
      <c r="F111" s="8" t="s">
        <v>237</v>
      </c>
      <c r="G111" s="8"/>
      <c r="H111" s="8"/>
      <c r="I111" s="8" t="s">
        <v>192</v>
      </c>
      <c r="J111" s="8" t="s">
        <v>193</v>
      </c>
      <c r="K111" s="8" t="s">
        <v>258</v>
      </c>
      <c r="L111" s="8" t="s">
        <v>263</v>
      </c>
      <c r="M111" s="8" t="s">
        <v>264</v>
      </c>
      <c r="N111" s="8" t="s">
        <v>254</v>
      </c>
      <c r="O111" s="8" t="s">
        <v>255</v>
      </c>
      <c r="P111" s="8" t="s">
        <v>265</v>
      </c>
      <c r="Q111" s="8" t="s">
        <v>266</v>
      </c>
      <c r="R111" s="8" t="s">
        <v>203</v>
      </c>
      <c r="S111" s="8" t="s">
        <v>238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customFormat="false" ht="26.85" hidden="false" customHeight="false" outlineLevel="0" collapsed="false">
      <c r="A112" s="8" t="s">
        <v>4</v>
      </c>
      <c r="B112" s="8" t="s">
        <v>8</v>
      </c>
      <c r="C112" s="8" t="n">
        <v>13</v>
      </c>
      <c r="D112" s="8" t="s">
        <v>6</v>
      </c>
      <c r="E112" s="8" t="s">
        <v>490</v>
      </c>
      <c r="F112" s="8" t="s">
        <v>237</v>
      </c>
      <c r="G112" s="8"/>
      <c r="H112" s="8"/>
      <c r="I112" s="8" t="s">
        <v>194</v>
      </c>
      <c r="J112" s="8" t="s">
        <v>195</v>
      </c>
      <c r="K112" s="8" t="s">
        <v>267</v>
      </c>
      <c r="L112" s="8" t="s">
        <v>268</v>
      </c>
      <c r="M112" s="8" t="s">
        <v>269</v>
      </c>
      <c r="N112" s="8" t="s">
        <v>254</v>
      </c>
      <c r="O112" s="8" t="s">
        <v>255</v>
      </c>
      <c r="P112" s="8" t="s">
        <v>270</v>
      </c>
      <c r="Q112" s="8" t="s">
        <v>271</v>
      </c>
      <c r="R112" s="8" t="s">
        <v>203</v>
      </c>
      <c r="S112" s="8" t="s">
        <v>238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customFormat="false" ht="26.85" hidden="false" customHeight="false" outlineLevel="0" collapsed="false">
      <c r="A113" s="8" t="s">
        <v>4</v>
      </c>
      <c r="B113" s="8" t="s">
        <v>8</v>
      </c>
      <c r="C113" s="8" t="n">
        <v>13</v>
      </c>
      <c r="D113" s="8" t="s">
        <v>6</v>
      </c>
      <c r="E113" s="8" t="s">
        <v>490</v>
      </c>
      <c r="F113" s="8" t="s">
        <v>237</v>
      </c>
      <c r="G113" s="8"/>
      <c r="H113" s="8"/>
      <c r="I113" s="8" t="s">
        <v>196</v>
      </c>
      <c r="J113" s="8" t="s">
        <v>197</v>
      </c>
      <c r="K113" s="8" t="s">
        <v>251</v>
      </c>
      <c r="L113" s="8" t="s">
        <v>252</v>
      </c>
      <c r="M113" s="8" t="s">
        <v>253</v>
      </c>
      <c r="N113" s="8" t="s">
        <v>254</v>
      </c>
      <c r="O113" s="8" t="s">
        <v>255</v>
      </c>
      <c r="P113" s="8" t="s">
        <v>256</v>
      </c>
      <c r="Q113" s="8" t="s">
        <v>257</v>
      </c>
      <c r="R113" s="8" t="s">
        <v>203</v>
      </c>
      <c r="S113" s="8" t="s">
        <v>238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customFormat="false" ht="15" hidden="false" customHeight="false" outlineLevel="0" collapsed="false">
      <c r="A114" s="8" t="s">
        <v>4</v>
      </c>
      <c r="B114" s="8" t="s">
        <v>8</v>
      </c>
      <c r="C114" s="8" t="n">
        <v>13</v>
      </c>
      <c r="D114" s="8" t="s">
        <v>6</v>
      </c>
      <c r="E114" s="8" t="s">
        <v>490</v>
      </c>
      <c r="F114" s="8" t="s">
        <v>239</v>
      </c>
      <c r="G114" s="8"/>
      <c r="H114" s="8"/>
      <c r="I114" s="8"/>
      <c r="J114" s="8" t="s">
        <v>195</v>
      </c>
      <c r="K114" s="8"/>
      <c r="L114" s="8"/>
      <c r="M114" s="8"/>
      <c r="N114" s="8"/>
      <c r="O114" s="8"/>
      <c r="P114" s="8"/>
      <c r="Q114" s="8"/>
      <c r="R114" s="8"/>
      <c r="S114" s="8" t="s">
        <v>240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 t="s">
        <v>241</v>
      </c>
      <c r="AF114" s="8" t="s">
        <v>213</v>
      </c>
      <c r="AG114" s="8" t="s">
        <v>203</v>
      </c>
      <c r="AH114" s="8" t="s">
        <v>213</v>
      </c>
      <c r="AI114" s="8" t="s">
        <v>213</v>
      </c>
    </row>
    <row r="115" customFormat="false" ht="26.85" hidden="false" customHeight="false" outlineLevel="0" collapsed="false">
      <c r="A115" s="8" t="s">
        <v>4</v>
      </c>
      <c r="B115" s="8" t="s">
        <v>8</v>
      </c>
      <c r="C115" s="8" t="n">
        <v>13</v>
      </c>
      <c r="D115" s="8" t="s">
        <v>6</v>
      </c>
      <c r="E115" s="8" t="s">
        <v>490</v>
      </c>
      <c r="F115" s="8" t="s">
        <v>239</v>
      </c>
      <c r="G115" s="8"/>
      <c r="H115" s="8"/>
      <c r="I115" s="8"/>
      <c r="J115" s="8" t="s">
        <v>191</v>
      </c>
      <c r="K115" s="8"/>
      <c r="L115" s="8"/>
      <c r="M115" s="8"/>
      <c r="N115" s="8"/>
      <c r="O115" s="8"/>
      <c r="P115" s="8"/>
      <c r="Q115" s="8"/>
      <c r="R115" s="8"/>
      <c r="S115" s="8" t="s">
        <v>240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 t="s">
        <v>241</v>
      </c>
      <c r="AF115" s="8" t="s">
        <v>213</v>
      </c>
      <c r="AG115" s="8" t="s">
        <v>491</v>
      </c>
      <c r="AH115" s="8" t="s">
        <v>492</v>
      </c>
      <c r="AI115" s="8" t="s">
        <v>213</v>
      </c>
    </row>
    <row r="116" customFormat="false" ht="15" hidden="false" customHeight="false" outlineLevel="0" collapsed="false">
      <c r="A116" s="8" t="s">
        <v>4</v>
      </c>
      <c r="B116" s="8" t="s">
        <v>8</v>
      </c>
      <c r="C116" s="8" t="n">
        <v>13</v>
      </c>
      <c r="D116" s="8" t="s">
        <v>6</v>
      </c>
      <c r="E116" s="8" t="s">
        <v>490</v>
      </c>
      <c r="F116" s="8" t="s">
        <v>239</v>
      </c>
      <c r="G116" s="8"/>
      <c r="H116" s="8"/>
      <c r="I116" s="8"/>
      <c r="J116" s="8" t="s">
        <v>193</v>
      </c>
      <c r="K116" s="8"/>
      <c r="L116" s="8"/>
      <c r="M116" s="8"/>
      <c r="N116" s="8"/>
      <c r="O116" s="8"/>
      <c r="P116" s="8"/>
      <c r="Q116" s="8"/>
      <c r="R116" s="8"/>
      <c r="S116" s="8" t="s">
        <v>240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 t="s">
        <v>241</v>
      </c>
      <c r="AF116" s="8" t="s">
        <v>213</v>
      </c>
      <c r="AG116" s="8" t="s">
        <v>203</v>
      </c>
      <c r="AH116" s="8" t="s">
        <v>213</v>
      </c>
      <c r="AI116" s="8" t="s">
        <v>213</v>
      </c>
    </row>
    <row r="117" customFormat="false" ht="15" hidden="false" customHeight="false" outlineLevel="0" collapsed="false">
      <c r="A117" s="8" t="s">
        <v>4</v>
      </c>
      <c r="B117" s="8" t="s">
        <v>8</v>
      </c>
      <c r="C117" s="8" t="n">
        <v>13</v>
      </c>
      <c r="D117" s="8" t="s">
        <v>6</v>
      </c>
      <c r="E117" s="8" t="s">
        <v>490</v>
      </c>
      <c r="F117" s="8" t="s">
        <v>239</v>
      </c>
      <c r="G117" s="8"/>
      <c r="H117" s="8"/>
      <c r="I117" s="8"/>
      <c r="J117" s="8" t="s">
        <v>197</v>
      </c>
      <c r="K117" s="8"/>
      <c r="L117" s="8"/>
      <c r="M117" s="8"/>
      <c r="N117" s="8"/>
      <c r="O117" s="8"/>
      <c r="P117" s="8"/>
      <c r="Q117" s="8"/>
      <c r="R117" s="8"/>
      <c r="S117" s="8" t="s">
        <v>240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 t="s">
        <v>241</v>
      </c>
      <c r="AF117" s="8" t="s">
        <v>213</v>
      </c>
      <c r="AG117" s="8" t="s">
        <v>203</v>
      </c>
      <c r="AH117" s="8" t="s">
        <v>213</v>
      </c>
      <c r="AI117" s="8" t="s">
        <v>213</v>
      </c>
    </row>
    <row r="118" customFormat="false" ht="15" hidden="false" customHeight="false" outlineLevel="0" collapsed="false">
      <c r="A118" s="8" t="s">
        <v>4</v>
      </c>
      <c r="B118" s="8" t="s">
        <v>8</v>
      </c>
      <c r="C118" s="8" t="n">
        <v>13</v>
      </c>
      <c r="D118" s="8" t="s">
        <v>6</v>
      </c>
      <c r="E118" s="8" t="s">
        <v>490</v>
      </c>
      <c r="F118" s="8" t="s">
        <v>239</v>
      </c>
      <c r="G118" s="8"/>
      <c r="H118" s="8"/>
      <c r="I118" s="8"/>
      <c r="J118" s="8" t="s">
        <v>189</v>
      </c>
      <c r="K118" s="8"/>
      <c r="L118" s="8"/>
      <c r="M118" s="8"/>
      <c r="N118" s="8"/>
      <c r="O118" s="8"/>
      <c r="P118" s="8"/>
      <c r="Q118" s="8"/>
      <c r="R118" s="8"/>
      <c r="S118" s="8" t="s">
        <v>240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 t="s">
        <v>241</v>
      </c>
      <c r="AF118" s="8" t="s">
        <v>213</v>
      </c>
      <c r="AG118" s="8" t="s">
        <v>203</v>
      </c>
      <c r="AH118" s="8" t="s">
        <v>213</v>
      </c>
      <c r="AI118" s="8" t="s">
        <v>213</v>
      </c>
    </row>
    <row r="119" customFormat="false" ht="15" hidden="false" customHeight="false" outlineLevel="0" collapsed="false">
      <c r="A119" s="8" t="s">
        <v>4</v>
      </c>
      <c r="B119" s="8" t="s">
        <v>8</v>
      </c>
      <c r="C119" s="8" t="n">
        <v>13</v>
      </c>
      <c r="D119" s="8" t="s">
        <v>6</v>
      </c>
      <c r="E119" s="8" t="s">
        <v>490</v>
      </c>
      <c r="F119" s="8" t="s">
        <v>239</v>
      </c>
      <c r="G119" s="8"/>
      <c r="H119" s="8"/>
      <c r="I119" s="8"/>
      <c r="J119" s="8" t="s">
        <v>195</v>
      </c>
      <c r="K119" s="8"/>
      <c r="L119" s="8"/>
      <c r="M119" s="8"/>
      <c r="N119" s="8"/>
      <c r="O119" s="8"/>
      <c r="P119" s="8"/>
      <c r="Q119" s="8"/>
      <c r="R119" s="8"/>
      <c r="S119" s="8" t="s">
        <v>240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 t="s">
        <v>242</v>
      </c>
      <c r="AF119" s="8" t="s">
        <v>213</v>
      </c>
      <c r="AG119" s="8" t="s">
        <v>203</v>
      </c>
      <c r="AH119" s="8" t="s">
        <v>213</v>
      </c>
      <c r="AI119" s="8" t="s">
        <v>213</v>
      </c>
    </row>
    <row r="120" customFormat="false" ht="26.85" hidden="false" customHeight="false" outlineLevel="0" collapsed="false">
      <c r="A120" s="8" t="s">
        <v>4</v>
      </c>
      <c r="B120" s="8" t="s">
        <v>8</v>
      </c>
      <c r="C120" s="8" t="n">
        <v>13</v>
      </c>
      <c r="D120" s="8" t="s">
        <v>6</v>
      </c>
      <c r="E120" s="8" t="s">
        <v>490</v>
      </c>
      <c r="F120" s="8" t="s">
        <v>239</v>
      </c>
      <c r="G120" s="8"/>
      <c r="H120" s="8"/>
      <c r="I120" s="8"/>
      <c r="J120" s="8" t="s">
        <v>191</v>
      </c>
      <c r="K120" s="8"/>
      <c r="L120" s="8"/>
      <c r="M120" s="8"/>
      <c r="N120" s="8"/>
      <c r="O120" s="8"/>
      <c r="P120" s="8"/>
      <c r="Q120" s="8"/>
      <c r="R120" s="8"/>
      <c r="S120" s="8" t="s">
        <v>240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 t="s">
        <v>242</v>
      </c>
      <c r="AF120" s="8" t="s">
        <v>213</v>
      </c>
      <c r="AG120" s="8" t="s">
        <v>203</v>
      </c>
      <c r="AH120" s="8" t="s">
        <v>213</v>
      </c>
      <c r="AI120" s="8" t="s">
        <v>213</v>
      </c>
    </row>
    <row r="121" customFormat="false" ht="15" hidden="false" customHeight="false" outlineLevel="0" collapsed="false">
      <c r="A121" s="8" t="s">
        <v>4</v>
      </c>
      <c r="B121" s="8" t="s">
        <v>8</v>
      </c>
      <c r="C121" s="8" t="n">
        <v>13</v>
      </c>
      <c r="D121" s="8" t="s">
        <v>6</v>
      </c>
      <c r="E121" s="8" t="s">
        <v>490</v>
      </c>
      <c r="F121" s="8" t="s">
        <v>239</v>
      </c>
      <c r="G121" s="8"/>
      <c r="H121" s="8"/>
      <c r="I121" s="8"/>
      <c r="J121" s="8" t="s">
        <v>193</v>
      </c>
      <c r="K121" s="8"/>
      <c r="L121" s="8"/>
      <c r="M121" s="8"/>
      <c r="N121" s="8"/>
      <c r="O121" s="8"/>
      <c r="P121" s="8"/>
      <c r="Q121" s="8"/>
      <c r="R121" s="8"/>
      <c r="S121" s="8" t="s">
        <v>240</v>
      </c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 t="s">
        <v>242</v>
      </c>
      <c r="AF121" s="8" t="s">
        <v>213</v>
      </c>
      <c r="AG121" s="8" t="s">
        <v>203</v>
      </c>
      <c r="AH121" s="8" t="s">
        <v>213</v>
      </c>
      <c r="AI121" s="8" t="s">
        <v>213</v>
      </c>
    </row>
    <row r="122" customFormat="false" ht="15" hidden="false" customHeight="false" outlineLevel="0" collapsed="false">
      <c r="A122" s="8" t="s">
        <v>4</v>
      </c>
      <c r="B122" s="8" t="s">
        <v>8</v>
      </c>
      <c r="C122" s="8" t="n">
        <v>13</v>
      </c>
      <c r="D122" s="8" t="s">
        <v>6</v>
      </c>
      <c r="E122" s="8" t="s">
        <v>490</v>
      </c>
      <c r="F122" s="8" t="s">
        <v>239</v>
      </c>
      <c r="G122" s="8"/>
      <c r="H122" s="8"/>
      <c r="I122" s="8"/>
      <c r="J122" s="8" t="s">
        <v>197</v>
      </c>
      <c r="K122" s="8"/>
      <c r="L122" s="8"/>
      <c r="M122" s="8"/>
      <c r="N122" s="8"/>
      <c r="O122" s="8"/>
      <c r="P122" s="8"/>
      <c r="Q122" s="8"/>
      <c r="R122" s="8"/>
      <c r="S122" s="8" t="s">
        <v>240</v>
      </c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 t="s">
        <v>242</v>
      </c>
      <c r="AF122" s="8" t="s">
        <v>213</v>
      </c>
      <c r="AG122" s="8" t="s">
        <v>203</v>
      </c>
      <c r="AH122" s="8" t="s">
        <v>213</v>
      </c>
      <c r="AI122" s="8" t="s">
        <v>213</v>
      </c>
    </row>
    <row r="123" customFormat="false" ht="15" hidden="false" customHeight="false" outlineLevel="0" collapsed="false">
      <c r="A123" s="8" t="s">
        <v>4</v>
      </c>
      <c r="B123" s="8" t="s">
        <v>8</v>
      </c>
      <c r="C123" s="8" t="n">
        <v>13</v>
      </c>
      <c r="D123" s="8" t="s">
        <v>6</v>
      </c>
      <c r="E123" s="8" t="s">
        <v>490</v>
      </c>
      <c r="F123" s="8" t="s">
        <v>239</v>
      </c>
      <c r="G123" s="8"/>
      <c r="H123" s="8"/>
      <c r="I123" s="8"/>
      <c r="J123" s="8" t="s">
        <v>189</v>
      </c>
      <c r="K123" s="8"/>
      <c r="L123" s="8"/>
      <c r="M123" s="8"/>
      <c r="N123" s="8"/>
      <c r="O123" s="8"/>
      <c r="P123" s="8"/>
      <c r="Q123" s="8"/>
      <c r="R123" s="8"/>
      <c r="S123" s="8" t="s">
        <v>240</v>
      </c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 t="s">
        <v>242</v>
      </c>
      <c r="AF123" s="8" t="s">
        <v>213</v>
      </c>
      <c r="AG123" s="8" t="s">
        <v>203</v>
      </c>
      <c r="AH123" s="8" t="s">
        <v>213</v>
      </c>
      <c r="AI123" s="8" t="s">
        <v>213</v>
      </c>
    </row>
    <row r="124" customFormat="false" ht="15" hidden="false" customHeight="false" outlineLevel="0" collapsed="false">
      <c r="A124" s="8" t="s">
        <v>4</v>
      </c>
      <c r="B124" s="8" t="s">
        <v>8</v>
      </c>
      <c r="C124" s="8" t="n">
        <v>13</v>
      </c>
      <c r="D124" s="8" t="s">
        <v>6</v>
      </c>
      <c r="E124" s="8" t="s">
        <v>490</v>
      </c>
      <c r="F124" s="8" t="s">
        <v>239</v>
      </c>
      <c r="G124" s="8"/>
      <c r="H124" s="8"/>
      <c r="I124" s="8"/>
      <c r="J124" s="8" t="s">
        <v>195</v>
      </c>
      <c r="K124" s="8"/>
      <c r="L124" s="8"/>
      <c r="M124" s="8"/>
      <c r="N124" s="8"/>
      <c r="O124" s="8"/>
      <c r="P124" s="8"/>
      <c r="Q124" s="8"/>
      <c r="R124" s="8"/>
      <c r="S124" s="8" t="s">
        <v>240</v>
      </c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 t="s">
        <v>243</v>
      </c>
      <c r="AF124" s="8" t="s">
        <v>213</v>
      </c>
      <c r="AG124" s="8" t="s">
        <v>203</v>
      </c>
      <c r="AH124" s="8" t="s">
        <v>213</v>
      </c>
      <c r="AI124" s="8" t="s">
        <v>213</v>
      </c>
    </row>
    <row r="125" customFormat="false" ht="26.85" hidden="false" customHeight="false" outlineLevel="0" collapsed="false">
      <c r="A125" s="8" t="s">
        <v>4</v>
      </c>
      <c r="B125" s="8" t="s">
        <v>8</v>
      </c>
      <c r="C125" s="8" t="n">
        <v>13</v>
      </c>
      <c r="D125" s="8" t="s">
        <v>6</v>
      </c>
      <c r="E125" s="8" t="s">
        <v>490</v>
      </c>
      <c r="F125" s="8" t="s">
        <v>239</v>
      </c>
      <c r="G125" s="8"/>
      <c r="H125" s="8"/>
      <c r="I125" s="8"/>
      <c r="J125" s="8" t="s">
        <v>191</v>
      </c>
      <c r="K125" s="8"/>
      <c r="L125" s="8"/>
      <c r="M125" s="8"/>
      <c r="N125" s="8"/>
      <c r="O125" s="8"/>
      <c r="P125" s="8"/>
      <c r="Q125" s="8"/>
      <c r="R125" s="8"/>
      <c r="S125" s="8" t="s">
        <v>240</v>
      </c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 t="s">
        <v>243</v>
      </c>
      <c r="AF125" s="8" t="s">
        <v>213</v>
      </c>
      <c r="AG125" s="8" t="s">
        <v>203</v>
      </c>
      <c r="AH125" s="8" t="s">
        <v>213</v>
      </c>
      <c r="AI125" s="8" t="s">
        <v>213</v>
      </c>
    </row>
    <row r="126" customFormat="false" ht="15" hidden="false" customHeight="false" outlineLevel="0" collapsed="false">
      <c r="A126" s="8" t="s">
        <v>4</v>
      </c>
      <c r="B126" s="8" t="s">
        <v>8</v>
      </c>
      <c r="C126" s="8" t="n">
        <v>13</v>
      </c>
      <c r="D126" s="8" t="s">
        <v>6</v>
      </c>
      <c r="E126" s="8" t="s">
        <v>490</v>
      </c>
      <c r="F126" s="8" t="s">
        <v>239</v>
      </c>
      <c r="G126" s="8"/>
      <c r="H126" s="8"/>
      <c r="I126" s="8"/>
      <c r="J126" s="8" t="s">
        <v>193</v>
      </c>
      <c r="K126" s="8"/>
      <c r="L126" s="8"/>
      <c r="M126" s="8"/>
      <c r="N126" s="8"/>
      <c r="O126" s="8"/>
      <c r="P126" s="8"/>
      <c r="Q126" s="8"/>
      <c r="R126" s="8"/>
      <c r="S126" s="8" t="s">
        <v>240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 t="s">
        <v>243</v>
      </c>
      <c r="AF126" s="8" t="s">
        <v>213</v>
      </c>
      <c r="AG126" s="8" t="s">
        <v>203</v>
      </c>
      <c r="AH126" s="8" t="s">
        <v>213</v>
      </c>
      <c r="AI126" s="8" t="s">
        <v>213</v>
      </c>
    </row>
    <row r="127" customFormat="false" ht="15" hidden="false" customHeight="false" outlineLevel="0" collapsed="false">
      <c r="A127" s="8" t="s">
        <v>4</v>
      </c>
      <c r="B127" s="8" t="s">
        <v>8</v>
      </c>
      <c r="C127" s="8" t="n">
        <v>13</v>
      </c>
      <c r="D127" s="8" t="s">
        <v>6</v>
      </c>
      <c r="E127" s="8" t="s">
        <v>490</v>
      </c>
      <c r="F127" s="8" t="s">
        <v>239</v>
      </c>
      <c r="G127" s="8"/>
      <c r="H127" s="8"/>
      <c r="I127" s="8"/>
      <c r="J127" s="8" t="s">
        <v>197</v>
      </c>
      <c r="K127" s="8"/>
      <c r="L127" s="8"/>
      <c r="M127" s="8"/>
      <c r="N127" s="8"/>
      <c r="O127" s="8"/>
      <c r="P127" s="8"/>
      <c r="Q127" s="8"/>
      <c r="R127" s="8"/>
      <c r="S127" s="8" t="s">
        <v>240</v>
      </c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 t="s">
        <v>243</v>
      </c>
      <c r="AF127" s="8" t="s">
        <v>213</v>
      </c>
      <c r="AG127" s="8" t="s">
        <v>203</v>
      </c>
      <c r="AH127" s="8" t="s">
        <v>213</v>
      </c>
      <c r="AI127" s="8" t="s">
        <v>213</v>
      </c>
    </row>
    <row r="128" customFormat="false" ht="15" hidden="false" customHeight="false" outlineLevel="0" collapsed="false">
      <c r="A128" s="8" t="s">
        <v>4</v>
      </c>
      <c r="B128" s="8" t="s">
        <v>8</v>
      </c>
      <c r="C128" s="8" t="n">
        <v>13</v>
      </c>
      <c r="D128" s="8" t="s">
        <v>6</v>
      </c>
      <c r="E128" s="8" t="s">
        <v>490</v>
      </c>
      <c r="F128" s="8" t="s">
        <v>239</v>
      </c>
      <c r="G128" s="8"/>
      <c r="H128" s="8"/>
      <c r="I128" s="8"/>
      <c r="J128" s="8" t="s">
        <v>189</v>
      </c>
      <c r="K128" s="8"/>
      <c r="L128" s="8"/>
      <c r="M128" s="8"/>
      <c r="N128" s="8"/>
      <c r="O128" s="8"/>
      <c r="P128" s="8"/>
      <c r="Q128" s="8"/>
      <c r="R128" s="8"/>
      <c r="S128" s="8" t="s">
        <v>240</v>
      </c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 t="s">
        <v>243</v>
      </c>
      <c r="AF128" s="8" t="s">
        <v>213</v>
      </c>
      <c r="AG128" s="8" t="s">
        <v>203</v>
      </c>
      <c r="AH128" s="8" t="s">
        <v>213</v>
      </c>
      <c r="AI128" s="8" t="s">
        <v>213</v>
      </c>
    </row>
    <row r="129" customFormat="false" ht="15" hidden="false" customHeight="false" outlineLevel="0" collapsed="false">
      <c r="A129" s="8" t="s">
        <v>4</v>
      </c>
      <c r="B129" s="8" t="s">
        <v>8</v>
      </c>
      <c r="C129" s="8" t="n">
        <v>13</v>
      </c>
      <c r="D129" s="8" t="s">
        <v>6</v>
      </c>
      <c r="E129" s="8" t="s">
        <v>490</v>
      </c>
      <c r="F129" s="8" t="s">
        <v>239</v>
      </c>
      <c r="G129" s="8"/>
      <c r="H129" s="8"/>
      <c r="I129" s="8"/>
      <c r="J129" s="8" t="s">
        <v>195</v>
      </c>
      <c r="K129" s="8"/>
      <c r="L129" s="8"/>
      <c r="M129" s="8"/>
      <c r="N129" s="8"/>
      <c r="O129" s="8"/>
      <c r="P129" s="8"/>
      <c r="Q129" s="8"/>
      <c r="R129" s="8"/>
      <c r="S129" s="8" t="s">
        <v>240</v>
      </c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 t="s">
        <v>244</v>
      </c>
      <c r="AF129" s="8" t="s">
        <v>213</v>
      </c>
      <c r="AG129" s="8" t="s">
        <v>203</v>
      </c>
      <c r="AH129" s="8" t="s">
        <v>213</v>
      </c>
      <c r="AI129" s="8" t="s">
        <v>213</v>
      </c>
    </row>
    <row r="130" customFormat="false" ht="26.85" hidden="false" customHeight="false" outlineLevel="0" collapsed="false">
      <c r="A130" s="8" t="s">
        <v>4</v>
      </c>
      <c r="B130" s="8" t="s">
        <v>8</v>
      </c>
      <c r="C130" s="8" t="n">
        <v>13</v>
      </c>
      <c r="D130" s="8" t="s">
        <v>6</v>
      </c>
      <c r="E130" s="8" t="s">
        <v>490</v>
      </c>
      <c r="F130" s="8" t="s">
        <v>239</v>
      </c>
      <c r="G130" s="8"/>
      <c r="H130" s="8"/>
      <c r="I130" s="8"/>
      <c r="J130" s="8" t="s">
        <v>191</v>
      </c>
      <c r="K130" s="8"/>
      <c r="L130" s="8"/>
      <c r="M130" s="8"/>
      <c r="N130" s="8"/>
      <c r="O130" s="8"/>
      <c r="P130" s="8"/>
      <c r="Q130" s="8"/>
      <c r="R130" s="8"/>
      <c r="S130" s="8" t="s">
        <v>240</v>
      </c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 t="s">
        <v>244</v>
      </c>
      <c r="AF130" s="8" t="s">
        <v>213</v>
      </c>
      <c r="AG130" s="8" t="s">
        <v>203</v>
      </c>
      <c r="AH130" s="8" t="s">
        <v>213</v>
      </c>
      <c r="AI130" s="8" t="s">
        <v>213</v>
      </c>
    </row>
    <row r="131" customFormat="false" ht="15" hidden="false" customHeight="false" outlineLevel="0" collapsed="false">
      <c r="A131" s="8" t="s">
        <v>4</v>
      </c>
      <c r="B131" s="8" t="s">
        <v>8</v>
      </c>
      <c r="C131" s="8" t="n">
        <v>13</v>
      </c>
      <c r="D131" s="8" t="s">
        <v>6</v>
      </c>
      <c r="E131" s="8" t="s">
        <v>490</v>
      </c>
      <c r="F131" s="8" t="s">
        <v>239</v>
      </c>
      <c r="G131" s="8"/>
      <c r="H131" s="8"/>
      <c r="I131" s="8"/>
      <c r="J131" s="8" t="s">
        <v>193</v>
      </c>
      <c r="K131" s="8"/>
      <c r="L131" s="8"/>
      <c r="M131" s="8"/>
      <c r="N131" s="8"/>
      <c r="O131" s="8"/>
      <c r="P131" s="8"/>
      <c r="Q131" s="8"/>
      <c r="R131" s="8"/>
      <c r="S131" s="8" t="s">
        <v>240</v>
      </c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 t="s">
        <v>244</v>
      </c>
      <c r="AF131" s="8" t="s">
        <v>213</v>
      </c>
      <c r="AG131" s="8" t="s">
        <v>203</v>
      </c>
      <c r="AH131" s="8" t="s">
        <v>213</v>
      </c>
      <c r="AI131" s="8" t="s">
        <v>213</v>
      </c>
    </row>
    <row r="132" customFormat="false" ht="15" hidden="false" customHeight="false" outlineLevel="0" collapsed="false">
      <c r="A132" s="8" t="s">
        <v>4</v>
      </c>
      <c r="B132" s="8" t="s">
        <v>8</v>
      </c>
      <c r="C132" s="8" t="n">
        <v>13</v>
      </c>
      <c r="D132" s="8" t="s">
        <v>6</v>
      </c>
      <c r="E132" s="8" t="s">
        <v>490</v>
      </c>
      <c r="F132" s="8" t="s">
        <v>239</v>
      </c>
      <c r="G132" s="8"/>
      <c r="H132" s="8"/>
      <c r="I132" s="8"/>
      <c r="J132" s="8" t="s">
        <v>197</v>
      </c>
      <c r="K132" s="8"/>
      <c r="L132" s="8"/>
      <c r="M132" s="8"/>
      <c r="N132" s="8"/>
      <c r="O132" s="8"/>
      <c r="P132" s="8"/>
      <c r="Q132" s="8"/>
      <c r="R132" s="8"/>
      <c r="S132" s="8" t="s">
        <v>240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 t="s">
        <v>244</v>
      </c>
      <c r="AF132" s="8" t="s">
        <v>213</v>
      </c>
      <c r="AG132" s="8" t="s">
        <v>203</v>
      </c>
      <c r="AH132" s="8" t="s">
        <v>213</v>
      </c>
      <c r="AI132" s="8" t="s">
        <v>213</v>
      </c>
    </row>
    <row r="133" customFormat="false" ht="15" hidden="false" customHeight="false" outlineLevel="0" collapsed="false">
      <c r="A133" s="8" t="s">
        <v>4</v>
      </c>
      <c r="B133" s="8" t="s">
        <v>8</v>
      </c>
      <c r="C133" s="8" t="n">
        <v>13</v>
      </c>
      <c r="D133" s="8" t="s">
        <v>6</v>
      </c>
      <c r="E133" s="8" t="s">
        <v>490</v>
      </c>
      <c r="F133" s="8" t="s">
        <v>239</v>
      </c>
      <c r="G133" s="8"/>
      <c r="H133" s="8"/>
      <c r="I133" s="8"/>
      <c r="J133" s="8" t="s">
        <v>189</v>
      </c>
      <c r="K133" s="8"/>
      <c r="L133" s="8"/>
      <c r="M133" s="8"/>
      <c r="N133" s="8"/>
      <c r="O133" s="8"/>
      <c r="P133" s="8"/>
      <c r="Q133" s="8"/>
      <c r="R133" s="8"/>
      <c r="S133" s="8" t="s">
        <v>240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 t="s">
        <v>244</v>
      </c>
      <c r="AF133" s="8" t="s">
        <v>213</v>
      </c>
      <c r="AG133" s="8" t="s">
        <v>203</v>
      </c>
      <c r="AH133" s="8" t="s">
        <v>213</v>
      </c>
      <c r="AI133" s="8" t="s">
        <v>213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12.71"/>
    <col collapsed="false" customWidth="true" hidden="false" outlineLevel="0" max="3" min="3" style="0" width="59.71"/>
  </cols>
  <sheetData>
    <row r="1" customFormat="false" ht="15" hidden="false" customHeight="false" outlineLevel="0" collapsed="false">
      <c r="A1" s="2" t="s">
        <v>493</v>
      </c>
      <c r="B1" s="2" t="s">
        <v>69</v>
      </c>
      <c r="C1" s="2" t="s">
        <v>27</v>
      </c>
    </row>
    <row r="2" customFormat="false" ht="15" hidden="false" customHeight="false" outlineLevel="0" collapsed="false">
      <c r="A2" s="3" t="s">
        <v>494</v>
      </c>
      <c r="B2" s="3" t="s">
        <v>495</v>
      </c>
      <c r="C2" s="3" t="s">
        <v>496</v>
      </c>
    </row>
    <row r="3" customFormat="false" ht="15" hidden="false" customHeight="false" outlineLevel="0" collapsed="false">
      <c r="A3" s="3" t="s">
        <v>497</v>
      </c>
      <c r="B3" s="3" t="s">
        <v>495</v>
      </c>
      <c r="C3" s="3" t="s">
        <v>498</v>
      </c>
    </row>
    <row r="4" customFormat="false" ht="15" hidden="false" customHeight="false" outlineLevel="0" collapsed="false">
      <c r="A4" s="3" t="s">
        <v>248</v>
      </c>
      <c r="B4" s="5" t="str">
        <f aca="false">IF(COUNTIF(resultado_homogeneidad!$G:$G,"FALLA")&gt;0,"FALLA",IF(COUNTIF(resultado_homogeneidad!$G:$G,"Pendiente")&gt;0,"PENDIENTE","OK"))</f>
        <v>OK</v>
      </c>
      <c r="C4" s="3" t="s">
        <v>499</v>
      </c>
    </row>
    <row r="5" customFormat="false" ht="15" hidden="false" customHeight="false" outlineLevel="0" collapsed="false">
      <c r="A5" s="3" t="s">
        <v>500</v>
      </c>
      <c r="B5" s="3" t="s">
        <v>495</v>
      </c>
      <c r="C5" s="3" t="s">
        <v>501</v>
      </c>
    </row>
    <row r="6" customFormat="false" ht="15" hidden="false" customHeight="false" outlineLevel="0" collapsed="false">
      <c r="A6" s="3" t="s">
        <v>502</v>
      </c>
      <c r="B6" s="3" t="s">
        <v>495</v>
      </c>
      <c r="C6" s="3" t="s">
        <v>503</v>
      </c>
    </row>
    <row r="7" customFormat="false" ht="15" hidden="false" customHeight="false" outlineLevel="0" collapsed="false">
      <c r="A7" s="3" t="s">
        <v>249</v>
      </c>
      <c r="B7" s="5" t="str">
        <f aca="false">IF(COUNTIF(resultado_estabilidad!$G:$G,"FALLA")&gt;0,"FALLA",IF(COUNTIF(resultado_estabilidad!$G:$G,"Pendiente")&gt;0,"PENDIENTE","OK"))</f>
        <v>OK</v>
      </c>
      <c r="C7" s="3" t="s">
        <v>504</v>
      </c>
    </row>
    <row r="8" customFormat="false" ht="15" hidden="false" customHeight="false" outlineLevel="0" collapsed="false">
      <c r="A8" s="3" t="s">
        <v>505</v>
      </c>
      <c r="B8" s="3" t="s">
        <v>495</v>
      </c>
      <c r="C8" s="3" t="s">
        <v>506</v>
      </c>
    </row>
    <row r="9" customFormat="false" ht="15" hidden="false" customHeight="false" outlineLevel="0" collapsed="false">
      <c r="A9" s="3" t="s">
        <v>507</v>
      </c>
      <c r="B9" s="3" t="s">
        <v>495</v>
      </c>
      <c r="C9" s="3" t="s">
        <v>508</v>
      </c>
    </row>
    <row r="10" customFormat="false" ht="15" hidden="false" customHeight="false" outlineLevel="0" collapsed="false">
      <c r="A10" s="3" t="s">
        <v>250</v>
      </c>
      <c r="B10" s="5" t="str">
        <f aca="false">IF(COUNTIF(valor_asignado!$K:$K,"FALLA")&gt;0,"FALLA",IF(COUNTIF(valor_asignado!$K:$K,"Pendiente")&gt;0,"PENDIENTE","OK"))</f>
        <v>OK</v>
      </c>
      <c r="C10" s="3" t="s">
        <v>509</v>
      </c>
    </row>
    <row r="11" customFormat="false" ht="15" hidden="false" customHeight="false" outlineLevel="0" collapsed="false">
      <c r="A11" s="3" t="s">
        <v>510</v>
      </c>
      <c r="B11" s="3" t="s">
        <v>495</v>
      </c>
      <c r="C11" s="3" t="s">
        <v>511</v>
      </c>
    </row>
    <row r="12" customFormat="false" ht="15" hidden="false" customHeight="false" outlineLevel="0" collapsed="false">
      <c r="A12" s="3" t="s">
        <v>272</v>
      </c>
      <c r="B12" s="5" t="str">
        <f aca="false">IF(COUNTIF(algoritmo_A!$E:$E,"FALLA")&gt;0,"FALLA",IF(COUNTIF(algoritmo_A!$E:$E,"Pendiente")&gt;0,"PENDIENTE","OK"))</f>
        <v>OK</v>
      </c>
      <c r="C12" s="3" t="s">
        <v>512</v>
      </c>
    </row>
    <row r="13" customFormat="false" ht="15" hidden="false" customHeight="false" outlineLevel="0" collapsed="false">
      <c r="A13" s="3" t="s">
        <v>273</v>
      </c>
      <c r="B13" s="5" t="str">
        <f aca="false">IF(COUNTIF(puntajes_EA!$N:$N,"FALLA")&gt;0,"FALLA",IF(COUNTIF(puntajes_EA!$N:$N,"Pendiente")&gt;0,"PENDIENTE","OK"))</f>
        <v>OK</v>
      </c>
      <c r="C13" s="3" t="s">
        <v>513</v>
      </c>
    </row>
    <row r="14" customFormat="false" ht="15" hidden="false" customHeight="false" outlineLevel="0" collapsed="false">
      <c r="A14" s="3" t="s">
        <v>490</v>
      </c>
      <c r="B14" s="5" t="str">
        <f aca="false">IF(COUNTIF(informe_global!$R:$R,"FALLA")&gt;0,"FALLA",IF(COUNTIF(informe_global!$R:$R,"Pendiente")&gt;0,"PENDIENTE","OK"))</f>
        <v>OK</v>
      </c>
      <c r="C14" s="3" t="s">
        <v>514</v>
      </c>
    </row>
    <row r="15" customFormat="false" ht="15" hidden="false" customHeight="false" outlineLevel="0" collapsed="false">
      <c r="A15" s="3" t="s">
        <v>515</v>
      </c>
      <c r="B15" s="3" t="s">
        <v>495</v>
      </c>
      <c r="C15" s="3" t="s">
        <v>516</v>
      </c>
    </row>
    <row r="16" customFormat="false" ht="15" hidden="false" customHeight="false" outlineLevel="0" collapsed="false">
      <c r="A16" s="3" t="s">
        <v>517</v>
      </c>
      <c r="B16" s="5" t="str">
        <f aca="false">IF(SUM(C22:C26)&gt;0,"FALLA","OK")</f>
        <v>OK</v>
      </c>
      <c r="C16" s="3" t="s">
        <v>518</v>
      </c>
    </row>
    <row r="19" customFormat="false" ht="15" hidden="false" customHeight="false" outlineLevel="0" collapsed="false">
      <c r="A19" s="0" t="s">
        <v>519</v>
      </c>
      <c r="B19" s="7" t="str">
        <f aca="false">IF(COUNTIF(B2:B16,"FALLA")&gt;0,"FALLA",IF(COUNTIF(B2:B16,"Pendiente")&gt;0,"PENDIENTE","OK"))</f>
        <v>OK</v>
      </c>
    </row>
    <row r="21" customFormat="false" ht="15" hidden="false" customHeight="false" outlineLevel="0" collapsed="false">
      <c r="A21" s="2" t="s">
        <v>520</v>
      </c>
      <c r="B21" s="2" t="s">
        <v>521</v>
      </c>
      <c r="C21" s="2" t="s">
        <v>522</v>
      </c>
    </row>
    <row r="22" customFormat="false" ht="15" hidden="false" customHeight="false" outlineLevel="0" collapsed="false">
      <c r="A22" s="3" t="s">
        <v>523</v>
      </c>
      <c r="B22" s="3" t="s">
        <v>524</v>
      </c>
      <c r="C22" s="5" t="n">
        <f aca="false">COUNTIF(datos_homogeneidad!$A:$F,A22)+COUNTIF(resultado_homogeneidad!$A:$G,A22)+COUNTIF(datos_estabilidad!$A:$E,A22)+COUNTIF(resultado_estabilidad!$A:$G,A22)+COUNTIF(datos_participantes!$A:$H,A22)+COUNTIF(datos_referencia!$A:$H,A22)+COUNTIF(calc_homogeneidad!$A:$C,A22)+COUNTIF(calc_estabilidad!$A:$C,A22)+COUNTIF(valor_asignado!$A:$K,A22)+COUNTIF(algoritmo_A_iteraciones!$A:$Z,A22)+COUNTIF(algoritmo_A!$A:$E,A22)+COUNTIF(puntajes_EA!$A:$N,A22)+COUNTIF(informe_global!$A:$R,A22)</f>
        <v>0</v>
      </c>
    </row>
    <row r="23" customFormat="false" ht="15" hidden="false" customHeight="false" outlineLevel="0" collapsed="false">
      <c r="A23" s="3" t="s">
        <v>525</v>
      </c>
      <c r="B23" s="3" t="s">
        <v>526</v>
      </c>
      <c r="C23" s="5" t="n">
        <f aca="false">COUNTIF(datos_homogeneidad!$A:$F,A23)+COUNTIF(resultado_homogeneidad!$A:$G,A23)+COUNTIF(datos_estabilidad!$A:$E,A23)+COUNTIF(resultado_estabilidad!$A:$G,A23)+COUNTIF(datos_participantes!$A:$H,A23)+COUNTIF(datos_referencia!$A:$H,A23)+COUNTIF(calc_homogeneidad!$A:$C,A23)+COUNTIF(calc_estabilidad!$A:$C,A23)+COUNTIF(valor_asignado!$A:$K,A23)+COUNTIF(algoritmo_A_iteraciones!$A:$Z,A23)+COUNTIF(algoritmo_A!$A:$E,A23)+COUNTIF(puntajes_EA!$A:$N,A23)+COUNTIF(informe_global!$A:$R,A23)</f>
        <v>0</v>
      </c>
    </row>
    <row r="24" customFormat="false" ht="15" hidden="false" customHeight="false" outlineLevel="0" collapsed="false">
      <c r="A24" s="3" t="s">
        <v>527</v>
      </c>
      <c r="B24" s="3" t="s">
        <v>528</v>
      </c>
      <c r="C24" s="5" t="n">
        <f aca="false">COUNTIF(datos_homogeneidad!$A:$F,A24)+COUNTIF(resultado_homogeneidad!$A:$G,A24)+COUNTIF(datos_estabilidad!$A:$E,A24)+COUNTIF(resultado_estabilidad!$A:$G,A24)+COUNTIF(datos_participantes!$A:$H,A24)+COUNTIF(datos_referencia!$A:$H,A24)+COUNTIF(calc_homogeneidad!$A:$C,A24)+COUNTIF(calc_estabilidad!$A:$C,A24)+COUNTIF(valor_asignado!$A:$K,A24)+COUNTIF(algoritmo_A_iteraciones!$A:$Z,A24)+COUNTIF(algoritmo_A!$A:$E,A24)+COUNTIF(puntajes_EA!$A:$N,A24)+COUNTIF(informe_global!$A:$R,A24)</f>
        <v>0</v>
      </c>
    </row>
    <row r="25" customFormat="false" ht="15" hidden="false" customHeight="false" outlineLevel="0" collapsed="false">
      <c r="A25" s="3" t="s">
        <v>529</v>
      </c>
      <c r="B25" s="3" t="s">
        <v>233</v>
      </c>
      <c r="C25" s="5" t="n">
        <f aca="false">COUNTIF(datos_homogeneidad!$A:$F,A25)+COUNTIF(resultado_homogeneidad!$A:$G,A25)+COUNTIF(datos_estabilidad!$A:$E,A25)+COUNTIF(resultado_estabilidad!$A:$G,A25)+COUNTIF(datos_participantes!$A:$H,A25)+COUNTIF(datos_referencia!$A:$H,A25)+COUNTIF(calc_homogeneidad!$A:$C,A25)+COUNTIF(calc_estabilidad!$A:$C,A25)+COUNTIF(valor_asignado!$A:$K,A25)+COUNTIF(algoritmo_A_iteraciones!$A:$Z,A25)+COUNTIF(algoritmo_A!$A:$E,A25)+COUNTIF(puntajes_EA!$A:$N,A25)+COUNTIF(informe_global!$A:$R,A25)</f>
        <v>0</v>
      </c>
    </row>
    <row r="26" customFormat="false" ht="15" hidden="false" customHeight="false" outlineLevel="0" collapsed="false">
      <c r="A26" s="3" t="s">
        <v>530</v>
      </c>
      <c r="B26" s="3" t="s">
        <v>531</v>
      </c>
      <c r="C26" s="5" t="n">
        <f aca="false">COUNTIF(datos_homogeneidad!$A:$F,A26)+COUNTIF(resultado_homogeneidad!$A:$G,A26)+COUNTIF(datos_estabilidad!$A:$E,A26)+COUNTIF(resultado_estabilidad!$A:$G,A26)+COUNTIF(datos_participantes!$A:$H,A26)+COUNTIF(datos_referencia!$A:$H,A26)+COUNTIF(calc_homogeneidad!$A:$C,A26)+COUNTIF(calc_estabilidad!$A:$C,A26)+COUNTIF(valor_asignado!$A:$K,A26)+COUNTIF(algoritmo_A_iteraciones!$A:$Z,A26)+COUNTIF(algoritmo_A!$A:$E,A26)+COUNTIF(puntajes_EA!$A:$N,A26)+COUNTIF(informe_global!$A:$R,A26)</f>
        <v>0</v>
      </c>
    </row>
    <row r="28" customFormat="false" ht="15" hidden="false" customHeight="false" outlineLevel="0" collapsed="false">
      <c r="A28" s="0" t="s">
        <v>532</v>
      </c>
      <c r="B28" s="7" t="n">
        <f aca="false">SUM(C22:C26)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2026-05-14T02:09:21Z</dcterms:created>
  <dc:creator>w182</dc:creator>
  <dc:description/>
  <dc:language>en-US</dc:language>
  <cp:lastModifiedBy>w182</cp:lastModifiedBy>
  <cp:revision>0</cp:revision>
  <dc:subject/>
  <dc:title/>
</cp:coreProperties>
</file>